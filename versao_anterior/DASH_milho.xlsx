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Phyton\Milho\"/>
    </mc:Choice>
  </mc:AlternateContent>
  <xr:revisionPtr revIDLastSave="0" documentId="13_ncr:9_{A68158AC-093D-49C4-A392-1B68E91B743A}" xr6:coauthVersionLast="47" xr6:coauthVersionMax="47" xr10:uidLastSave="{00000000-0000-0000-0000-000000000000}"/>
  <bookViews>
    <workbookView xWindow="-120" yWindow="-120" windowWidth="20730" windowHeight="11160" firstSheet="1" activeTab="6" xr2:uid="{B39B8920-9434-42D6-8AD8-E80325879198}"/>
  </bookViews>
  <sheets>
    <sheet name="CCMFUT_F_0_Diário" sheetId="1" r:id="rId1"/>
    <sheet name="Análise_Variação" sheetId="3" r:id="rId2"/>
    <sheet name="Análise_À_Vista" sheetId="6" r:id="rId3"/>
    <sheet name="Dashboard_À_Vista" sheetId="7" r:id="rId4"/>
    <sheet name="Dashboard" sheetId="4" r:id="rId5"/>
    <sheet name="Sheet1" sheetId="5" r:id="rId6"/>
    <sheet name="Dashboard_Regressao" sheetId="8" r:id="rId7"/>
  </sheets>
  <calcPr calcId="0"/>
</workbook>
</file>

<file path=xl/calcChain.xml><?xml version="1.0" encoding="utf-8"?>
<calcChain xmlns="http://schemas.openxmlformats.org/spreadsheetml/2006/main">
  <c r="G154" i="8" l="1"/>
  <c r="F154" i="8"/>
  <c r="E154" i="8"/>
  <c r="D154" i="8"/>
  <c r="C154" i="8"/>
  <c r="D153" i="8"/>
  <c r="I147" i="8"/>
  <c r="B144" i="8"/>
  <c r="E144" i="8"/>
  <c r="B145" i="8"/>
  <c r="E145" i="8"/>
  <c r="B146" i="8"/>
  <c r="E146" i="8"/>
  <c r="B147" i="8"/>
  <c r="E147" i="8"/>
  <c r="B148" i="8"/>
  <c r="E148" i="8"/>
  <c r="B139" i="8"/>
  <c r="C139" i="8"/>
  <c r="D139" i="8"/>
  <c r="E139" i="8"/>
  <c r="F139" i="8"/>
  <c r="G139" i="8"/>
  <c r="H139" i="8"/>
  <c r="I139" i="8"/>
  <c r="B134" i="8"/>
  <c r="C134" i="8"/>
  <c r="B135" i="8"/>
  <c r="C135" i="8"/>
  <c r="B136" i="8"/>
  <c r="C136" i="8"/>
  <c r="B137" i="8"/>
  <c r="C137" i="8"/>
  <c r="B138" i="8"/>
  <c r="C138" i="8"/>
  <c r="BD39" i="6"/>
  <c r="BD38" i="6"/>
  <c r="BD36" i="6"/>
  <c r="BC36" i="6"/>
  <c r="BD35" i="6"/>
  <c r="BG18" i="6"/>
  <c r="BF18" i="6"/>
  <c r="BE18" i="6"/>
  <c r="BD18" i="6"/>
  <c r="BC18" i="6"/>
  <c r="BN8" i="6"/>
  <c r="BM8" i="6"/>
  <c r="BL8" i="6"/>
  <c r="BK8" i="6"/>
  <c r="BJ8" i="6"/>
  <c r="BI8" i="6"/>
  <c r="BH8" i="6"/>
  <c r="BG8" i="6"/>
  <c r="BF8" i="6"/>
  <c r="BC8" i="6"/>
  <c r="BL7" i="6" a="1"/>
  <c r="BK7" i="6" a="1"/>
  <c r="BJ7" i="6" a="1"/>
  <c r="H138" i="8" s="1"/>
  <c r="BI7" i="6"/>
  <c r="G138" i="8" s="1"/>
  <c r="BH7" i="6"/>
  <c r="F138" i="8" s="1"/>
  <c r="BG7" i="6"/>
  <c r="E138" i="8" s="1"/>
  <c r="BF7" i="6"/>
  <c r="D138" i="8" s="1"/>
  <c r="BC7" i="6"/>
  <c r="BL6" i="6" a="1"/>
  <c r="BK6" i="6" a="1"/>
  <c r="BJ6" i="6" a="1"/>
  <c r="H137" i="8" s="1"/>
  <c r="BI6" i="6"/>
  <c r="G137" i="8" s="1"/>
  <c r="BH6" i="6"/>
  <c r="F137" i="8" s="1"/>
  <c r="BG6" i="6"/>
  <c r="E137" i="8" s="1"/>
  <c r="BF6" i="6"/>
  <c r="D137" i="8" s="1"/>
  <c r="BC6" i="6"/>
  <c r="BL5" i="6" a="1"/>
  <c r="BK5" i="6" a="1"/>
  <c r="BJ5" i="6" a="1"/>
  <c r="H136" i="8" s="1"/>
  <c r="BI5" i="6"/>
  <c r="G136" i="8" s="1"/>
  <c r="BH5" i="6"/>
  <c r="F136" i="8" s="1"/>
  <c r="BG5" i="6"/>
  <c r="E136" i="8" s="1"/>
  <c r="BF5" i="6"/>
  <c r="D136" i="8" s="1"/>
  <c r="BC5" i="6"/>
  <c r="BL4" i="6" a="1"/>
  <c r="BK4" i="6" a="1"/>
  <c r="BJ4" i="6" a="1"/>
  <c r="H135" i="8" s="1"/>
  <c r="BI4" i="6"/>
  <c r="G135" i="8" s="1"/>
  <c r="BH4" i="6"/>
  <c r="F135" i="8" s="1"/>
  <c r="BG4" i="6"/>
  <c r="E135" i="8" s="1"/>
  <c r="BF4" i="6"/>
  <c r="D135" i="8" s="1"/>
  <c r="BC4" i="6"/>
  <c r="BL3" i="6" a="1"/>
  <c r="BK3" i="6" a="1"/>
  <c r="BJ3" i="6" a="1"/>
  <c r="H134" i="8" s="1"/>
  <c r="BI3" i="6"/>
  <c r="G134" i="8" s="1"/>
  <c r="BH3" i="6"/>
  <c r="F134" i="8" s="1"/>
  <c r="BG3" i="6"/>
  <c r="BF3" i="6"/>
  <c r="BC3" i="6"/>
  <c r="D116" i="8"/>
  <c r="D115" i="8"/>
  <c r="D114" i="8"/>
  <c r="D113" i="8"/>
  <c r="D112" i="8"/>
  <c r="D111" i="8"/>
  <c r="C116" i="8"/>
  <c r="C115" i="8"/>
  <c r="C114" i="8"/>
  <c r="C113" i="8"/>
  <c r="C112" i="8"/>
  <c r="C111" i="8"/>
  <c r="D103" i="8"/>
  <c r="D105" i="8"/>
  <c r="D106" i="8"/>
  <c r="G94" i="8"/>
  <c r="H94" i="8"/>
  <c r="I94" i="8"/>
  <c r="J94" i="8"/>
  <c r="K94" i="8"/>
  <c r="G95" i="8"/>
  <c r="H95" i="8"/>
  <c r="I95" i="8"/>
  <c r="J95" i="8"/>
  <c r="K95" i="8"/>
  <c r="G96" i="8"/>
  <c r="H96" i="8"/>
  <c r="I96" i="8"/>
  <c r="J96" i="8"/>
  <c r="K96" i="8"/>
  <c r="G97" i="8"/>
  <c r="H97" i="8"/>
  <c r="I97" i="8"/>
  <c r="J97" i="8"/>
  <c r="K97" i="8"/>
  <c r="G98" i="8"/>
  <c r="H98" i="8"/>
  <c r="I98" i="8"/>
  <c r="J98" i="8"/>
  <c r="K98" i="8"/>
  <c r="D93" i="8"/>
  <c r="D94" i="8"/>
  <c r="D95" i="8"/>
  <c r="D96" i="8"/>
  <c r="D97" i="8"/>
  <c r="D98" i="8"/>
  <c r="D99" i="8"/>
  <c r="B89" i="8"/>
  <c r="C89" i="8"/>
  <c r="D89" i="8"/>
  <c r="E89" i="8"/>
  <c r="F89" i="8"/>
  <c r="G89" i="8"/>
  <c r="H89" i="8"/>
  <c r="I89" i="8"/>
  <c r="J89" i="8"/>
  <c r="B84" i="8"/>
  <c r="C84" i="8"/>
  <c r="D84" i="8"/>
  <c r="E84" i="8"/>
  <c r="F84" i="8"/>
  <c r="G84" i="8"/>
  <c r="H84" i="8"/>
  <c r="I84" i="8"/>
  <c r="J84" i="8"/>
  <c r="B85" i="8"/>
  <c r="C85" i="8"/>
  <c r="D85" i="8"/>
  <c r="E85" i="8"/>
  <c r="F85" i="8"/>
  <c r="G85" i="8"/>
  <c r="H85" i="8"/>
  <c r="I85" i="8"/>
  <c r="J85" i="8"/>
  <c r="B86" i="8"/>
  <c r="C86" i="8"/>
  <c r="D86" i="8"/>
  <c r="E86" i="8"/>
  <c r="F86" i="8"/>
  <c r="G86" i="8"/>
  <c r="H86" i="8"/>
  <c r="I86" i="8"/>
  <c r="J86" i="8"/>
  <c r="B87" i="8"/>
  <c r="C87" i="8"/>
  <c r="D87" i="8"/>
  <c r="E87" i="8"/>
  <c r="F87" i="8"/>
  <c r="G87" i="8"/>
  <c r="H87" i="8"/>
  <c r="I87" i="8"/>
  <c r="J87" i="8"/>
  <c r="B88" i="8"/>
  <c r="C88" i="8"/>
  <c r="D88" i="8"/>
  <c r="E88" i="8"/>
  <c r="F88" i="8"/>
  <c r="G88" i="8"/>
  <c r="H88" i="8"/>
  <c r="I88" i="8"/>
  <c r="J88" i="8"/>
  <c r="AN45" i="6"/>
  <c r="AN46" i="6"/>
  <c r="AN47" i="6"/>
  <c r="AM38" i="6"/>
  <c r="AN38" i="6" a="1"/>
  <c r="AO38" i="6" a="1"/>
  <c r="AT38" i="6" s="1"/>
  <c r="AV38" i="6" s="1"/>
  <c r="AP38" i="6" a="1"/>
  <c r="AQ38" i="6" a="1"/>
  <c r="AR38" i="6" a="1"/>
  <c r="AS38" i="6" a="1"/>
  <c r="AM37" i="6"/>
  <c r="AN37" i="6" a="1"/>
  <c r="AO37" i="6" a="1"/>
  <c r="AP37" i="6" a="1"/>
  <c r="AQ37" i="6" a="1"/>
  <c r="AR37" i="6" a="1"/>
  <c r="AS37" i="6" a="1"/>
  <c r="AT37" i="6"/>
  <c r="AV37" i="6" s="1"/>
  <c r="AM36" i="6"/>
  <c r="AN36" i="6" a="1"/>
  <c r="AT36" i="6" s="1"/>
  <c r="AV36" i="6" s="1"/>
  <c r="AO36" i="6" a="1"/>
  <c r="AP36" i="6" a="1"/>
  <c r="AQ36" i="6" a="1"/>
  <c r="AR36" i="6" a="1"/>
  <c r="AS36" i="6" a="1"/>
  <c r="AM35" i="6"/>
  <c r="AN35" i="6" a="1"/>
  <c r="AO35" i="6" a="1"/>
  <c r="AP35" i="6" a="1"/>
  <c r="AQ35" i="6" a="1"/>
  <c r="AR35" i="6" a="1"/>
  <c r="AT35" i="6" s="1"/>
  <c r="AV35" i="6" s="1"/>
  <c r="AS35" i="6" a="1"/>
  <c r="AM34" i="6"/>
  <c r="AN34" i="6" a="1"/>
  <c r="AO34" i="6" a="1"/>
  <c r="AP34" i="6" a="1"/>
  <c r="AQ34" i="6" a="1"/>
  <c r="AT34" i="6" s="1"/>
  <c r="AV34" i="6" s="1"/>
  <c r="AR34" i="6" a="1"/>
  <c r="AS34" i="6" a="1"/>
  <c r="AN21" i="6"/>
  <c r="AN22" i="6"/>
  <c r="AN23" i="6"/>
  <c r="AN25" i="6"/>
  <c r="AN26" i="6"/>
  <c r="AN27" i="6"/>
  <c r="AN29" i="6"/>
  <c r="AM12" i="6"/>
  <c r="AN12" i="6"/>
  <c r="AO12" i="6"/>
  <c r="AP12" i="6"/>
  <c r="AR12" i="6" s="1"/>
  <c r="AQ12" i="6"/>
  <c r="AS12" i="6"/>
  <c r="AM13" i="6"/>
  <c r="AN13" i="6"/>
  <c r="AO13" i="6"/>
  <c r="AP13" i="6"/>
  <c r="AR13" i="6" s="1"/>
  <c r="AQ13" i="6"/>
  <c r="AS13" i="6"/>
  <c r="AM14" i="6"/>
  <c r="AN14" i="6"/>
  <c r="AO14" i="6"/>
  <c r="AP14" i="6"/>
  <c r="AR14" i="6" s="1"/>
  <c r="AQ14" i="6"/>
  <c r="AS14" i="6"/>
  <c r="AM15" i="6"/>
  <c r="AN15" i="6"/>
  <c r="AO15" i="6"/>
  <c r="AP15" i="6"/>
  <c r="AR15" i="6" s="1"/>
  <c r="AQ15" i="6"/>
  <c r="AS15" i="6"/>
  <c r="AM16" i="6"/>
  <c r="AN16" i="6"/>
  <c r="AO16" i="6"/>
  <c r="AP16" i="6"/>
  <c r="AR16" i="6" s="1"/>
  <c r="AQ16" i="6"/>
  <c r="AS16" i="6"/>
  <c r="AM17" i="6"/>
  <c r="AN17" i="6"/>
  <c r="AO17" i="6"/>
  <c r="AP17" i="6"/>
  <c r="AR17" i="6" s="1"/>
  <c r="AQ17" i="6"/>
  <c r="AS17" i="6"/>
  <c r="AM18" i="6"/>
  <c r="AN18" i="6"/>
  <c r="AO18" i="6"/>
  <c r="AP18" i="6"/>
  <c r="AR18" i="6" s="1"/>
  <c r="AQ18" i="6"/>
  <c r="AS18" i="6"/>
  <c r="AV3" i="6"/>
  <c r="AV4" i="6"/>
  <c r="AV5" i="6"/>
  <c r="AV6" i="6"/>
  <c r="AV7" i="6"/>
  <c r="AV8" i="6"/>
  <c r="AM8" i="6"/>
  <c r="AN8" i="6"/>
  <c r="AO8" i="6"/>
  <c r="AP8" i="6"/>
  <c r="AQ8" i="6"/>
  <c r="AR8" i="6"/>
  <c r="AS8" i="6"/>
  <c r="AT8" i="6"/>
  <c r="AU8" i="6"/>
  <c r="AW8" i="6"/>
  <c r="AX8" i="6"/>
  <c r="AY8" i="6"/>
  <c r="AZ8" i="6"/>
  <c r="AP3" i="6" a="1"/>
  <c r="AR3" i="6" s="1" a="1"/>
  <c r="AQ3" i="6" a="1"/>
  <c r="AS3" i="6" a="1"/>
  <c r="AT3" i="6"/>
  <c r="AU3" i="6"/>
  <c r="AP4" i="6" a="1"/>
  <c r="AR4" i="6" s="1" a="1"/>
  <c r="AQ4" i="6" a="1"/>
  <c r="AS4" i="6" a="1"/>
  <c r="AT4" i="6"/>
  <c r="AU4" i="6"/>
  <c r="AP5" i="6" a="1"/>
  <c r="AR5" i="6" s="1" a="1"/>
  <c r="AQ5" i="6" a="1"/>
  <c r="AS5" i="6" a="1"/>
  <c r="AT5" i="6"/>
  <c r="AU5" i="6"/>
  <c r="AP6" i="6" a="1"/>
  <c r="AR6" i="6" s="1" a="1"/>
  <c r="AQ6" i="6" a="1"/>
  <c r="AS6" i="6" a="1"/>
  <c r="AT6" i="6"/>
  <c r="AU6" i="6"/>
  <c r="AP7" i="6" a="1"/>
  <c r="AR7" i="6" s="1" a="1"/>
  <c r="AQ7" i="6" a="1"/>
  <c r="AS7" i="6" a="1"/>
  <c r="AT7" i="6"/>
  <c r="AU7" i="6"/>
  <c r="K21" i="8"/>
  <c r="I21" i="8" a="1"/>
  <c r="I16" i="8"/>
  <c r="I18" i="8" s="1"/>
  <c r="I17" i="8"/>
  <c r="I19" i="8"/>
  <c r="I20" i="8"/>
  <c r="D16" i="8"/>
  <c r="D17" i="8"/>
  <c r="D18" i="8"/>
  <c r="D19" i="8"/>
  <c r="D20" i="8"/>
  <c r="D21" i="8"/>
  <c r="I7" i="8"/>
  <c r="I8" i="8"/>
  <c r="I9" i="8"/>
  <c r="I10" i="8"/>
  <c r="I11" i="8"/>
  <c r="I12" i="8"/>
  <c r="I13" i="8"/>
  <c r="I14" i="8"/>
  <c r="D7" i="8"/>
  <c r="D8" i="8"/>
  <c r="D9" i="8"/>
  <c r="D10" i="8"/>
  <c r="D11" i="8"/>
  <c r="D12" i="8"/>
  <c r="AG1136" i="6"/>
  <c r="AG1135" i="6"/>
  <c r="AG1134" i="6"/>
  <c r="AG1133" i="6"/>
  <c r="AG1132" i="6"/>
  <c r="AG1131" i="6"/>
  <c r="AG1130" i="6"/>
  <c r="AG1129" i="6"/>
  <c r="AG1128" i="6"/>
  <c r="AG1127" i="6"/>
  <c r="AG1126" i="6"/>
  <c r="AG1125" i="6"/>
  <c r="AG1124" i="6"/>
  <c r="AG1123" i="6"/>
  <c r="AG1122" i="6"/>
  <c r="AG1121" i="6"/>
  <c r="AG1120" i="6"/>
  <c r="AG1119" i="6"/>
  <c r="AG1118" i="6"/>
  <c r="AG1117" i="6"/>
  <c r="AG1116" i="6"/>
  <c r="AG1115" i="6"/>
  <c r="AG1114" i="6"/>
  <c r="AG1113" i="6"/>
  <c r="AG1112" i="6"/>
  <c r="AG1111" i="6"/>
  <c r="AG1110" i="6"/>
  <c r="AG1109" i="6"/>
  <c r="AG1108" i="6"/>
  <c r="AG1107" i="6"/>
  <c r="AG1106" i="6"/>
  <c r="AG1105" i="6"/>
  <c r="AG1104" i="6"/>
  <c r="AG1103" i="6"/>
  <c r="AG1102" i="6"/>
  <c r="AG1101" i="6"/>
  <c r="AG1100" i="6"/>
  <c r="AG1099" i="6"/>
  <c r="AG1098" i="6"/>
  <c r="AG1097" i="6"/>
  <c r="AG1096" i="6"/>
  <c r="AG1095" i="6"/>
  <c r="AG1094" i="6"/>
  <c r="AG1093" i="6"/>
  <c r="AG1092" i="6"/>
  <c r="AG1091" i="6"/>
  <c r="AG1090" i="6"/>
  <c r="AG1089" i="6"/>
  <c r="AG1088" i="6"/>
  <c r="AG1087" i="6"/>
  <c r="AG1086" i="6"/>
  <c r="AG1085" i="6"/>
  <c r="AG1084" i="6"/>
  <c r="AG1083" i="6"/>
  <c r="AG1082" i="6"/>
  <c r="AG1081" i="6"/>
  <c r="AG1080" i="6"/>
  <c r="AG1079" i="6"/>
  <c r="AG1078" i="6"/>
  <c r="AG1077" i="6"/>
  <c r="AG1076" i="6"/>
  <c r="AG1075" i="6"/>
  <c r="AG1074" i="6"/>
  <c r="AG1073" i="6"/>
  <c r="AG1072" i="6"/>
  <c r="AG1071" i="6"/>
  <c r="AG1070" i="6"/>
  <c r="AG1069" i="6"/>
  <c r="AG1068" i="6"/>
  <c r="AG1067" i="6"/>
  <c r="AG1066" i="6"/>
  <c r="AG1065" i="6"/>
  <c r="AG1064" i="6"/>
  <c r="AG1063" i="6"/>
  <c r="AG1062" i="6"/>
  <c r="AG1061" i="6"/>
  <c r="AG1060" i="6"/>
  <c r="AG1059" i="6"/>
  <c r="AG1058" i="6"/>
  <c r="AG1057" i="6"/>
  <c r="AG1056" i="6"/>
  <c r="AG1055" i="6"/>
  <c r="AG1054" i="6"/>
  <c r="AG1053" i="6"/>
  <c r="AG1052" i="6"/>
  <c r="AG1051" i="6"/>
  <c r="AG1050" i="6"/>
  <c r="AG1049" i="6"/>
  <c r="AG1048" i="6"/>
  <c r="AG1047" i="6"/>
  <c r="AG1046" i="6"/>
  <c r="AG1045" i="6"/>
  <c r="AG1044" i="6"/>
  <c r="AG1043" i="6"/>
  <c r="AG1042" i="6"/>
  <c r="AG1041" i="6"/>
  <c r="AG1040" i="6"/>
  <c r="AG1039" i="6"/>
  <c r="AG1038" i="6"/>
  <c r="AG1037" i="6"/>
  <c r="AG1036" i="6"/>
  <c r="AG1035" i="6"/>
  <c r="AG1034" i="6"/>
  <c r="AG1033" i="6"/>
  <c r="AG1032" i="6"/>
  <c r="AG1031" i="6"/>
  <c r="AG1030" i="6"/>
  <c r="AG1029" i="6"/>
  <c r="AG1028" i="6"/>
  <c r="AG1027" i="6"/>
  <c r="AG1026" i="6"/>
  <c r="AG1025" i="6"/>
  <c r="AG1024" i="6"/>
  <c r="AG1023" i="6"/>
  <c r="AG1022" i="6"/>
  <c r="AG1021" i="6"/>
  <c r="AG1020" i="6"/>
  <c r="AG1019" i="6"/>
  <c r="AG1018" i="6"/>
  <c r="AG1017" i="6"/>
  <c r="AG1016" i="6"/>
  <c r="AG1015" i="6"/>
  <c r="AG1014" i="6"/>
  <c r="AG1013" i="6"/>
  <c r="AG1012" i="6"/>
  <c r="AG1011" i="6"/>
  <c r="AG1010" i="6"/>
  <c r="AG1009" i="6"/>
  <c r="AG1008" i="6"/>
  <c r="AG1007" i="6"/>
  <c r="AG1006" i="6"/>
  <c r="AG1005" i="6"/>
  <c r="AG1004" i="6"/>
  <c r="AG1003" i="6"/>
  <c r="AG1002" i="6"/>
  <c r="AG1001" i="6"/>
  <c r="AG1000" i="6"/>
  <c r="AG999" i="6"/>
  <c r="AG998" i="6"/>
  <c r="AG997" i="6"/>
  <c r="AG996" i="6"/>
  <c r="AG995" i="6"/>
  <c r="AG994" i="6"/>
  <c r="AG993" i="6"/>
  <c r="AG992" i="6"/>
  <c r="AG991" i="6"/>
  <c r="AG990" i="6"/>
  <c r="AG989" i="6"/>
  <c r="AG988" i="6"/>
  <c r="AG987" i="6"/>
  <c r="AG986" i="6"/>
  <c r="AG985" i="6"/>
  <c r="AG984" i="6"/>
  <c r="AG983" i="6"/>
  <c r="AG982" i="6"/>
  <c r="AG981" i="6"/>
  <c r="AG980" i="6"/>
  <c r="AG979" i="6"/>
  <c r="AG978" i="6"/>
  <c r="AG977" i="6"/>
  <c r="AG976" i="6"/>
  <c r="AG975" i="6"/>
  <c r="AG974" i="6"/>
  <c r="AG973" i="6"/>
  <c r="AG972" i="6"/>
  <c r="AG971" i="6"/>
  <c r="AG970" i="6"/>
  <c r="AG969" i="6"/>
  <c r="AG968" i="6"/>
  <c r="AG967" i="6"/>
  <c r="AG966" i="6"/>
  <c r="AG965" i="6"/>
  <c r="AG964" i="6"/>
  <c r="AG963" i="6"/>
  <c r="AG962" i="6"/>
  <c r="AG961" i="6"/>
  <c r="AG960" i="6"/>
  <c r="AG959" i="6"/>
  <c r="AG958" i="6"/>
  <c r="AG957" i="6"/>
  <c r="AG956" i="6"/>
  <c r="AG955" i="6"/>
  <c r="AG954" i="6"/>
  <c r="AG953" i="6"/>
  <c r="AG952" i="6"/>
  <c r="AG951" i="6"/>
  <c r="AG950" i="6"/>
  <c r="AG949" i="6"/>
  <c r="AG948" i="6"/>
  <c r="AG947" i="6"/>
  <c r="AG946" i="6"/>
  <c r="AG945" i="6"/>
  <c r="AG944" i="6"/>
  <c r="AG943" i="6"/>
  <c r="AG942" i="6"/>
  <c r="AG941" i="6"/>
  <c r="AG940" i="6"/>
  <c r="AG939" i="6"/>
  <c r="AG938" i="6"/>
  <c r="AG937" i="6"/>
  <c r="AG936" i="6"/>
  <c r="AG935" i="6"/>
  <c r="AG934" i="6"/>
  <c r="AG933" i="6"/>
  <c r="AG932" i="6"/>
  <c r="AG931" i="6"/>
  <c r="AG930" i="6"/>
  <c r="AG929" i="6"/>
  <c r="AG928" i="6"/>
  <c r="AG927" i="6"/>
  <c r="AG926" i="6"/>
  <c r="AG925" i="6"/>
  <c r="AG924" i="6"/>
  <c r="AG923" i="6"/>
  <c r="AG922" i="6"/>
  <c r="AG921" i="6"/>
  <c r="AG920" i="6"/>
  <c r="AG919" i="6"/>
  <c r="AG918" i="6"/>
  <c r="AG917" i="6"/>
  <c r="AG916" i="6"/>
  <c r="AG915" i="6"/>
  <c r="AG914" i="6"/>
  <c r="AG913" i="6"/>
  <c r="AG912" i="6"/>
  <c r="AG911" i="6"/>
  <c r="AG910" i="6"/>
  <c r="AG909" i="6"/>
  <c r="AG908" i="6"/>
  <c r="AG907" i="6"/>
  <c r="AG906" i="6"/>
  <c r="AG905" i="6"/>
  <c r="AG904" i="6"/>
  <c r="AG903" i="6"/>
  <c r="AG902" i="6"/>
  <c r="AG901" i="6"/>
  <c r="AG900" i="6"/>
  <c r="AG899" i="6"/>
  <c r="AG898" i="6"/>
  <c r="AG897" i="6"/>
  <c r="AG896" i="6"/>
  <c r="AG895" i="6"/>
  <c r="AG894" i="6"/>
  <c r="AG893" i="6"/>
  <c r="AG892" i="6"/>
  <c r="AG891" i="6"/>
  <c r="AG890" i="6"/>
  <c r="AG889" i="6"/>
  <c r="AG888" i="6"/>
  <c r="AG887" i="6"/>
  <c r="AG886" i="6"/>
  <c r="AG885" i="6"/>
  <c r="AG884" i="6"/>
  <c r="AG883" i="6"/>
  <c r="AG882" i="6"/>
  <c r="AG881" i="6"/>
  <c r="AG880" i="6"/>
  <c r="AG879" i="6"/>
  <c r="AG878" i="6"/>
  <c r="AG877" i="6"/>
  <c r="AG876" i="6"/>
  <c r="AG875" i="6"/>
  <c r="AG874" i="6"/>
  <c r="AG873" i="6"/>
  <c r="AG872" i="6"/>
  <c r="AG871" i="6"/>
  <c r="AG870" i="6"/>
  <c r="AG869" i="6"/>
  <c r="AG868" i="6"/>
  <c r="AG867" i="6"/>
  <c r="AG866" i="6"/>
  <c r="AG865" i="6"/>
  <c r="AG864" i="6"/>
  <c r="AG863" i="6"/>
  <c r="AG862" i="6"/>
  <c r="AG861" i="6"/>
  <c r="AG860" i="6"/>
  <c r="AG859" i="6"/>
  <c r="AG858" i="6"/>
  <c r="AG857" i="6"/>
  <c r="AG856" i="6"/>
  <c r="AG855" i="6"/>
  <c r="AG854" i="6"/>
  <c r="AG853" i="6"/>
  <c r="AG852" i="6"/>
  <c r="AG851" i="6"/>
  <c r="AG850" i="6"/>
  <c r="AG849" i="6"/>
  <c r="AG848" i="6"/>
  <c r="AG847" i="6"/>
  <c r="AG846" i="6"/>
  <c r="AG845" i="6"/>
  <c r="AG844" i="6"/>
  <c r="AG843" i="6"/>
  <c r="AG842" i="6"/>
  <c r="AG841" i="6"/>
  <c r="AG840" i="6"/>
  <c r="AG839" i="6"/>
  <c r="AG838" i="6"/>
  <c r="AG837" i="6"/>
  <c r="AG836" i="6"/>
  <c r="AG835" i="6"/>
  <c r="AG834" i="6"/>
  <c r="AG833" i="6"/>
  <c r="AG832" i="6"/>
  <c r="AG831" i="6"/>
  <c r="AG830" i="6"/>
  <c r="AG829" i="6"/>
  <c r="AG828" i="6"/>
  <c r="AG827" i="6"/>
  <c r="AG826" i="6"/>
  <c r="AG825" i="6"/>
  <c r="AG824" i="6"/>
  <c r="AG823" i="6"/>
  <c r="AG822" i="6"/>
  <c r="AG821" i="6"/>
  <c r="AG820" i="6"/>
  <c r="AG819" i="6"/>
  <c r="AG818" i="6"/>
  <c r="AG817" i="6"/>
  <c r="AG816" i="6"/>
  <c r="AG815" i="6"/>
  <c r="AG814" i="6"/>
  <c r="AG813" i="6"/>
  <c r="AG812" i="6"/>
  <c r="AG811" i="6"/>
  <c r="AG810" i="6"/>
  <c r="AG809" i="6"/>
  <c r="AG808" i="6"/>
  <c r="AG807" i="6"/>
  <c r="AG806" i="6"/>
  <c r="AG805" i="6"/>
  <c r="AG804" i="6"/>
  <c r="AG803" i="6"/>
  <c r="AG802" i="6"/>
  <c r="AG801" i="6"/>
  <c r="AG800" i="6"/>
  <c r="AG799" i="6"/>
  <c r="AG798" i="6"/>
  <c r="AG797" i="6"/>
  <c r="AG796" i="6"/>
  <c r="AG795" i="6"/>
  <c r="AG794" i="6"/>
  <c r="AG793" i="6"/>
  <c r="AG792" i="6"/>
  <c r="AG791" i="6"/>
  <c r="AG790" i="6"/>
  <c r="AG789" i="6"/>
  <c r="AG788" i="6"/>
  <c r="AG787" i="6"/>
  <c r="AG786" i="6"/>
  <c r="AG785" i="6"/>
  <c r="AG784" i="6"/>
  <c r="AG783" i="6"/>
  <c r="AG782" i="6"/>
  <c r="AG781" i="6"/>
  <c r="AG780" i="6"/>
  <c r="AG779" i="6"/>
  <c r="AG778" i="6"/>
  <c r="AG777" i="6"/>
  <c r="AG776" i="6"/>
  <c r="AG775" i="6"/>
  <c r="AG774" i="6"/>
  <c r="AG773" i="6"/>
  <c r="AG772" i="6"/>
  <c r="AG771" i="6"/>
  <c r="AG770" i="6"/>
  <c r="AG769" i="6"/>
  <c r="AG768" i="6"/>
  <c r="AG767" i="6"/>
  <c r="AG766" i="6"/>
  <c r="AG765" i="6"/>
  <c r="AG764" i="6"/>
  <c r="AG763" i="6"/>
  <c r="AG762" i="6"/>
  <c r="AG761" i="6"/>
  <c r="AG760" i="6"/>
  <c r="AG759" i="6"/>
  <c r="AG758" i="6"/>
  <c r="AG757" i="6"/>
  <c r="AG756" i="6"/>
  <c r="AG755" i="6"/>
  <c r="AG754" i="6"/>
  <c r="AG753" i="6"/>
  <c r="AG752" i="6"/>
  <c r="AG751" i="6"/>
  <c r="AG750" i="6"/>
  <c r="AG749" i="6"/>
  <c r="AG748" i="6"/>
  <c r="AG747" i="6"/>
  <c r="AG746" i="6"/>
  <c r="AG745" i="6"/>
  <c r="AG744" i="6"/>
  <c r="AG743" i="6"/>
  <c r="AG742" i="6"/>
  <c r="AG741" i="6"/>
  <c r="AG740" i="6"/>
  <c r="AG739" i="6"/>
  <c r="AG738" i="6"/>
  <c r="AG737" i="6"/>
  <c r="AG736" i="6"/>
  <c r="AG735" i="6"/>
  <c r="AG734" i="6"/>
  <c r="AG733" i="6"/>
  <c r="AG732" i="6"/>
  <c r="AG731" i="6"/>
  <c r="AG730" i="6"/>
  <c r="AG729" i="6"/>
  <c r="AG728" i="6"/>
  <c r="AG727" i="6"/>
  <c r="AG726" i="6"/>
  <c r="AG725" i="6"/>
  <c r="AG724" i="6"/>
  <c r="AG723" i="6"/>
  <c r="AG722" i="6"/>
  <c r="AG721" i="6"/>
  <c r="AG720" i="6"/>
  <c r="AG719" i="6"/>
  <c r="AG718" i="6"/>
  <c r="AG717" i="6"/>
  <c r="AG716" i="6"/>
  <c r="AG715" i="6"/>
  <c r="AG714" i="6"/>
  <c r="AG713" i="6"/>
  <c r="AG712" i="6"/>
  <c r="AG711" i="6"/>
  <c r="AG710" i="6"/>
  <c r="AG709" i="6"/>
  <c r="AG708" i="6"/>
  <c r="AG707" i="6"/>
  <c r="AG706" i="6"/>
  <c r="AG705" i="6"/>
  <c r="AG704" i="6"/>
  <c r="AG703" i="6"/>
  <c r="AG702" i="6"/>
  <c r="AG701" i="6"/>
  <c r="AG700" i="6"/>
  <c r="AG699" i="6"/>
  <c r="AG698" i="6"/>
  <c r="AG697" i="6"/>
  <c r="AG696" i="6"/>
  <c r="AG695" i="6"/>
  <c r="AG694" i="6"/>
  <c r="AG693" i="6"/>
  <c r="AG692" i="6"/>
  <c r="AG691" i="6"/>
  <c r="AG690" i="6"/>
  <c r="AG689" i="6"/>
  <c r="AG688" i="6"/>
  <c r="AG687" i="6"/>
  <c r="AG686" i="6"/>
  <c r="AG685" i="6"/>
  <c r="AG684" i="6"/>
  <c r="AG683" i="6"/>
  <c r="AG682" i="6"/>
  <c r="AG681" i="6"/>
  <c r="AG680" i="6"/>
  <c r="AG679" i="6"/>
  <c r="AG678" i="6"/>
  <c r="AG677" i="6"/>
  <c r="AG676" i="6"/>
  <c r="AG675" i="6"/>
  <c r="AG674" i="6"/>
  <c r="AG673" i="6"/>
  <c r="AG672" i="6"/>
  <c r="AG671" i="6"/>
  <c r="AG670" i="6"/>
  <c r="AG669" i="6"/>
  <c r="AG668" i="6"/>
  <c r="AG667" i="6"/>
  <c r="AG666" i="6"/>
  <c r="AG665" i="6"/>
  <c r="AG664" i="6"/>
  <c r="AG663" i="6"/>
  <c r="AG662" i="6"/>
  <c r="AG661" i="6"/>
  <c r="AG660" i="6"/>
  <c r="AG659" i="6"/>
  <c r="AG658" i="6"/>
  <c r="AG657" i="6"/>
  <c r="AG656" i="6"/>
  <c r="AG655" i="6"/>
  <c r="AG654" i="6"/>
  <c r="AG653" i="6"/>
  <c r="AG652" i="6"/>
  <c r="AG651" i="6"/>
  <c r="AG650" i="6"/>
  <c r="AG649" i="6"/>
  <c r="AG648" i="6"/>
  <c r="AG647" i="6"/>
  <c r="AG646" i="6"/>
  <c r="AG645" i="6"/>
  <c r="AG644" i="6"/>
  <c r="AG643" i="6"/>
  <c r="AG642" i="6"/>
  <c r="AG641" i="6"/>
  <c r="AG640" i="6"/>
  <c r="AG639" i="6"/>
  <c r="AG638" i="6"/>
  <c r="AG637" i="6"/>
  <c r="AG636" i="6"/>
  <c r="AG635" i="6"/>
  <c r="AG634" i="6"/>
  <c r="AG633" i="6"/>
  <c r="AG632" i="6"/>
  <c r="AG631" i="6"/>
  <c r="AG630" i="6"/>
  <c r="AG629" i="6"/>
  <c r="AG628" i="6"/>
  <c r="AG627" i="6"/>
  <c r="AG626" i="6"/>
  <c r="AG625" i="6"/>
  <c r="AG624" i="6"/>
  <c r="AG623" i="6"/>
  <c r="AG622" i="6"/>
  <c r="AG621" i="6"/>
  <c r="AG620" i="6"/>
  <c r="AG619" i="6"/>
  <c r="AG618" i="6"/>
  <c r="AG617" i="6"/>
  <c r="AG616" i="6"/>
  <c r="AG615" i="6"/>
  <c r="AG614" i="6"/>
  <c r="AG613" i="6"/>
  <c r="AG612" i="6"/>
  <c r="AG611" i="6"/>
  <c r="AG610" i="6"/>
  <c r="AG609" i="6"/>
  <c r="AG608" i="6"/>
  <c r="AG607" i="6"/>
  <c r="AG606" i="6"/>
  <c r="AG605" i="6"/>
  <c r="AG604" i="6"/>
  <c r="AG603" i="6"/>
  <c r="AG602" i="6"/>
  <c r="AG601" i="6"/>
  <c r="AG600" i="6"/>
  <c r="AG599" i="6"/>
  <c r="AG598" i="6"/>
  <c r="AG597" i="6"/>
  <c r="AG596" i="6"/>
  <c r="AG595" i="6"/>
  <c r="AG594" i="6"/>
  <c r="AG593" i="6"/>
  <c r="AG592" i="6"/>
  <c r="AG591" i="6"/>
  <c r="AG590" i="6"/>
  <c r="AG589" i="6"/>
  <c r="AG588" i="6"/>
  <c r="AG587" i="6"/>
  <c r="AG586" i="6"/>
  <c r="AG585" i="6"/>
  <c r="AG584" i="6"/>
  <c r="AG583" i="6"/>
  <c r="AG582" i="6"/>
  <c r="AG581" i="6"/>
  <c r="AG580" i="6"/>
  <c r="AG579" i="6"/>
  <c r="AG578" i="6"/>
  <c r="AG577" i="6"/>
  <c r="AG576" i="6"/>
  <c r="AG575" i="6"/>
  <c r="AG574" i="6"/>
  <c r="AG573" i="6"/>
  <c r="AG572" i="6"/>
  <c r="AG571" i="6"/>
  <c r="AG570" i="6"/>
  <c r="AG569" i="6"/>
  <c r="AG568" i="6"/>
  <c r="AG567" i="6"/>
  <c r="AG566" i="6"/>
  <c r="AG565" i="6"/>
  <c r="AG564" i="6"/>
  <c r="AG563" i="6"/>
  <c r="AG562" i="6"/>
  <c r="AG561" i="6"/>
  <c r="AG560" i="6"/>
  <c r="AG559" i="6"/>
  <c r="AG558" i="6"/>
  <c r="AG557" i="6"/>
  <c r="AG556" i="6"/>
  <c r="AG555" i="6"/>
  <c r="AG554" i="6"/>
  <c r="AG553" i="6"/>
  <c r="AG552" i="6"/>
  <c r="AG551" i="6"/>
  <c r="AG550" i="6"/>
  <c r="AG549" i="6"/>
  <c r="AG548" i="6"/>
  <c r="AG547" i="6"/>
  <c r="AG546" i="6"/>
  <c r="AG545" i="6"/>
  <c r="AG544" i="6"/>
  <c r="AG543" i="6"/>
  <c r="AG542" i="6"/>
  <c r="AG541" i="6"/>
  <c r="AG540" i="6"/>
  <c r="AG539" i="6"/>
  <c r="AG538" i="6"/>
  <c r="AG537" i="6"/>
  <c r="AG536" i="6"/>
  <c r="AG535" i="6"/>
  <c r="AG534" i="6"/>
  <c r="AG533" i="6"/>
  <c r="AG532" i="6"/>
  <c r="AG531" i="6"/>
  <c r="AG530" i="6"/>
  <c r="AG529" i="6"/>
  <c r="AG528" i="6"/>
  <c r="AG527" i="6"/>
  <c r="AG526" i="6"/>
  <c r="AG525" i="6"/>
  <c r="AG524" i="6"/>
  <c r="AG523" i="6"/>
  <c r="AG522" i="6"/>
  <c r="AG521" i="6"/>
  <c r="AG520" i="6"/>
  <c r="AG519" i="6"/>
  <c r="AG518" i="6"/>
  <c r="AG517" i="6"/>
  <c r="AG516" i="6"/>
  <c r="AG515" i="6"/>
  <c r="AG514" i="6"/>
  <c r="AG513" i="6"/>
  <c r="AG512" i="6"/>
  <c r="AG511" i="6"/>
  <c r="AG510" i="6"/>
  <c r="AG509" i="6"/>
  <c r="AG508" i="6"/>
  <c r="AG507" i="6"/>
  <c r="AG506" i="6"/>
  <c r="AG505" i="6"/>
  <c r="AG504" i="6"/>
  <c r="AG503" i="6"/>
  <c r="AG502" i="6"/>
  <c r="AG501" i="6"/>
  <c r="AG500" i="6"/>
  <c r="AG499" i="6"/>
  <c r="AG498" i="6"/>
  <c r="AG497" i="6"/>
  <c r="AG496" i="6"/>
  <c r="AG495" i="6"/>
  <c r="AG494" i="6"/>
  <c r="AG493" i="6"/>
  <c r="AG492" i="6"/>
  <c r="AG491" i="6"/>
  <c r="AG490" i="6"/>
  <c r="AG489" i="6"/>
  <c r="AG488" i="6"/>
  <c r="AG487" i="6"/>
  <c r="AG486" i="6"/>
  <c r="AG485" i="6"/>
  <c r="AG484" i="6"/>
  <c r="AG483" i="6"/>
  <c r="AG482" i="6"/>
  <c r="AG481" i="6"/>
  <c r="AG480" i="6"/>
  <c r="AG479" i="6"/>
  <c r="AG478" i="6"/>
  <c r="AG477" i="6"/>
  <c r="AG476" i="6"/>
  <c r="AG475" i="6"/>
  <c r="AG474" i="6"/>
  <c r="AG473" i="6"/>
  <c r="AG472" i="6"/>
  <c r="AG471" i="6"/>
  <c r="AG470" i="6"/>
  <c r="AG469" i="6"/>
  <c r="AG468" i="6"/>
  <c r="AG467" i="6"/>
  <c r="AG466" i="6"/>
  <c r="AG465" i="6"/>
  <c r="AG464" i="6"/>
  <c r="AG463" i="6"/>
  <c r="AG462" i="6"/>
  <c r="AG461" i="6"/>
  <c r="AG460" i="6"/>
  <c r="AG459" i="6"/>
  <c r="AG458" i="6"/>
  <c r="AG457" i="6"/>
  <c r="AG456" i="6"/>
  <c r="AG455" i="6"/>
  <c r="AG454" i="6"/>
  <c r="AG453" i="6"/>
  <c r="AG452" i="6"/>
  <c r="AG451" i="6"/>
  <c r="AG450" i="6"/>
  <c r="AG449" i="6"/>
  <c r="AG448" i="6"/>
  <c r="AG447" i="6"/>
  <c r="AG446" i="6"/>
  <c r="AG445" i="6"/>
  <c r="AG444" i="6"/>
  <c r="AG443" i="6"/>
  <c r="AG442" i="6"/>
  <c r="AG441" i="6"/>
  <c r="AG440" i="6"/>
  <c r="AG439" i="6"/>
  <c r="AG438" i="6"/>
  <c r="AG437" i="6"/>
  <c r="AG436" i="6"/>
  <c r="AG435" i="6"/>
  <c r="AG434" i="6"/>
  <c r="AG433" i="6"/>
  <c r="AG432" i="6"/>
  <c r="AG431" i="6"/>
  <c r="AG430" i="6"/>
  <c r="AG429" i="6"/>
  <c r="AG428" i="6"/>
  <c r="AG427" i="6"/>
  <c r="AG426" i="6"/>
  <c r="AG425" i="6"/>
  <c r="AG424" i="6"/>
  <c r="AG423" i="6"/>
  <c r="AG422" i="6"/>
  <c r="AG421" i="6"/>
  <c r="AG420" i="6"/>
  <c r="AG419" i="6"/>
  <c r="AG418" i="6"/>
  <c r="AG417" i="6"/>
  <c r="AG416" i="6"/>
  <c r="AG415" i="6"/>
  <c r="AG414" i="6"/>
  <c r="AG413" i="6"/>
  <c r="AG412" i="6"/>
  <c r="AG411" i="6"/>
  <c r="AG410" i="6"/>
  <c r="AG409" i="6"/>
  <c r="AG408" i="6"/>
  <c r="AG407" i="6"/>
  <c r="AG406" i="6"/>
  <c r="AG405" i="6"/>
  <c r="AG404" i="6"/>
  <c r="AG403" i="6"/>
  <c r="AG402" i="6"/>
  <c r="AG401" i="6"/>
  <c r="AG400" i="6"/>
  <c r="AG399" i="6"/>
  <c r="AG398" i="6"/>
  <c r="AG397" i="6"/>
  <c r="AG396" i="6"/>
  <c r="AG395" i="6"/>
  <c r="AG394" i="6"/>
  <c r="AG393" i="6"/>
  <c r="AG392" i="6"/>
  <c r="AG391" i="6"/>
  <c r="AG390" i="6"/>
  <c r="AG389" i="6"/>
  <c r="AG388" i="6"/>
  <c r="AG387" i="6"/>
  <c r="AG386" i="6"/>
  <c r="AG385" i="6"/>
  <c r="AG384" i="6"/>
  <c r="AG383" i="6"/>
  <c r="AG382" i="6"/>
  <c r="AG381" i="6"/>
  <c r="AG380" i="6"/>
  <c r="AG379" i="6"/>
  <c r="AG378" i="6"/>
  <c r="AG377" i="6"/>
  <c r="AG376" i="6"/>
  <c r="AG375" i="6"/>
  <c r="AG374" i="6"/>
  <c r="AG373" i="6"/>
  <c r="AG372" i="6"/>
  <c r="AG371" i="6"/>
  <c r="AG370" i="6"/>
  <c r="AG369" i="6"/>
  <c r="AG368" i="6"/>
  <c r="AG367" i="6"/>
  <c r="AG366" i="6"/>
  <c r="AG365" i="6"/>
  <c r="AG364" i="6"/>
  <c r="AG363" i="6"/>
  <c r="AG362" i="6"/>
  <c r="AG361" i="6"/>
  <c r="AG360" i="6"/>
  <c r="AG359" i="6"/>
  <c r="AG358" i="6"/>
  <c r="AG357" i="6"/>
  <c r="AG356" i="6"/>
  <c r="AG355" i="6"/>
  <c r="AG354" i="6"/>
  <c r="AG353" i="6"/>
  <c r="AG352" i="6"/>
  <c r="AG351" i="6"/>
  <c r="AG350" i="6"/>
  <c r="AG349" i="6"/>
  <c r="AG348" i="6"/>
  <c r="AG347" i="6"/>
  <c r="AG346" i="6"/>
  <c r="AG345" i="6"/>
  <c r="AG344" i="6"/>
  <c r="AG343" i="6"/>
  <c r="AG342" i="6"/>
  <c r="AG341" i="6"/>
  <c r="AG340" i="6"/>
  <c r="AG339" i="6"/>
  <c r="AG338" i="6"/>
  <c r="AG337" i="6"/>
  <c r="AG336" i="6"/>
  <c r="AG335" i="6"/>
  <c r="AG334" i="6"/>
  <c r="AG333" i="6"/>
  <c r="AG332" i="6"/>
  <c r="AG331" i="6"/>
  <c r="AG330" i="6"/>
  <c r="AG329" i="6"/>
  <c r="AG328" i="6"/>
  <c r="AG327" i="6"/>
  <c r="AG326" i="6"/>
  <c r="AG325" i="6"/>
  <c r="AG324" i="6"/>
  <c r="AG323" i="6"/>
  <c r="AG322" i="6"/>
  <c r="AG321" i="6"/>
  <c r="AG320" i="6"/>
  <c r="AG319" i="6"/>
  <c r="AG318" i="6"/>
  <c r="AG317" i="6"/>
  <c r="AG316" i="6"/>
  <c r="AG315" i="6"/>
  <c r="AG314" i="6"/>
  <c r="AG313" i="6"/>
  <c r="AG312" i="6"/>
  <c r="AG311" i="6"/>
  <c r="AG310" i="6"/>
  <c r="AG309" i="6"/>
  <c r="AG308" i="6"/>
  <c r="AG307" i="6"/>
  <c r="AG306" i="6"/>
  <c r="AG305" i="6"/>
  <c r="AG304" i="6"/>
  <c r="AG303" i="6"/>
  <c r="AG302" i="6"/>
  <c r="AG301" i="6"/>
  <c r="AG300" i="6"/>
  <c r="AG299" i="6"/>
  <c r="AG298" i="6"/>
  <c r="AG297" i="6"/>
  <c r="AG296" i="6"/>
  <c r="AG295" i="6"/>
  <c r="AG294" i="6"/>
  <c r="AG293" i="6"/>
  <c r="AG292" i="6"/>
  <c r="AG291" i="6"/>
  <c r="AG290" i="6"/>
  <c r="AG289" i="6"/>
  <c r="AG288" i="6"/>
  <c r="AG287" i="6"/>
  <c r="AG286" i="6"/>
  <c r="AG285" i="6"/>
  <c r="AG284" i="6"/>
  <c r="AG283" i="6"/>
  <c r="AG282" i="6"/>
  <c r="AG281" i="6"/>
  <c r="AG280" i="6"/>
  <c r="AG279" i="6"/>
  <c r="AG278" i="6"/>
  <c r="AG277" i="6"/>
  <c r="AG276" i="6"/>
  <c r="AG275" i="6"/>
  <c r="AG274" i="6"/>
  <c r="AG273" i="6"/>
  <c r="AG272" i="6"/>
  <c r="AG271" i="6"/>
  <c r="AG270" i="6"/>
  <c r="AG269" i="6"/>
  <c r="AG268" i="6"/>
  <c r="AG267" i="6"/>
  <c r="AG266" i="6"/>
  <c r="AG265" i="6"/>
  <c r="AG264" i="6"/>
  <c r="AG263" i="6"/>
  <c r="AG262" i="6"/>
  <c r="AG261" i="6"/>
  <c r="AG260" i="6"/>
  <c r="AG259" i="6"/>
  <c r="AG258" i="6"/>
  <c r="AG257" i="6"/>
  <c r="AG256" i="6"/>
  <c r="AG255" i="6"/>
  <c r="AG254" i="6"/>
  <c r="AG253" i="6"/>
  <c r="AG252" i="6"/>
  <c r="AG251" i="6"/>
  <c r="AG250" i="6"/>
  <c r="AG249" i="6"/>
  <c r="AG248" i="6"/>
  <c r="AG247" i="6"/>
  <c r="AG246" i="6"/>
  <c r="AG245" i="6"/>
  <c r="AG244" i="6"/>
  <c r="AG243" i="6"/>
  <c r="AG242" i="6"/>
  <c r="AG241" i="6"/>
  <c r="AG240" i="6"/>
  <c r="AG239" i="6"/>
  <c r="AG238" i="6"/>
  <c r="AG237" i="6"/>
  <c r="AG236" i="6"/>
  <c r="AG235" i="6"/>
  <c r="AG234" i="6"/>
  <c r="AG233" i="6"/>
  <c r="AG232" i="6"/>
  <c r="AG231" i="6"/>
  <c r="AG230" i="6"/>
  <c r="AG229" i="6"/>
  <c r="AG228" i="6"/>
  <c r="AG227" i="6"/>
  <c r="AG226" i="6"/>
  <c r="AG225" i="6"/>
  <c r="AG224" i="6"/>
  <c r="AG223" i="6"/>
  <c r="AG222" i="6"/>
  <c r="AG221" i="6"/>
  <c r="AG220" i="6"/>
  <c r="AG219" i="6"/>
  <c r="AG218" i="6"/>
  <c r="AG217" i="6"/>
  <c r="AG216" i="6"/>
  <c r="AG215" i="6"/>
  <c r="AG214" i="6"/>
  <c r="AG213" i="6"/>
  <c r="AG212" i="6"/>
  <c r="AG211" i="6"/>
  <c r="AG210" i="6"/>
  <c r="AG209" i="6"/>
  <c r="AG208" i="6"/>
  <c r="AG207" i="6"/>
  <c r="AG206" i="6"/>
  <c r="AG205" i="6"/>
  <c r="AG204" i="6"/>
  <c r="AG203" i="6"/>
  <c r="AG202" i="6"/>
  <c r="AG201" i="6"/>
  <c r="AG200" i="6"/>
  <c r="AG199" i="6"/>
  <c r="AG198" i="6"/>
  <c r="AG197" i="6"/>
  <c r="AG196" i="6"/>
  <c r="AG195" i="6"/>
  <c r="AG194" i="6"/>
  <c r="AG193" i="6"/>
  <c r="AG192" i="6"/>
  <c r="AG191" i="6"/>
  <c r="AG190" i="6"/>
  <c r="AG189" i="6"/>
  <c r="AG188" i="6"/>
  <c r="AG187" i="6"/>
  <c r="AG186" i="6"/>
  <c r="AG185" i="6"/>
  <c r="AG184" i="6"/>
  <c r="AG183" i="6"/>
  <c r="AG182" i="6"/>
  <c r="AG181" i="6"/>
  <c r="AG180" i="6"/>
  <c r="AG179" i="6"/>
  <c r="AG178" i="6"/>
  <c r="AG177" i="6"/>
  <c r="AG176" i="6"/>
  <c r="AG175" i="6"/>
  <c r="AG174" i="6"/>
  <c r="AG173" i="6"/>
  <c r="AG172" i="6"/>
  <c r="AG171" i="6"/>
  <c r="AG170" i="6"/>
  <c r="AG169" i="6"/>
  <c r="AG168" i="6"/>
  <c r="AG167" i="6"/>
  <c r="AG166" i="6"/>
  <c r="AG165" i="6"/>
  <c r="AG164" i="6"/>
  <c r="AG163" i="6"/>
  <c r="AG162" i="6"/>
  <c r="AG161" i="6"/>
  <c r="AG160" i="6"/>
  <c r="AG159" i="6"/>
  <c r="AG158" i="6"/>
  <c r="AG157" i="6"/>
  <c r="AG156" i="6"/>
  <c r="AG155" i="6"/>
  <c r="AG154" i="6"/>
  <c r="AG153" i="6"/>
  <c r="AG152" i="6"/>
  <c r="AG151" i="6"/>
  <c r="AG150" i="6"/>
  <c r="AG149" i="6"/>
  <c r="AG148" i="6"/>
  <c r="AG147" i="6"/>
  <c r="AG146" i="6"/>
  <c r="AG145" i="6"/>
  <c r="AG144" i="6"/>
  <c r="AG143" i="6"/>
  <c r="AG142" i="6"/>
  <c r="AG141" i="6"/>
  <c r="AG140" i="6"/>
  <c r="AG139" i="6"/>
  <c r="AG138" i="6"/>
  <c r="AG137" i="6"/>
  <c r="AG136" i="6"/>
  <c r="AG135" i="6"/>
  <c r="AG134" i="6"/>
  <c r="AG133" i="6"/>
  <c r="AG132" i="6"/>
  <c r="AG131" i="6"/>
  <c r="AG130" i="6"/>
  <c r="AG129" i="6"/>
  <c r="AG128" i="6"/>
  <c r="AG127" i="6"/>
  <c r="AG126" i="6"/>
  <c r="AG125" i="6"/>
  <c r="AG124" i="6"/>
  <c r="AG123" i="6"/>
  <c r="AG122" i="6"/>
  <c r="AG121" i="6"/>
  <c r="AG120" i="6"/>
  <c r="AG119" i="6"/>
  <c r="AG118" i="6"/>
  <c r="AG117" i="6"/>
  <c r="AG116" i="6"/>
  <c r="AG115" i="6"/>
  <c r="AG114" i="6"/>
  <c r="AG113" i="6"/>
  <c r="AG112" i="6"/>
  <c r="AG111" i="6"/>
  <c r="AG110" i="6"/>
  <c r="AG109" i="6"/>
  <c r="AG108" i="6"/>
  <c r="AG107" i="6"/>
  <c r="AG106" i="6"/>
  <c r="AG105" i="6"/>
  <c r="AG104" i="6"/>
  <c r="AG103" i="6"/>
  <c r="AG102" i="6"/>
  <c r="AG101" i="6"/>
  <c r="AG100" i="6"/>
  <c r="AG99" i="6"/>
  <c r="AG98" i="6"/>
  <c r="AG97" i="6"/>
  <c r="AG96" i="6"/>
  <c r="AG95" i="6"/>
  <c r="AG94" i="6"/>
  <c r="AG93" i="6"/>
  <c r="AG92" i="6"/>
  <c r="AG91" i="6"/>
  <c r="AG90" i="6"/>
  <c r="AG89" i="6"/>
  <c r="AG88" i="6"/>
  <c r="AG87" i="6"/>
  <c r="AG86" i="6"/>
  <c r="AG85" i="6"/>
  <c r="AG84" i="6"/>
  <c r="AG83" i="6"/>
  <c r="AG82" i="6"/>
  <c r="AG81" i="6"/>
  <c r="AG80" i="6"/>
  <c r="AG79" i="6"/>
  <c r="AG78" i="6"/>
  <c r="AG77" i="6"/>
  <c r="AG76" i="6"/>
  <c r="AG75" i="6"/>
  <c r="AG74" i="6"/>
  <c r="AG73" i="6"/>
  <c r="AG72" i="6"/>
  <c r="AG71" i="6"/>
  <c r="AG70" i="6"/>
  <c r="AG69" i="6"/>
  <c r="AG68" i="6"/>
  <c r="AG67" i="6"/>
  <c r="AG66" i="6"/>
  <c r="AG65" i="6"/>
  <c r="AG64" i="6"/>
  <c r="AG63" i="6"/>
  <c r="AG62" i="6"/>
  <c r="AG61" i="6"/>
  <c r="AG60" i="6"/>
  <c r="AG59" i="6"/>
  <c r="AG58" i="6"/>
  <c r="AG57" i="6"/>
  <c r="AG56" i="6"/>
  <c r="AG55" i="6"/>
  <c r="AG54" i="6"/>
  <c r="AG53" i="6"/>
  <c r="AG52" i="6"/>
  <c r="AG51" i="6"/>
  <c r="AG50" i="6"/>
  <c r="AG49" i="6"/>
  <c r="AG48" i="6"/>
  <c r="AG47" i="6"/>
  <c r="AG46" i="6"/>
  <c r="AG45" i="6"/>
  <c r="AG44" i="6"/>
  <c r="AG43" i="6"/>
  <c r="AG42" i="6"/>
  <c r="AG41" i="6"/>
  <c r="AG40" i="6"/>
  <c r="AG39" i="6"/>
  <c r="AG38" i="6"/>
  <c r="AG37" i="6"/>
  <c r="AG36" i="6"/>
  <c r="AG35" i="6"/>
  <c r="AG34" i="6"/>
  <c r="AG33" i="6"/>
  <c r="AG32" i="6"/>
  <c r="AG31" i="6"/>
  <c r="AG30" i="6"/>
  <c r="AG29" i="6"/>
  <c r="AG28" i="6"/>
  <c r="AG27" i="6"/>
  <c r="AG26" i="6"/>
  <c r="AG25" i="6"/>
  <c r="AG24" i="6"/>
  <c r="AG23" i="6"/>
  <c r="AG22" i="6"/>
  <c r="AG21" i="6"/>
  <c r="AG20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AG7" i="6"/>
  <c r="AG6" i="6"/>
  <c r="AG5" i="6"/>
  <c r="AG4" i="6"/>
  <c r="AF1136" i="6"/>
  <c r="AF1135" i="6"/>
  <c r="AF1134" i="6"/>
  <c r="AF1133" i="6"/>
  <c r="AF1132" i="6"/>
  <c r="AF1131" i="6"/>
  <c r="AF1130" i="6"/>
  <c r="AF1129" i="6"/>
  <c r="AF1128" i="6"/>
  <c r="AF1127" i="6"/>
  <c r="AF1126" i="6"/>
  <c r="AF1125" i="6"/>
  <c r="AF1124" i="6"/>
  <c r="AF1123" i="6"/>
  <c r="AF1122" i="6"/>
  <c r="AF1121" i="6"/>
  <c r="AF1120" i="6"/>
  <c r="AF1119" i="6"/>
  <c r="AF1118" i="6"/>
  <c r="AF1117" i="6"/>
  <c r="AF1116" i="6"/>
  <c r="AF1115" i="6"/>
  <c r="AF1114" i="6"/>
  <c r="AF1113" i="6"/>
  <c r="AF1112" i="6"/>
  <c r="AF1111" i="6"/>
  <c r="AF1110" i="6"/>
  <c r="AF1109" i="6"/>
  <c r="AF1108" i="6"/>
  <c r="AF1107" i="6"/>
  <c r="AF1106" i="6"/>
  <c r="AF1105" i="6"/>
  <c r="AF1104" i="6"/>
  <c r="AF1103" i="6"/>
  <c r="AF1102" i="6"/>
  <c r="AF1101" i="6"/>
  <c r="AF1100" i="6"/>
  <c r="AF1099" i="6"/>
  <c r="AF1098" i="6"/>
  <c r="AF1097" i="6"/>
  <c r="AF1096" i="6"/>
  <c r="AF1095" i="6"/>
  <c r="AF1094" i="6"/>
  <c r="AF1093" i="6"/>
  <c r="AF1092" i="6"/>
  <c r="AF1091" i="6"/>
  <c r="AF1090" i="6"/>
  <c r="AF1089" i="6"/>
  <c r="AF1088" i="6"/>
  <c r="AF1087" i="6"/>
  <c r="AF1086" i="6"/>
  <c r="AF1085" i="6"/>
  <c r="AF1084" i="6"/>
  <c r="AF1083" i="6"/>
  <c r="AF1082" i="6"/>
  <c r="AF1081" i="6"/>
  <c r="AF1080" i="6"/>
  <c r="AF1079" i="6"/>
  <c r="AF1078" i="6"/>
  <c r="AF1077" i="6"/>
  <c r="AF1076" i="6"/>
  <c r="AF1075" i="6"/>
  <c r="AF1074" i="6"/>
  <c r="AF1073" i="6"/>
  <c r="AF1072" i="6"/>
  <c r="AF1071" i="6"/>
  <c r="AF1070" i="6"/>
  <c r="AF1069" i="6"/>
  <c r="AF1068" i="6"/>
  <c r="AF1067" i="6"/>
  <c r="AF1066" i="6"/>
  <c r="AF1065" i="6"/>
  <c r="AF1064" i="6"/>
  <c r="AF1063" i="6"/>
  <c r="AF1062" i="6"/>
  <c r="AF1061" i="6"/>
  <c r="AF1060" i="6"/>
  <c r="AF1059" i="6"/>
  <c r="AF1058" i="6"/>
  <c r="AF1057" i="6"/>
  <c r="AF1056" i="6"/>
  <c r="AF1055" i="6"/>
  <c r="AF1054" i="6"/>
  <c r="AF1053" i="6"/>
  <c r="AF1052" i="6"/>
  <c r="AF1051" i="6"/>
  <c r="AF1050" i="6"/>
  <c r="AF1049" i="6"/>
  <c r="AF1048" i="6"/>
  <c r="AF1047" i="6"/>
  <c r="AF1046" i="6"/>
  <c r="AF1045" i="6"/>
  <c r="AF1044" i="6"/>
  <c r="AF1043" i="6"/>
  <c r="AF1042" i="6"/>
  <c r="AF1041" i="6"/>
  <c r="AF1040" i="6"/>
  <c r="AF1039" i="6"/>
  <c r="AF1038" i="6"/>
  <c r="AF1037" i="6"/>
  <c r="AF1036" i="6"/>
  <c r="AF1035" i="6"/>
  <c r="AF1034" i="6"/>
  <c r="AF1033" i="6"/>
  <c r="AF1032" i="6"/>
  <c r="AF1031" i="6"/>
  <c r="AF1030" i="6"/>
  <c r="AF1029" i="6"/>
  <c r="AF1028" i="6"/>
  <c r="AF1027" i="6"/>
  <c r="AF1026" i="6"/>
  <c r="AF1025" i="6"/>
  <c r="AF1024" i="6"/>
  <c r="AF1023" i="6"/>
  <c r="AF1022" i="6"/>
  <c r="AF1021" i="6"/>
  <c r="AF1020" i="6"/>
  <c r="AF1019" i="6"/>
  <c r="AF1018" i="6"/>
  <c r="AF1017" i="6"/>
  <c r="AF1016" i="6"/>
  <c r="AF1015" i="6"/>
  <c r="AF1014" i="6"/>
  <c r="AF1013" i="6"/>
  <c r="AF1012" i="6"/>
  <c r="AF1011" i="6"/>
  <c r="AF1010" i="6"/>
  <c r="AF1009" i="6"/>
  <c r="AF1008" i="6"/>
  <c r="AF1007" i="6"/>
  <c r="AF1006" i="6"/>
  <c r="AF1005" i="6"/>
  <c r="AF1004" i="6"/>
  <c r="AF1003" i="6"/>
  <c r="AF1002" i="6"/>
  <c r="AF1001" i="6"/>
  <c r="AF1000" i="6"/>
  <c r="AF999" i="6"/>
  <c r="AF998" i="6"/>
  <c r="AF997" i="6"/>
  <c r="AF996" i="6"/>
  <c r="AF995" i="6"/>
  <c r="AF994" i="6"/>
  <c r="AF993" i="6"/>
  <c r="AF992" i="6"/>
  <c r="AF991" i="6"/>
  <c r="AF990" i="6"/>
  <c r="AF989" i="6"/>
  <c r="AF988" i="6"/>
  <c r="AF987" i="6"/>
  <c r="AF986" i="6"/>
  <c r="AF985" i="6"/>
  <c r="AF984" i="6"/>
  <c r="AF983" i="6"/>
  <c r="AF982" i="6"/>
  <c r="AF981" i="6"/>
  <c r="AF980" i="6"/>
  <c r="AF979" i="6"/>
  <c r="AF978" i="6"/>
  <c r="AF977" i="6"/>
  <c r="AF976" i="6"/>
  <c r="AF975" i="6"/>
  <c r="AF974" i="6"/>
  <c r="AF973" i="6"/>
  <c r="AF972" i="6"/>
  <c r="AF971" i="6"/>
  <c r="AF970" i="6"/>
  <c r="AF969" i="6"/>
  <c r="AF968" i="6"/>
  <c r="AF967" i="6"/>
  <c r="AF966" i="6"/>
  <c r="AF965" i="6"/>
  <c r="AF964" i="6"/>
  <c r="AF963" i="6"/>
  <c r="AF962" i="6"/>
  <c r="AF961" i="6"/>
  <c r="AF960" i="6"/>
  <c r="AF959" i="6"/>
  <c r="AF958" i="6"/>
  <c r="AF957" i="6"/>
  <c r="AF956" i="6"/>
  <c r="AF955" i="6"/>
  <c r="AF954" i="6"/>
  <c r="AF953" i="6"/>
  <c r="AF952" i="6"/>
  <c r="AF951" i="6"/>
  <c r="AF950" i="6"/>
  <c r="AF949" i="6"/>
  <c r="AF948" i="6"/>
  <c r="AF947" i="6"/>
  <c r="AF946" i="6"/>
  <c r="AF945" i="6"/>
  <c r="AF944" i="6"/>
  <c r="AF943" i="6"/>
  <c r="AF942" i="6"/>
  <c r="AF941" i="6"/>
  <c r="AF940" i="6"/>
  <c r="AF939" i="6"/>
  <c r="AF938" i="6"/>
  <c r="AF937" i="6"/>
  <c r="AF936" i="6"/>
  <c r="AF935" i="6"/>
  <c r="AF934" i="6"/>
  <c r="AF933" i="6"/>
  <c r="AF932" i="6"/>
  <c r="AF931" i="6"/>
  <c r="AF930" i="6"/>
  <c r="AF929" i="6"/>
  <c r="AF928" i="6"/>
  <c r="AF927" i="6"/>
  <c r="AF926" i="6"/>
  <c r="AF925" i="6"/>
  <c r="AF924" i="6"/>
  <c r="AF923" i="6"/>
  <c r="AF922" i="6"/>
  <c r="AF921" i="6"/>
  <c r="AF920" i="6"/>
  <c r="AF919" i="6"/>
  <c r="AF918" i="6"/>
  <c r="AF917" i="6"/>
  <c r="AF916" i="6"/>
  <c r="AF915" i="6"/>
  <c r="AF914" i="6"/>
  <c r="AF913" i="6"/>
  <c r="AF912" i="6"/>
  <c r="AF911" i="6"/>
  <c r="AF910" i="6"/>
  <c r="AF909" i="6"/>
  <c r="AF908" i="6"/>
  <c r="AF907" i="6"/>
  <c r="AF906" i="6"/>
  <c r="AF905" i="6"/>
  <c r="AF904" i="6"/>
  <c r="AF903" i="6"/>
  <c r="AF902" i="6"/>
  <c r="AF901" i="6"/>
  <c r="AF900" i="6"/>
  <c r="AF899" i="6"/>
  <c r="AF898" i="6"/>
  <c r="AF897" i="6"/>
  <c r="AF896" i="6"/>
  <c r="AF895" i="6"/>
  <c r="AF894" i="6"/>
  <c r="AF893" i="6"/>
  <c r="AF892" i="6"/>
  <c r="AF891" i="6"/>
  <c r="AF890" i="6"/>
  <c r="AF889" i="6"/>
  <c r="AF888" i="6"/>
  <c r="AF887" i="6"/>
  <c r="AF886" i="6"/>
  <c r="AF885" i="6"/>
  <c r="AF884" i="6"/>
  <c r="AF883" i="6"/>
  <c r="AF882" i="6"/>
  <c r="AF881" i="6"/>
  <c r="AF880" i="6"/>
  <c r="AF879" i="6"/>
  <c r="AF878" i="6"/>
  <c r="AF877" i="6"/>
  <c r="AF876" i="6"/>
  <c r="AF875" i="6"/>
  <c r="AF874" i="6"/>
  <c r="AF873" i="6"/>
  <c r="AF872" i="6"/>
  <c r="AF871" i="6"/>
  <c r="AF870" i="6"/>
  <c r="AF869" i="6"/>
  <c r="AF868" i="6"/>
  <c r="AF867" i="6"/>
  <c r="AF866" i="6"/>
  <c r="AF865" i="6"/>
  <c r="AF864" i="6"/>
  <c r="AF863" i="6"/>
  <c r="AF862" i="6"/>
  <c r="AF861" i="6"/>
  <c r="AF860" i="6"/>
  <c r="AF859" i="6"/>
  <c r="AF858" i="6"/>
  <c r="AF857" i="6"/>
  <c r="AF856" i="6"/>
  <c r="AF855" i="6"/>
  <c r="AF854" i="6"/>
  <c r="AF853" i="6"/>
  <c r="AF852" i="6"/>
  <c r="AF851" i="6"/>
  <c r="AF850" i="6"/>
  <c r="AF849" i="6"/>
  <c r="AF848" i="6"/>
  <c r="AF847" i="6"/>
  <c r="AF846" i="6"/>
  <c r="AF845" i="6"/>
  <c r="AF844" i="6"/>
  <c r="AF843" i="6"/>
  <c r="AF842" i="6"/>
  <c r="AF841" i="6"/>
  <c r="AF840" i="6"/>
  <c r="AF839" i="6"/>
  <c r="AF838" i="6"/>
  <c r="AF837" i="6"/>
  <c r="AF836" i="6"/>
  <c r="AF835" i="6"/>
  <c r="AF834" i="6"/>
  <c r="AF833" i="6"/>
  <c r="AF832" i="6"/>
  <c r="AF831" i="6"/>
  <c r="AF830" i="6"/>
  <c r="AF829" i="6"/>
  <c r="AF828" i="6"/>
  <c r="AF827" i="6"/>
  <c r="AF826" i="6"/>
  <c r="AF825" i="6"/>
  <c r="AF824" i="6"/>
  <c r="AF823" i="6"/>
  <c r="AF822" i="6"/>
  <c r="AF821" i="6"/>
  <c r="AF820" i="6"/>
  <c r="AF819" i="6"/>
  <c r="AF818" i="6"/>
  <c r="AF817" i="6"/>
  <c r="AF816" i="6"/>
  <c r="AF815" i="6"/>
  <c r="AF814" i="6"/>
  <c r="AF813" i="6"/>
  <c r="AF812" i="6"/>
  <c r="AF811" i="6"/>
  <c r="AF810" i="6"/>
  <c r="AF809" i="6"/>
  <c r="AF808" i="6"/>
  <c r="AF807" i="6"/>
  <c r="AF806" i="6"/>
  <c r="AF805" i="6"/>
  <c r="AF804" i="6"/>
  <c r="AF803" i="6"/>
  <c r="AF802" i="6"/>
  <c r="AF801" i="6"/>
  <c r="AF800" i="6"/>
  <c r="AF799" i="6"/>
  <c r="AF798" i="6"/>
  <c r="AF797" i="6"/>
  <c r="AF796" i="6"/>
  <c r="AF795" i="6"/>
  <c r="AF794" i="6"/>
  <c r="AF793" i="6"/>
  <c r="AF792" i="6"/>
  <c r="AF791" i="6"/>
  <c r="AF790" i="6"/>
  <c r="AF789" i="6"/>
  <c r="AF788" i="6"/>
  <c r="AF787" i="6"/>
  <c r="AF786" i="6"/>
  <c r="AF785" i="6"/>
  <c r="AF784" i="6"/>
  <c r="AF783" i="6"/>
  <c r="AF782" i="6"/>
  <c r="AF781" i="6"/>
  <c r="AF780" i="6"/>
  <c r="AF779" i="6"/>
  <c r="AF778" i="6"/>
  <c r="AF777" i="6"/>
  <c r="AF776" i="6"/>
  <c r="AF775" i="6"/>
  <c r="AF774" i="6"/>
  <c r="AF773" i="6"/>
  <c r="AF772" i="6"/>
  <c r="AF771" i="6"/>
  <c r="AF770" i="6"/>
  <c r="AF769" i="6"/>
  <c r="AF768" i="6"/>
  <c r="AF767" i="6"/>
  <c r="AF766" i="6"/>
  <c r="AF765" i="6"/>
  <c r="AF764" i="6"/>
  <c r="AF763" i="6"/>
  <c r="AF762" i="6"/>
  <c r="AF761" i="6"/>
  <c r="AF760" i="6"/>
  <c r="AF759" i="6"/>
  <c r="AF758" i="6"/>
  <c r="AF757" i="6"/>
  <c r="AF756" i="6"/>
  <c r="AF755" i="6"/>
  <c r="AF754" i="6"/>
  <c r="AF753" i="6"/>
  <c r="AF752" i="6"/>
  <c r="AF751" i="6"/>
  <c r="AF750" i="6"/>
  <c r="AF749" i="6"/>
  <c r="AF748" i="6"/>
  <c r="AF747" i="6"/>
  <c r="AF746" i="6"/>
  <c r="AF745" i="6"/>
  <c r="AF744" i="6"/>
  <c r="AF743" i="6"/>
  <c r="AF742" i="6"/>
  <c r="AF741" i="6"/>
  <c r="AF740" i="6"/>
  <c r="AF739" i="6"/>
  <c r="AF738" i="6"/>
  <c r="AF737" i="6"/>
  <c r="AF736" i="6"/>
  <c r="AF735" i="6"/>
  <c r="AF734" i="6"/>
  <c r="AF733" i="6"/>
  <c r="AF732" i="6"/>
  <c r="AF731" i="6"/>
  <c r="AF730" i="6"/>
  <c r="AF729" i="6"/>
  <c r="AF728" i="6"/>
  <c r="AF727" i="6"/>
  <c r="AF726" i="6"/>
  <c r="AF725" i="6"/>
  <c r="AF724" i="6"/>
  <c r="AF723" i="6"/>
  <c r="AF722" i="6"/>
  <c r="AF721" i="6"/>
  <c r="AF720" i="6"/>
  <c r="AF719" i="6"/>
  <c r="AF718" i="6"/>
  <c r="AF717" i="6"/>
  <c r="AF716" i="6"/>
  <c r="AF715" i="6"/>
  <c r="AF714" i="6"/>
  <c r="AF713" i="6"/>
  <c r="AF712" i="6"/>
  <c r="AF711" i="6"/>
  <c r="AF710" i="6"/>
  <c r="AF709" i="6"/>
  <c r="AF708" i="6"/>
  <c r="AF707" i="6"/>
  <c r="AF706" i="6"/>
  <c r="AF705" i="6"/>
  <c r="AF704" i="6"/>
  <c r="AF703" i="6"/>
  <c r="AF702" i="6"/>
  <c r="AF701" i="6"/>
  <c r="AF700" i="6"/>
  <c r="AF699" i="6"/>
  <c r="AF698" i="6"/>
  <c r="AF697" i="6"/>
  <c r="AF696" i="6"/>
  <c r="AF695" i="6"/>
  <c r="AF694" i="6"/>
  <c r="AF693" i="6"/>
  <c r="AF692" i="6"/>
  <c r="AF691" i="6"/>
  <c r="AF690" i="6"/>
  <c r="AF689" i="6"/>
  <c r="AF688" i="6"/>
  <c r="AF687" i="6"/>
  <c r="AF686" i="6"/>
  <c r="AF685" i="6"/>
  <c r="AF684" i="6"/>
  <c r="AF683" i="6"/>
  <c r="AF682" i="6"/>
  <c r="AF681" i="6"/>
  <c r="AF680" i="6"/>
  <c r="AF679" i="6"/>
  <c r="AF678" i="6"/>
  <c r="AF677" i="6"/>
  <c r="AF676" i="6"/>
  <c r="AF675" i="6"/>
  <c r="AF674" i="6"/>
  <c r="AF673" i="6"/>
  <c r="AF672" i="6"/>
  <c r="AF671" i="6"/>
  <c r="AF670" i="6"/>
  <c r="AF669" i="6"/>
  <c r="AF668" i="6"/>
  <c r="AF667" i="6"/>
  <c r="AF666" i="6"/>
  <c r="AF665" i="6"/>
  <c r="AF664" i="6"/>
  <c r="AF663" i="6"/>
  <c r="AF662" i="6"/>
  <c r="AF661" i="6"/>
  <c r="AF660" i="6"/>
  <c r="AF659" i="6"/>
  <c r="AF658" i="6"/>
  <c r="AF657" i="6"/>
  <c r="AF656" i="6"/>
  <c r="AF655" i="6"/>
  <c r="AF654" i="6"/>
  <c r="AF653" i="6"/>
  <c r="AF652" i="6"/>
  <c r="AF651" i="6"/>
  <c r="AF650" i="6"/>
  <c r="AF649" i="6"/>
  <c r="AF648" i="6"/>
  <c r="AF647" i="6"/>
  <c r="AF646" i="6"/>
  <c r="AF645" i="6"/>
  <c r="AF644" i="6"/>
  <c r="AF643" i="6"/>
  <c r="AF642" i="6"/>
  <c r="AF641" i="6"/>
  <c r="AF640" i="6"/>
  <c r="AF639" i="6"/>
  <c r="AF638" i="6"/>
  <c r="AF637" i="6"/>
  <c r="AF636" i="6"/>
  <c r="AF635" i="6"/>
  <c r="AF634" i="6"/>
  <c r="AF633" i="6"/>
  <c r="AF632" i="6"/>
  <c r="AF631" i="6"/>
  <c r="AF630" i="6"/>
  <c r="AF629" i="6"/>
  <c r="AF628" i="6"/>
  <c r="AF627" i="6"/>
  <c r="AF626" i="6"/>
  <c r="AF625" i="6"/>
  <c r="AF624" i="6"/>
  <c r="AF623" i="6"/>
  <c r="AF622" i="6"/>
  <c r="AF621" i="6"/>
  <c r="AF620" i="6"/>
  <c r="AF619" i="6"/>
  <c r="AF618" i="6"/>
  <c r="AF617" i="6"/>
  <c r="AF616" i="6"/>
  <c r="AF615" i="6"/>
  <c r="AF614" i="6"/>
  <c r="AF613" i="6"/>
  <c r="AF612" i="6"/>
  <c r="AF611" i="6"/>
  <c r="AF610" i="6"/>
  <c r="AF609" i="6"/>
  <c r="AF608" i="6"/>
  <c r="AF607" i="6"/>
  <c r="AF606" i="6"/>
  <c r="AF605" i="6"/>
  <c r="AF604" i="6"/>
  <c r="AF603" i="6"/>
  <c r="AF602" i="6"/>
  <c r="AF601" i="6"/>
  <c r="AF600" i="6"/>
  <c r="AF599" i="6"/>
  <c r="AF598" i="6"/>
  <c r="AF597" i="6"/>
  <c r="AF596" i="6"/>
  <c r="AF595" i="6"/>
  <c r="AF594" i="6"/>
  <c r="AF593" i="6"/>
  <c r="AF592" i="6"/>
  <c r="AF591" i="6"/>
  <c r="AF590" i="6"/>
  <c r="AF589" i="6"/>
  <c r="AF588" i="6"/>
  <c r="AF587" i="6"/>
  <c r="AF586" i="6"/>
  <c r="AF585" i="6"/>
  <c r="AF584" i="6"/>
  <c r="AF583" i="6"/>
  <c r="AF582" i="6"/>
  <c r="AF581" i="6"/>
  <c r="AF580" i="6"/>
  <c r="AF579" i="6"/>
  <c r="AF578" i="6"/>
  <c r="AF577" i="6"/>
  <c r="AF576" i="6"/>
  <c r="AF575" i="6"/>
  <c r="AF574" i="6"/>
  <c r="AF573" i="6"/>
  <c r="AF572" i="6"/>
  <c r="AF571" i="6"/>
  <c r="AF570" i="6"/>
  <c r="AF569" i="6"/>
  <c r="AF568" i="6"/>
  <c r="AF567" i="6"/>
  <c r="AF566" i="6"/>
  <c r="AF565" i="6"/>
  <c r="AF564" i="6"/>
  <c r="AF563" i="6"/>
  <c r="AF562" i="6"/>
  <c r="AF561" i="6"/>
  <c r="AF560" i="6"/>
  <c r="AF559" i="6"/>
  <c r="AF558" i="6"/>
  <c r="AF557" i="6"/>
  <c r="AF556" i="6"/>
  <c r="AF555" i="6"/>
  <c r="AF554" i="6"/>
  <c r="AF553" i="6"/>
  <c r="AF552" i="6"/>
  <c r="AF551" i="6"/>
  <c r="AF550" i="6"/>
  <c r="AF549" i="6"/>
  <c r="AF548" i="6"/>
  <c r="AF547" i="6"/>
  <c r="AF546" i="6"/>
  <c r="AF545" i="6"/>
  <c r="AF544" i="6"/>
  <c r="AF543" i="6"/>
  <c r="AF542" i="6"/>
  <c r="AF541" i="6"/>
  <c r="AF540" i="6"/>
  <c r="AF539" i="6"/>
  <c r="AF538" i="6"/>
  <c r="AF537" i="6"/>
  <c r="AF536" i="6"/>
  <c r="AF535" i="6"/>
  <c r="AF534" i="6"/>
  <c r="AF533" i="6"/>
  <c r="AF532" i="6"/>
  <c r="AF531" i="6"/>
  <c r="AF530" i="6"/>
  <c r="AF529" i="6"/>
  <c r="AF528" i="6"/>
  <c r="AF527" i="6"/>
  <c r="AF526" i="6"/>
  <c r="AF525" i="6"/>
  <c r="AF524" i="6"/>
  <c r="AF523" i="6"/>
  <c r="AF522" i="6"/>
  <c r="AF521" i="6"/>
  <c r="AF520" i="6"/>
  <c r="AF519" i="6"/>
  <c r="AF518" i="6"/>
  <c r="AF517" i="6"/>
  <c r="AF516" i="6"/>
  <c r="AF515" i="6"/>
  <c r="AF514" i="6"/>
  <c r="AF513" i="6"/>
  <c r="AF512" i="6"/>
  <c r="AF511" i="6"/>
  <c r="AF510" i="6"/>
  <c r="AF509" i="6"/>
  <c r="AF508" i="6"/>
  <c r="AF507" i="6"/>
  <c r="AF506" i="6"/>
  <c r="AF505" i="6"/>
  <c r="AF504" i="6"/>
  <c r="AF503" i="6"/>
  <c r="AF502" i="6"/>
  <c r="AF501" i="6"/>
  <c r="AF500" i="6"/>
  <c r="AF499" i="6"/>
  <c r="AF498" i="6"/>
  <c r="AF497" i="6"/>
  <c r="AF496" i="6"/>
  <c r="AF495" i="6"/>
  <c r="AF494" i="6"/>
  <c r="AF493" i="6"/>
  <c r="AF492" i="6"/>
  <c r="AF491" i="6"/>
  <c r="AF490" i="6"/>
  <c r="AF489" i="6"/>
  <c r="AF488" i="6"/>
  <c r="AF487" i="6"/>
  <c r="AF486" i="6"/>
  <c r="AF485" i="6"/>
  <c r="AF484" i="6"/>
  <c r="AF483" i="6"/>
  <c r="AF482" i="6"/>
  <c r="AF481" i="6"/>
  <c r="AF480" i="6"/>
  <c r="AF479" i="6"/>
  <c r="AF478" i="6"/>
  <c r="AF477" i="6"/>
  <c r="AF476" i="6"/>
  <c r="AF475" i="6"/>
  <c r="AF474" i="6"/>
  <c r="AF473" i="6"/>
  <c r="AF472" i="6"/>
  <c r="AF471" i="6"/>
  <c r="AF470" i="6"/>
  <c r="AF469" i="6"/>
  <c r="AF468" i="6"/>
  <c r="AF467" i="6"/>
  <c r="AF466" i="6"/>
  <c r="AF465" i="6"/>
  <c r="AF464" i="6"/>
  <c r="AF463" i="6"/>
  <c r="AF462" i="6"/>
  <c r="AF461" i="6"/>
  <c r="AF460" i="6"/>
  <c r="AF459" i="6"/>
  <c r="AF458" i="6"/>
  <c r="AF457" i="6"/>
  <c r="AF456" i="6"/>
  <c r="AF455" i="6"/>
  <c r="AF454" i="6"/>
  <c r="AF453" i="6"/>
  <c r="AF452" i="6"/>
  <c r="AF451" i="6"/>
  <c r="AF450" i="6"/>
  <c r="AF449" i="6"/>
  <c r="AF448" i="6"/>
  <c r="AF447" i="6"/>
  <c r="AF446" i="6"/>
  <c r="AF445" i="6"/>
  <c r="AF444" i="6"/>
  <c r="AF443" i="6"/>
  <c r="AF442" i="6"/>
  <c r="AF441" i="6"/>
  <c r="AF440" i="6"/>
  <c r="AF439" i="6"/>
  <c r="AF438" i="6"/>
  <c r="AF437" i="6"/>
  <c r="AF436" i="6"/>
  <c r="AF435" i="6"/>
  <c r="AF434" i="6"/>
  <c r="AF433" i="6"/>
  <c r="AF432" i="6"/>
  <c r="AF431" i="6"/>
  <c r="AF430" i="6"/>
  <c r="AF429" i="6"/>
  <c r="AF428" i="6"/>
  <c r="AF427" i="6"/>
  <c r="AF426" i="6"/>
  <c r="AF425" i="6"/>
  <c r="AF424" i="6"/>
  <c r="AF423" i="6"/>
  <c r="AF422" i="6"/>
  <c r="AF421" i="6"/>
  <c r="AF420" i="6"/>
  <c r="AF419" i="6"/>
  <c r="AF418" i="6"/>
  <c r="AF417" i="6"/>
  <c r="AF416" i="6"/>
  <c r="AF415" i="6"/>
  <c r="AF414" i="6"/>
  <c r="AF413" i="6"/>
  <c r="AF412" i="6"/>
  <c r="AF411" i="6"/>
  <c r="AF410" i="6"/>
  <c r="AF409" i="6"/>
  <c r="AF408" i="6"/>
  <c r="AF407" i="6"/>
  <c r="AF406" i="6"/>
  <c r="AF405" i="6"/>
  <c r="AF404" i="6"/>
  <c r="AF403" i="6"/>
  <c r="AF402" i="6"/>
  <c r="AF401" i="6"/>
  <c r="AF400" i="6"/>
  <c r="AF399" i="6"/>
  <c r="AF398" i="6"/>
  <c r="AF397" i="6"/>
  <c r="AF396" i="6"/>
  <c r="AF395" i="6"/>
  <c r="AF394" i="6"/>
  <c r="AF393" i="6"/>
  <c r="AF392" i="6"/>
  <c r="AF391" i="6"/>
  <c r="AF390" i="6"/>
  <c r="AF389" i="6"/>
  <c r="AF388" i="6"/>
  <c r="AF387" i="6"/>
  <c r="AF386" i="6"/>
  <c r="AF385" i="6"/>
  <c r="AF384" i="6"/>
  <c r="AF383" i="6"/>
  <c r="AF382" i="6"/>
  <c r="AF381" i="6"/>
  <c r="AF380" i="6"/>
  <c r="AF379" i="6"/>
  <c r="AF378" i="6"/>
  <c r="AF377" i="6"/>
  <c r="AF376" i="6"/>
  <c r="AF375" i="6"/>
  <c r="AF374" i="6"/>
  <c r="AF373" i="6"/>
  <c r="AF372" i="6"/>
  <c r="AF371" i="6"/>
  <c r="AF370" i="6"/>
  <c r="AF369" i="6"/>
  <c r="AF368" i="6"/>
  <c r="AF367" i="6"/>
  <c r="AF366" i="6"/>
  <c r="AF365" i="6"/>
  <c r="AF364" i="6"/>
  <c r="AF363" i="6"/>
  <c r="AF362" i="6"/>
  <c r="AF361" i="6"/>
  <c r="AF360" i="6"/>
  <c r="AF359" i="6"/>
  <c r="AF358" i="6"/>
  <c r="AF357" i="6"/>
  <c r="AF356" i="6"/>
  <c r="AF355" i="6"/>
  <c r="AF354" i="6"/>
  <c r="AF353" i="6"/>
  <c r="AF352" i="6"/>
  <c r="AF351" i="6"/>
  <c r="AF350" i="6"/>
  <c r="AF349" i="6"/>
  <c r="AF348" i="6"/>
  <c r="AF347" i="6"/>
  <c r="AF346" i="6"/>
  <c r="AF345" i="6"/>
  <c r="AF344" i="6"/>
  <c r="AF343" i="6"/>
  <c r="AF342" i="6"/>
  <c r="AF341" i="6"/>
  <c r="AF340" i="6"/>
  <c r="AF339" i="6"/>
  <c r="AF338" i="6"/>
  <c r="AF337" i="6"/>
  <c r="AF336" i="6"/>
  <c r="AF335" i="6"/>
  <c r="AF334" i="6"/>
  <c r="AF333" i="6"/>
  <c r="AF332" i="6"/>
  <c r="AF331" i="6"/>
  <c r="AF330" i="6"/>
  <c r="AF329" i="6"/>
  <c r="AF328" i="6"/>
  <c r="AF327" i="6"/>
  <c r="AF326" i="6"/>
  <c r="AF325" i="6"/>
  <c r="AF324" i="6"/>
  <c r="AF323" i="6"/>
  <c r="AF322" i="6"/>
  <c r="AF321" i="6"/>
  <c r="AF320" i="6"/>
  <c r="AF319" i="6"/>
  <c r="AF318" i="6"/>
  <c r="AF317" i="6"/>
  <c r="AF316" i="6"/>
  <c r="AF315" i="6"/>
  <c r="AF314" i="6"/>
  <c r="AF313" i="6"/>
  <c r="AF312" i="6"/>
  <c r="AF311" i="6"/>
  <c r="AF310" i="6"/>
  <c r="AF309" i="6"/>
  <c r="AF308" i="6"/>
  <c r="AF307" i="6"/>
  <c r="AF306" i="6"/>
  <c r="AF305" i="6"/>
  <c r="AF304" i="6"/>
  <c r="AF303" i="6"/>
  <c r="AF302" i="6"/>
  <c r="AF301" i="6"/>
  <c r="AF300" i="6"/>
  <c r="AF299" i="6"/>
  <c r="AF298" i="6"/>
  <c r="AF297" i="6"/>
  <c r="AF296" i="6"/>
  <c r="AF295" i="6"/>
  <c r="AF294" i="6"/>
  <c r="AF293" i="6"/>
  <c r="AF292" i="6"/>
  <c r="AF291" i="6"/>
  <c r="AF290" i="6"/>
  <c r="AF289" i="6"/>
  <c r="AF288" i="6"/>
  <c r="AF287" i="6"/>
  <c r="AF286" i="6"/>
  <c r="AF285" i="6"/>
  <c r="AF284" i="6"/>
  <c r="AF283" i="6"/>
  <c r="AF282" i="6"/>
  <c r="AF281" i="6"/>
  <c r="AF280" i="6"/>
  <c r="AF279" i="6"/>
  <c r="AF278" i="6"/>
  <c r="AF277" i="6"/>
  <c r="AF276" i="6"/>
  <c r="AF275" i="6"/>
  <c r="AF274" i="6"/>
  <c r="AF273" i="6"/>
  <c r="AF272" i="6"/>
  <c r="AF271" i="6"/>
  <c r="AF270" i="6"/>
  <c r="AF269" i="6"/>
  <c r="AF268" i="6"/>
  <c r="AF267" i="6"/>
  <c r="AF266" i="6"/>
  <c r="AF265" i="6"/>
  <c r="AF264" i="6"/>
  <c r="AF263" i="6"/>
  <c r="AF262" i="6"/>
  <c r="AF261" i="6"/>
  <c r="AF260" i="6"/>
  <c r="AF259" i="6"/>
  <c r="AF258" i="6"/>
  <c r="AF257" i="6"/>
  <c r="AF256" i="6"/>
  <c r="AF255" i="6"/>
  <c r="AF254" i="6"/>
  <c r="AF253" i="6"/>
  <c r="AF252" i="6"/>
  <c r="AF251" i="6"/>
  <c r="AF250" i="6"/>
  <c r="AF249" i="6"/>
  <c r="AF248" i="6"/>
  <c r="AF247" i="6"/>
  <c r="AF246" i="6"/>
  <c r="AF245" i="6"/>
  <c r="AF244" i="6"/>
  <c r="AF243" i="6"/>
  <c r="AF242" i="6"/>
  <c r="AF241" i="6"/>
  <c r="AF240" i="6"/>
  <c r="AF239" i="6"/>
  <c r="AF238" i="6"/>
  <c r="AF237" i="6"/>
  <c r="AF236" i="6"/>
  <c r="AF235" i="6"/>
  <c r="AF234" i="6"/>
  <c r="AF233" i="6"/>
  <c r="AF232" i="6"/>
  <c r="AF231" i="6"/>
  <c r="AF230" i="6"/>
  <c r="AF229" i="6"/>
  <c r="AF228" i="6"/>
  <c r="AF227" i="6"/>
  <c r="AF226" i="6"/>
  <c r="AF225" i="6"/>
  <c r="AF224" i="6"/>
  <c r="AF223" i="6"/>
  <c r="AF222" i="6"/>
  <c r="AF221" i="6"/>
  <c r="AF220" i="6"/>
  <c r="AF219" i="6"/>
  <c r="AF218" i="6"/>
  <c r="AF217" i="6"/>
  <c r="AF216" i="6"/>
  <c r="AF215" i="6"/>
  <c r="AF214" i="6"/>
  <c r="AF213" i="6"/>
  <c r="AF212" i="6"/>
  <c r="AF211" i="6"/>
  <c r="AF210" i="6"/>
  <c r="AF209" i="6"/>
  <c r="AF208" i="6"/>
  <c r="AF207" i="6"/>
  <c r="AF206" i="6"/>
  <c r="AF205" i="6"/>
  <c r="AF204" i="6"/>
  <c r="AF203" i="6"/>
  <c r="AF202" i="6"/>
  <c r="AF201" i="6"/>
  <c r="AF200" i="6"/>
  <c r="AF199" i="6"/>
  <c r="AF198" i="6"/>
  <c r="AF197" i="6"/>
  <c r="AF196" i="6"/>
  <c r="AF195" i="6"/>
  <c r="AF194" i="6"/>
  <c r="AF193" i="6"/>
  <c r="AF192" i="6"/>
  <c r="AF191" i="6"/>
  <c r="AF190" i="6"/>
  <c r="AF189" i="6"/>
  <c r="AF188" i="6"/>
  <c r="AF187" i="6"/>
  <c r="AF186" i="6"/>
  <c r="AF185" i="6"/>
  <c r="AF184" i="6"/>
  <c r="AF183" i="6"/>
  <c r="AF182" i="6"/>
  <c r="AF181" i="6"/>
  <c r="AF180" i="6"/>
  <c r="AF179" i="6"/>
  <c r="AF178" i="6"/>
  <c r="AF177" i="6"/>
  <c r="AF176" i="6"/>
  <c r="AF175" i="6"/>
  <c r="AF174" i="6"/>
  <c r="AF173" i="6"/>
  <c r="AF172" i="6"/>
  <c r="AF171" i="6"/>
  <c r="AF170" i="6"/>
  <c r="AF169" i="6"/>
  <c r="AF168" i="6"/>
  <c r="AF167" i="6"/>
  <c r="AF166" i="6"/>
  <c r="AF165" i="6"/>
  <c r="AF164" i="6"/>
  <c r="AF163" i="6"/>
  <c r="AF162" i="6"/>
  <c r="AF161" i="6"/>
  <c r="AF160" i="6"/>
  <c r="AF159" i="6"/>
  <c r="AF158" i="6"/>
  <c r="AF157" i="6"/>
  <c r="AF156" i="6"/>
  <c r="AF155" i="6"/>
  <c r="AF154" i="6"/>
  <c r="AF153" i="6"/>
  <c r="AF152" i="6"/>
  <c r="AF151" i="6"/>
  <c r="AF150" i="6"/>
  <c r="AF149" i="6"/>
  <c r="AF148" i="6"/>
  <c r="AF147" i="6"/>
  <c r="AF146" i="6"/>
  <c r="AF145" i="6"/>
  <c r="AF144" i="6"/>
  <c r="AF143" i="6"/>
  <c r="AF142" i="6"/>
  <c r="AF141" i="6"/>
  <c r="AF140" i="6"/>
  <c r="AF139" i="6"/>
  <c r="AF138" i="6"/>
  <c r="AF137" i="6"/>
  <c r="AF136" i="6"/>
  <c r="AF135" i="6"/>
  <c r="AF134" i="6"/>
  <c r="AF133" i="6"/>
  <c r="AF132" i="6"/>
  <c r="AF131" i="6"/>
  <c r="AF130" i="6"/>
  <c r="AF129" i="6"/>
  <c r="AF128" i="6"/>
  <c r="AF127" i="6"/>
  <c r="AF126" i="6"/>
  <c r="AF125" i="6"/>
  <c r="AF124" i="6"/>
  <c r="AF123" i="6"/>
  <c r="AF122" i="6"/>
  <c r="AF121" i="6"/>
  <c r="AF120" i="6"/>
  <c r="AF119" i="6"/>
  <c r="AF118" i="6"/>
  <c r="AF117" i="6"/>
  <c r="AF116" i="6"/>
  <c r="AF115" i="6"/>
  <c r="AF114" i="6"/>
  <c r="AF113" i="6"/>
  <c r="AF112" i="6"/>
  <c r="AF111" i="6"/>
  <c r="AF110" i="6"/>
  <c r="AF109" i="6"/>
  <c r="AF108" i="6"/>
  <c r="AF107" i="6"/>
  <c r="AF106" i="6"/>
  <c r="AF105" i="6"/>
  <c r="AF104" i="6"/>
  <c r="AF103" i="6"/>
  <c r="AF102" i="6"/>
  <c r="AF101" i="6"/>
  <c r="AF100" i="6"/>
  <c r="AF99" i="6"/>
  <c r="AF98" i="6"/>
  <c r="AF97" i="6"/>
  <c r="AF96" i="6"/>
  <c r="AF95" i="6"/>
  <c r="AF94" i="6"/>
  <c r="AF93" i="6"/>
  <c r="AF92" i="6"/>
  <c r="AF91" i="6"/>
  <c r="AF90" i="6"/>
  <c r="AF89" i="6"/>
  <c r="AF88" i="6"/>
  <c r="AF87" i="6"/>
  <c r="AF86" i="6"/>
  <c r="AF85" i="6"/>
  <c r="AF84" i="6"/>
  <c r="AF83" i="6"/>
  <c r="AF82" i="6"/>
  <c r="AF81" i="6"/>
  <c r="AF80" i="6"/>
  <c r="AF79" i="6"/>
  <c r="AF78" i="6"/>
  <c r="AF77" i="6"/>
  <c r="AF76" i="6"/>
  <c r="AF75" i="6"/>
  <c r="AF74" i="6"/>
  <c r="AF73" i="6"/>
  <c r="AF72" i="6"/>
  <c r="AF71" i="6"/>
  <c r="AF70" i="6"/>
  <c r="AF69" i="6"/>
  <c r="AF68" i="6"/>
  <c r="AF67" i="6"/>
  <c r="AF66" i="6"/>
  <c r="AF65" i="6"/>
  <c r="AF64" i="6"/>
  <c r="AF63" i="6"/>
  <c r="AF62" i="6"/>
  <c r="AF61" i="6"/>
  <c r="AF60" i="6"/>
  <c r="AF59" i="6"/>
  <c r="AF58" i="6"/>
  <c r="AF57" i="6"/>
  <c r="AF56" i="6"/>
  <c r="AF55" i="6"/>
  <c r="AF54" i="6"/>
  <c r="AF53" i="6"/>
  <c r="AF52" i="6"/>
  <c r="AF51" i="6"/>
  <c r="AF50" i="6"/>
  <c r="AF49" i="6"/>
  <c r="AF48" i="6"/>
  <c r="AF47" i="6"/>
  <c r="AF46" i="6"/>
  <c r="AF45" i="6"/>
  <c r="AF44" i="6"/>
  <c r="AF43" i="6"/>
  <c r="AF42" i="6"/>
  <c r="AF41" i="6"/>
  <c r="AF40" i="6"/>
  <c r="AF39" i="6"/>
  <c r="AF38" i="6"/>
  <c r="AF37" i="6"/>
  <c r="AF36" i="6"/>
  <c r="AF35" i="6"/>
  <c r="AF34" i="6"/>
  <c r="AF33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G3" i="6"/>
  <c r="AF3" i="6"/>
  <c r="AJ4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80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879" i="6"/>
  <c r="AH880" i="6"/>
  <c r="AH881" i="6"/>
  <c r="AH882" i="6"/>
  <c r="AH883" i="6"/>
  <c r="AH884" i="6"/>
  <c r="AH885" i="6"/>
  <c r="AH886" i="6"/>
  <c r="AH887" i="6"/>
  <c r="AH888" i="6"/>
  <c r="AH889" i="6"/>
  <c r="AH890" i="6"/>
  <c r="AH891" i="6"/>
  <c r="AH892" i="6"/>
  <c r="AH893" i="6"/>
  <c r="AH894" i="6"/>
  <c r="AH895" i="6"/>
  <c r="AH896" i="6"/>
  <c r="AH897" i="6"/>
  <c r="AH898" i="6"/>
  <c r="AH899" i="6"/>
  <c r="AH900" i="6"/>
  <c r="AH901" i="6"/>
  <c r="AH902" i="6"/>
  <c r="AH903" i="6"/>
  <c r="AH904" i="6"/>
  <c r="AH905" i="6"/>
  <c r="AH906" i="6"/>
  <c r="AH907" i="6"/>
  <c r="AH908" i="6"/>
  <c r="AH909" i="6"/>
  <c r="AH910" i="6"/>
  <c r="AH911" i="6"/>
  <c r="AH912" i="6"/>
  <c r="AH913" i="6"/>
  <c r="AH914" i="6"/>
  <c r="AH915" i="6"/>
  <c r="AH916" i="6"/>
  <c r="AH917" i="6"/>
  <c r="AH918" i="6"/>
  <c r="AH919" i="6"/>
  <c r="AH920" i="6"/>
  <c r="AH921" i="6"/>
  <c r="AH922" i="6"/>
  <c r="AH923" i="6"/>
  <c r="AH924" i="6"/>
  <c r="AH925" i="6"/>
  <c r="AH926" i="6"/>
  <c r="AH927" i="6"/>
  <c r="AH928" i="6"/>
  <c r="AH929" i="6"/>
  <c r="AH930" i="6"/>
  <c r="AH931" i="6"/>
  <c r="AH932" i="6"/>
  <c r="AH933" i="6"/>
  <c r="AH934" i="6"/>
  <c r="AH935" i="6"/>
  <c r="AH936" i="6"/>
  <c r="AH937" i="6"/>
  <c r="AH938" i="6"/>
  <c r="AH939" i="6"/>
  <c r="AH940" i="6"/>
  <c r="AH941" i="6"/>
  <c r="AH942" i="6"/>
  <c r="AH943" i="6"/>
  <c r="AH944" i="6"/>
  <c r="AH945" i="6"/>
  <c r="AH946" i="6"/>
  <c r="AH947" i="6"/>
  <c r="AH948" i="6"/>
  <c r="AH949" i="6"/>
  <c r="AH950" i="6"/>
  <c r="AH951" i="6"/>
  <c r="AH952" i="6"/>
  <c r="AH953" i="6"/>
  <c r="AH954" i="6"/>
  <c r="AH955" i="6"/>
  <c r="AH956" i="6"/>
  <c r="AH957" i="6"/>
  <c r="AH958" i="6"/>
  <c r="AH959" i="6"/>
  <c r="AH960" i="6"/>
  <c r="AH961" i="6"/>
  <c r="AH962" i="6"/>
  <c r="AH963" i="6"/>
  <c r="AH964" i="6"/>
  <c r="AH965" i="6"/>
  <c r="AH966" i="6"/>
  <c r="AH967" i="6"/>
  <c r="AH968" i="6"/>
  <c r="AH969" i="6"/>
  <c r="AH970" i="6"/>
  <c r="AH971" i="6"/>
  <c r="AH972" i="6"/>
  <c r="AH973" i="6"/>
  <c r="AH974" i="6"/>
  <c r="AH975" i="6"/>
  <c r="AH976" i="6"/>
  <c r="AH977" i="6"/>
  <c r="AH978" i="6"/>
  <c r="AH979" i="6"/>
  <c r="AH980" i="6"/>
  <c r="AH981" i="6"/>
  <c r="AH982" i="6"/>
  <c r="AH983" i="6"/>
  <c r="AH984" i="6"/>
  <c r="AH985" i="6"/>
  <c r="AH986" i="6"/>
  <c r="AH987" i="6"/>
  <c r="AH988" i="6"/>
  <c r="AH989" i="6"/>
  <c r="AH990" i="6"/>
  <c r="AH991" i="6"/>
  <c r="AH992" i="6"/>
  <c r="AH993" i="6"/>
  <c r="AH994" i="6"/>
  <c r="AH995" i="6"/>
  <c r="AH996" i="6"/>
  <c r="AH997" i="6"/>
  <c r="AH998" i="6"/>
  <c r="AH999" i="6"/>
  <c r="AH1000" i="6"/>
  <c r="AH1001" i="6"/>
  <c r="AH1002" i="6"/>
  <c r="AH1003" i="6"/>
  <c r="AH1004" i="6"/>
  <c r="AH1005" i="6"/>
  <c r="AH1006" i="6"/>
  <c r="AH1007" i="6"/>
  <c r="AH1008" i="6"/>
  <c r="AH1009" i="6"/>
  <c r="AH1010" i="6"/>
  <c r="AH1011" i="6"/>
  <c r="AH1012" i="6"/>
  <c r="AH1013" i="6"/>
  <c r="AH1014" i="6"/>
  <c r="AH1015" i="6"/>
  <c r="AH1016" i="6"/>
  <c r="AH1017" i="6"/>
  <c r="AH1018" i="6"/>
  <c r="AH1019" i="6"/>
  <c r="AH1020" i="6"/>
  <c r="AH1021" i="6"/>
  <c r="AH1022" i="6"/>
  <c r="AH1023" i="6"/>
  <c r="AH1024" i="6"/>
  <c r="AH1025" i="6"/>
  <c r="AH1026" i="6"/>
  <c r="AH1027" i="6"/>
  <c r="AH1028" i="6"/>
  <c r="AH1029" i="6"/>
  <c r="AH1030" i="6"/>
  <c r="AH1031" i="6"/>
  <c r="AH1032" i="6"/>
  <c r="AH1033" i="6"/>
  <c r="AH1034" i="6"/>
  <c r="AH1035" i="6"/>
  <c r="AH1036" i="6"/>
  <c r="AH1037" i="6"/>
  <c r="AH1038" i="6"/>
  <c r="AH1039" i="6"/>
  <c r="AH1040" i="6"/>
  <c r="AH1041" i="6"/>
  <c r="AH1042" i="6"/>
  <c r="AH1043" i="6"/>
  <c r="AH1044" i="6"/>
  <c r="AH1045" i="6"/>
  <c r="AH1046" i="6"/>
  <c r="AH1047" i="6"/>
  <c r="AH1048" i="6"/>
  <c r="AH1049" i="6"/>
  <c r="AH1050" i="6"/>
  <c r="AH1051" i="6"/>
  <c r="AH1052" i="6"/>
  <c r="AH1053" i="6"/>
  <c r="AH1054" i="6"/>
  <c r="AH1055" i="6"/>
  <c r="AH1056" i="6"/>
  <c r="AH1057" i="6"/>
  <c r="AH1058" i="6"/>
  <c r="AH1059" i="6"/>
  <c r="AH1060" i="6"/>
  <c r="AH1061" i="6"/>
  <c r="AH1062" i="6"/>
  <c r="AH1063" i="6"/>
  <c r="AH1064" i="6"/>
  <c r="AH1065" i="6"/>
  <c r="AH1066" i="6"/>
  <c r="AH1067" i="6"/>
  <c r="AH1068" i="6"/>
  <c r="AH1069" i="6"/>
  <c r="AH1070" i="6"/>
  <c r="AH1071" i="6"/>
  <c r="AH1072" i="6"/>
  <c r="AH1073" i="6"/>
  <c r="AH1074" i="6"/>
  <c r="AH1075" i="6"/>
  <c r="AH1076" i="6"/>
  <c r="AH1077" i="6"/>
  <c r="AH1078" i="6"/>
  <c r="AH1079" i="6"/>
  <c r="AH1080" i="6"/>
  <c r="AH1081" i="6"/>
  <c r="AH1082" i="6"/>
  <c r="AH1083" i="6"/>
  <c r="AH1084" i="6"/>
  <c r="AH1085" i="6"/>
  <c r="AH1086" i="6"/>
  <c r="AH1087" i="6"/>
  <c r="AH1088" i="6"/>
  <c r="AH1089" i="6"/>
  <c r="AH1090" i="6"/>
  <c r="AH1091" i="6"/>
  <c r="AH1092" i="6"/>
  <c r="AH1093" i="6"/>
  <c r="AH1094" i="6"/>
  <c r="AH1095" i="6"/>
  <c r="AH1096" i="6"/>
  <c r="AH1097" i="6"/>
  <c r="AH1098" i="6"/>
  <c r="AH1099" i="6"/>
  <c r="AH1100" i="6"/>
  <c r="AH1101" i="6"/>
  <c r="AH1102" i="6"/>
  <c r="AH1103" i="6"/>
  <c r="AH1104" i="6"/>
  <c r="AH1105" i="6"/>
  <c r="AH1106" i="6"/>
  <c r="AH1107" i="6"/>
  <c r="AH1108" i="6"/>
  <c r="AH1109" i="6"/>
  <c r="AH1110" i="6"/>
  <c r="AH1111" i="6"/>
  <c r="AH1112" i="6"/>
  <c r="AH1113" i="6"/>
  <c r="AH1114" i="6"/>
  <c r="AH1115" i="6"/>
  <c r="AH1116" i="6"/>
  <c r="AH1117" i="6"/>
  <c r="AH1118" i="6"/>
  <c r="AH1119" i="6"/>
  <c r="AH1120" i="6"/>
  <c r="AH1121" i="6"/>
  <c r="AH1122" i="6"/>
  <c r="AH1123" i="6"/>
  <c r="AH1124" i="6"/>
  <c r="AH1125" i="6"/>
  <c r="AH1126" i="6"/>
  <c r="AH1127" i="6"/>
  <c r="AH1128" i="6"/>
  <c r="AH1129" i="6"/>
  <c r="AH1130" i="6"/>
  <c r="AH1131" i="6"/>
  <c r="AH1132" i="6"/>
  <c r="AH1133" i="6"/>
  <c r="AH1134" i="6"/>
  <c r="AH1135" i="6"/>
  <c r="AH1136" i="6"/>
  <c r="AJ2" i="6"/>
  <c r="AJ3" i="6"/>
  <c r="AJ5" i="6"/>
  <c r="AJ7" i="6"/>
  <c r="AB1003" i="6"/>
  <c r="AC1003" i="6"/>
  <c r="AD1003" i="6"/>
  <c r="AB1004" i="6"/>
  <c r="AC1004" i="6"/>
  <c r="AD1004" i="6"/>
  <c r="AB1005" i="6"/>
  <c r="AC1005" i="6"/>
  <c r="AD1005" i="6"/>
  <c r="AB1006" i="6"/>
  <c r="AC1006" i="6"/>
  <c r="AD1006" i="6"/>
  <c r="AB1007" i="6"/>
  <c r="AC1007" i="6"/>
  <c r="AD1007" i="6"/>
  <c r="AB1008" i="6"/>
  <c r="AC1008" i="6"/>
  <c r="AD1008" i="6"/>
  <c r="AB1009" i="6"/>
  <c r="AC1009" i="6"/>
  <c r="AD1009" i="6"/>
  <c r="AB1010" i="6"/>
  <c r="AC1010" i="6"/>
  <c r="AD1010" i="6"/>
  <c r="AB1011" i="6"/>
  <c r="AC1011" i="6"/>
  <c r="AD1011" i="6"/>
  <c r="AB1012" i="6"/>
  <c r="AC1012" i="6"/>
  <c r="AD1012" i="6"/>
  <c r="AB1013" i="6"/>
  <c r="AC1013" i="6"/>
  <c r="AD1013" i="6"/>
  <c r="AB1014" i="6"/>
  <c r="AC1014" i="6"/>
  <c r="AD1014" i="6"/>
  <c r="AB1015" i="6"/>
  <c r="AC1015" i="6"/>
  <c r="AD1015" i="6"/>
  <c r="AB1016" i="6"/>
  <c r="AC1016" i="6"/>
  <c r="AD1016" i="6"/>
  <c r="AB1017" i="6"/>
  <c r="AC1017" i="6"/>
  <c r="AD1017" i="6"/>
  <c r="AB1018" i="6"/>
  <c r="AC1018" i="6"/>
  <c r="AD1018" i="6"/>
  <c r="AB1019" i="6"/>
  <c r="AC1019" i="6"/>
  <c r="AE1015" i="6" s="1"/>
  <c r="AD1019" i="6"/>
  <c r="AB1020" i="6"/>
  <c r="AC1020" i="6"/>
  <c r="AD1020" i="6"/>
  <c r="AB1021" i="6"/>
  <c r="AC1021" i="6"/>
  <c r="AD1021" i="6"/>
  <c r="AB1022" i="6"/>
  <c r="AC1022" i="6"/>
  <c r="AD1022" i="6"/>
  <c r="AB1023" i="6"/>
  <c r="AC1023" i="6"/>
  <c r="AE1019" i="6" s="1"/>
  <c r="AD1023" i="6"/>
  <c r="AB1024" i="6"/>
  <c r="AC1024" i="6"/>
  <c r="AD1024" i="6"/>
  <c r="AB1025" i="6"/>
  <c r="AC1025" i="6"/>
  <c r="AD1025" i="6"/>
  <c r="AB1026" i="6"/>
  <c r="AC1026" i="6"/>
  <c r="AE1023" i="6" s="1"/>
  <c r="AD1026" i="6"/>
  <c r="AB1027" i="6"/>
  <c r="AC1027" i="6"/>
  <c r="AD1027" i="6"/>
  <c r="AB1028" i="6"/>
  <c r="AC1028" i="6"/>
  <c r="AE1026" i="6" s="1"/>
  <c r="AD1028" i="6"/>
  <c r="AB1029" i="6"/>
  <c r="AC1029" i="6"/>
  <c r="AD1029" i="6"/>
  <c r="AB1030" i="6"/>
  <c r="AC1030" i="6"/>
  <c r="AD1030" i="6"/>
  <c r="AB1031" i="6"/>
  <c r="AC1031" i="6"/>
  <c r="AD1031" i="6"/>
  <c r="AB1032" i="6"/>
  <c r="AC1032" i="6"/>
  <c r="AE1021" i="6" s="1"/>
  <c r="AD1032" i="6"/>
  <c r="AB1033" i="6"/>
  <c r="AC1033" i="6"/>
  <c r="AE1030" i="6" s="1"/>
  <c r="AD1033" i="6"/>
  <c r="AB1034" i="6"/>
  <c r="AC1034" i="6"/>
  <c r="AE1031" i="6" s="1"/>
  <c r="AD1034" i="6"/>
  <c r="AB1035" i="6"/>
  <c r="AC1035" i="6"/>
  <c r="AD1035" i="6"/>
  <c r="AB1036" i="6"/>
  <c r="AC1036" i="6"/>
  <c r="AE1032" i="6" s="1"/>
  <c r="AD1036" i="6"/>
  <c r="AB1037" i="6"/>
  <c r="AC1037" i="6"/>
  <c r="AD1037" i="6"/>
  <c r="AB1038" i="6"/>
  <c r="AC1038" i="6"/>
  <c r="AE1035" i="6" s="1"/>
  <c r="AD1038" i="6"/>
  <c r="AB1039" i="6"/>
  <c r="AC1039" i="6"/>
  <c r="AD1039" i="6"/>
  <c r="AB1040" i="6"/>
  <c r="AC1040" i="6"/>
  <c r="AE1036" i="6" s="1"/>
  <c r="AD1040" i="6"/>
  <c r="AB1041" i="6"/>
  <c r="AC1041" i="6"/>
  <c r="AD1041" i="6"/>
  <c r="AB1042" i="6"/>
  <c r="AC1042" i="6"/>
  <c r="AE1039" i="6" s="1"/>
  <c r="AD1042" i="6"/>
  <c r="AB1043" i="6"/>
  <c r="AC1043" i="6"/>
  <c r="AD1043" i="6"/>
  <c r="AB1044" i="6"/>
  <c r="AC1044" i="6"/>
  <c r="AE1040" i="6" s="1"/>
  <c r="AD1044" i="6"/>
  <c r="AB1045" i="6"/>
  <c r="AC1045" i="6"/>
  <c r="AD1045" i="6"/>
  <c r="AB1046" i="6"/>
  <c r="AC1046" i="6"/>
  <c r="AE1043" i="6" s="1"/>
  <c r="AD1046" i="6"/>
  <c r="AB1047" i="6"/>
  <c r="AC1047" i="6"/>
  <c r="AD1047" i="6"/>
  <c r="AB1048" i="6"/>
  <c r="AC1048" i="6"/>
  <c r="AE1044" i="6" s="1"/>
  <c r="AD1048" i="6"/>
  <c r="AB1049" i="6"/>
  <c r="AC1049" i="6"/>
  <c r="AD1049" i="6"/>
  <c r="AB1050" i="6"/>
  <c r="AC1050" i="6"/>
  <c r="AE1047" i="6" s="1"/>
  <c r="AD1050" i="6"/>
  <c r="AB1051" i="6"/>
  <c r="AC1051" i="6"/>
  <c r="AD1051" i="6"/>
  <c r="AB1052" i="6"/>
  <c r="AC1052" i="6"/>
  <c r="AE1048" i="6" s="1"/>
  <c r="AD1052" i="6"/>
  <c r="AB1053" i="6"/>
  <c r="AC1053" i="6"/>
  <c r="AD1053" i="6"/>
  <c r="AB1054" i="6"/>
  <c r="AC1054" i="6"/>
  <c r="AE1051" i="6" s="1"/>
  <c r="AD1054" i="6"/>
  <c r="AB1055" i="6"/>
  <c r="AC1055" i="6"/>
  <c r="AD1055" i="6"/>
  <c r="AB1056" i="6"/>
  <c r="AC1056" i="6"/>
  <c r="AE1052" i="6" s="1"/>
  <c r="AD1056" i="6"/>
  <c r="AB1057" i="6"/>
  <c r="AC1057" i="6"/>
  <c r="AD1057" i="6"/>
  <c r="AB1058" i="6"/>
  <c r="AC1058" i="6"/>
  <c r="AE1055" i="6" s="1"/>
  <c r="AD1058" i="6"/>
  <c r="AB1059" i="6"/>
  <c r="AC1059" i="6"/>
  <c r="AD1059" i="6"/>
  <c r="AB1060" i="6"/>
  <c r="AC1060" i="6"/>
  <c r="AE1056" i="6" s="1"/>
  <c r="AD1060" i="6"/>
  <c r="AB1061" i="6"/>
  <c r="AC1061" i="6"/>
  <c r="AD1061" i="6"/>
  <c r="AB1062" i="6"/>
  <c r="AC1062" i="6"/>
  <c r="AE1059" i="6" s="1"/>
  <c r="AD1062" i="6"/>
  <c r="AB1063" i="6"/>
  <c r="AC1063" i="6"/>
  <c r="AD1063" i="6"/>
  <c r="AB1064" i="6"/>
  <c r="AC1064" i="6"/>
  <c r="AE1060" i="6" s="1"/>
  <c r="AD1064" i="6"/>
  <c r="AB1065" i="6"/>
  <c r="AC1065" i="6"/>
  <c r="AD1065" i="6"/>
  <c r="AB1066" i="6"/>
  <c r="AC1066" i="6"/>
  <c r="AE1063" i="6" s="1"/>
  <c r="AD1066" i="6"/>
  <c r="AB1067" i="6"/>
  <c r="AC1067" i="6"/>
  <c r="AD1067" i="6"/>
  <c r="AB1068" i="6"/>
  <c r="AC1068" i="6"/>
  <c r="AE1064" i="6" s="1"/>
  <c r="AD1068" i="6"/>
  <c r="AB1069" i="6"/>
  <c r="AC1069" i="6"/>
  <c r="AE1067" i="6" s="1"/>
  <c r="AD1069" i="6"/>
  <c r="AB1070" i="6"/>
  <c r="AC1070" i="6"/>
  <c r="AE1069" i="6" s="1"/>
  <c r="AD1070" i="6"/>
  <c r="AB1071" i="6"/>
  <c r="AC1071" i="6"/>
  <c r="AD1071" i="6"/>
  <c r="AB1072" i="6"/>
  <c r="AC1072" i="6"/>
  <c r="AD1072" i="6"/>
  <c r="AB1073" i="6"/>
  <c r="AC1073" i="6"/>
  <c r="AE1071" i="6" s="1"/>
  <c r="AD1073" i="6"/>
  <c r="AB1074" i="6"/>
  <c r="AC1074" i="6"/>
  <c r="AE1072" i="6" s="1"/>
  <c r="AD1074" i="6"/>
  <c r="AB1075" i="6"/>
  <c r="AC1075" i="6"/>
  <c r="AE1073" i="6" s="1"/>
  <c r="AD1075" i="6"/>
  <c r="AB1076" i="6"/>
  <c r="AC1076" i="6"/>
  <c r="AE1066" i="6" s="1"/>
  <c r="AD1076" i="6"/>
  <c r="AB1077" i="6"/>
  <c r="AC1077" i="6"/>
  <c r="AE1075" i="6" s="1"/>
  <c r="AD1077" i="6"/>
  <c r="AB1078" i="6"/>
  <c r="AC1078" i="6"/>
  <c r="AD1078" i="6"/>
  <c r="AB1079" i="6"/>
  <c r="AC1079" i="6"/>
  <c r="AD1079" i="6"/>
  <c r="AB1080" i="6"/>
  <c r="AC1080" i="6"/>
  <c r="AE1077" i="6" s="1"/>
  <c r="AD1080" i="6"/>
  <c r="AB1081" i="6"/>
  <c r="AC1081" i="6"/>
  <c r="AD1081" i="6"/>
  <c r="AB1082" i="6"/>
  <c r="AC1082" i="6"/>
  <c r="AD1082" i="6"/>
  <c r="AB1083" i="6"/>
  <c r="AC1083" i="6"/>
  <c r="AE1080" i="6" s="1"/>
  <c r="AD1083" i="6"/>
  <c r="AB1084" i="6"/>
  <c r="AC1084" i="6"/>
  <c r="AD1084" i="6"/>
  <c r="AB1085" i="6"/>
  <c r="AC1085" i="6"/>
  <c r="AD1085" i="6"/>
  <c r="AB1086" i="6"/>
  <c r="AC1086" i="6"/>
  <c r="AE1083" i="6" s="1"/>
  <c r="AD1086" i="6"/>
  <c r="AB1087" i="6"/>
  <c r="AC1087" i="6"/>
  <c r="AD1087" i="6"/>
  <c r="AB1088" i="6"/>
  <c r="AC1088" i="6"/>
  <c r="AD1088" i="6"/>
  <c r="AB1089" i="6"/>
  <c r="AC1089" i="6"/>
  <c r="AE1086" i="6" s="1"/>
  <c r="AD1089" i="6"/>
  <c r="AB1090" i="6"/>
  <c r="AC1090" i="6"/>
  <c r="AD1090" i="6"/>
  <c r="AB1091" i="6"/>
  <c r="AC1091" i="6"/>
  <c r="AD1091" i="6"/>
  <c r="AB1092" i="6"/>
  <c r="AC1092" i="6"/>
  <c r="AD1092" i="6"/>
  <c r="AB1093" i="6"/>
  <c r="AC1093" i="6"/>
  <c r="AD1093" i="6"/>
  <c r="AB1094" i="6"/>
  <c r="AC1094" i="6"/>
  <c r="AE1091" i="6" s="1"/>
  <c r="AD1094" i="6"/>
  <c r="AB1095" i="6"/>
  <c r="AC1095" i="6"/>
  <c r="AD1095" i="6"/>
  <c r="AB1096" i="6"/>
  <c r="AC1096" i="6"/>
  <c r="AD1096" i="6"/>
  <c r="AB1097" i="6"/>
  <c r="AC1097" i="6"/>
  <c r="AD1097" i="6"/>
  <c r="AB1098" i="6"/>
  <c r="AC1098" i="6"/>
  <c r="AD1098" i="6"/>
  <c r="AB1099" i="6"/>
  <c r="AC1099" i="6"/>
  <c r="AD1099" i="6"/>
  <c r="AB1100" i="6"/>
  <c r="AC1100" i="6"/>
  <c r="AE1098" i="6" s="1"/>
  <c r="AD1100" i="6"/>
  <c r="AB1101" i="6"/>
  <c r="AC1101" i="6"/>
  <c r="AD1101" i="6"/>
  <c r="AB1102" i="6"/>
  <c r="AC1102" i="6"/>
  <c r="AD1102" i="6"/>
  <c r="AB1103" i="6"/>
  <c r="AC1103" i="6"/>
  <c r="AD1103" i="6"/>
  <c r="AB1104" i="6"/>
  <c r="AC1104" i="6"/>
  <c r="AD1104" i="6"/>
  <c r="AB1105" i="6"/>
  <c r="AC1105" i="6"/>
  <c r="AD1105" i="6"/>
  <c r="AB1106" i="6"/>
  <c r="AC1106" i="6"/>
  <c r="AD1106" i="6"/>
  <c r="AB1107" i="6"/>
  <c r="AC1107" i="6"/>
  <c r="AD1107" i="6"/>
  <c r="AB1108" i="6"/>
  <c r="AC1108" i="6"/>
  <c r="AD1108" i="6"/>
  <c r="AB1109" i="6"/>
  <c r="AC1109" i="6"/>
  <c r="AD1109" i="6"/>
  <c r="AB1110" i="6"/>
  <c r="AC1110" i="6"/>
  <c r="AD1110" i="6"/>
  <c r="AB1111" i="6"/>
  <c r="AC1111" i="6"/>
  <c r="AD1111" i="6"/>
  <c r="AB1112" i="6"/>
  <c r="AC1112" i="6"/>
  <c r="AD1112" i="6"/>
  <c r="AB1113" i="6"/>
  <c r="AC1113" i="6"/>
  <c r="AD1113" i="6"/>
  <c r="AB1114" i="6"/>
  <c r="AC1114" i="6"/>
  <c r="AD1114" i="6"/>
  <c r="AB1115" i="6"/>
  <c r="AC1115" i="6"/>
  <c r="AD1115" i="6"/>
  <c r="AB1116" i="6"/>
  <c r="AC1116" i="6"/>
  <c r="AD1116" i="6"/>
  <c r="AB1117" i="6"/>
  <c r="AC1117" i="6"/>
  <c r="AD1117" i="6"/>
  <c r="AB1118" i="6"/>
  <c r="AC1118" i="6"/>
  <c r="AD1118" i="6"/>
  <c r="AB1119" i="6"/>
  <c r="AC1119" i="6"/>
  <c r="AD1119" i="6"/>
  <c r="AB1120" i="6"/>
  <c r="AC1120" i="6"/>
  <c r="AD1120" i="6"/>
  <c r="AB1121" i="6"/>
  <c r="AC1121" i="6"/>
  <c r="AD1121" i="6"/>
  <c r="AB1122" i="6"/>
  <c r="AC1122" i="6"/>
  <c r="AD1122" i="6"/>
  <c r="AB1123" i="6"/>
  <c r="AC1123" i="6"/>
  <c r="AD1123" i="6"/>
  <c r="AB1124" i="6"/>
  <c r="AC1124" i="6"/>
  <c r="AD1124" i="6"/>
  <c r="AB1125" i="6"/>
  <c r="AC1125" i="6"/>
  <c r="AD1125" i="6"/>
  <c r="AB1126" i="6"/>
  <c r="AC1126" i="6"/>
  <c r="AD1126" i="6"/>
  <c r="AB1127" i="6"/>
  <c r="AC1127" i="6"/>
  <c r="AD1127" i="6"/>
  <c r="AB1128" i="6"/>
  <c r="AC1128" i="6"/>
  <c r="AD1128" i="6"/>
  <c r="AB1129" i="6"/>
  <c r="AC1129" i="6"/>
  <c r="AD1129" i="6"/>
  <c r="AB1130" i="6"/>
  <c r="AC1130" i="6"/>
  <c r="AD1130" i="6"/>
  <c r="AB1131" i="6"/>
  <c r="AC1131" i="6"/>
  <c r="AD1131" i="6"/>
  <c r="AB1132" i="6"/>
  <c r="AC1132" i="6"/>
  <c r="AD1132" i="6"/>
  <c r="AB1133" i="6"/>
  <c r="AC1133" i="6"/>
  <c r="AD1133" i="6"/>
  <c r="AB1134" i="6"/>
  <c r="AC1134" i="6"/>
  <c r="AD1134" i="6"/>
  <c r="AE1134" i="6"/>
  <c r="AB1135" i="6"/>
  <c r="AC1135" i="6"/>
  <c r="AD1135" i="6"/>
  <c r="AE1135" i="6"/>
  <c r="AB1136" i="6"/>
  <c r="AC1136" i="6"/>
  <c r="AD1136" i="6"/>
  <c r="AE1136" i="6"/>
  <c r="AB753" i="6"/>
  <c r="AC753" i="6"/>
  <c r="AD753" i="6"/>
  <c r="AB754" i="6"/>
  <c r="AC754" i="6"/>
  <c r="AD754" i="6"/>
  <c r="AB755" i="6"/>
  <c r="AC755" i="6"/>
  <c r="AD755" i="6"/>
  <c r="AB756" i="6"/>
  <c r="AC756" i="6"/>
  <c r="AD756" i="6"/>
  <c r="AB757" i="6"/>
  <c r="AC757" i="6"/>
  <c r="AD757" i="6"/>
  <c r="AB758" i="6"/>
  <c r="AC758" i="6"/>
  <c r="AD758" i="6"/>
  <c r="AB759" i="6"/>
  <c r="AC759" i="6"/>
  <c r="AD759" i="6"/>
  <c r="AB760" i="6"/>
  <c r="AC760" i="6"/>
  <c r="AD760" i="6"/>
  <c r="AB761" i="6"/>
  <c r="AC761" i="6"/>
  <c r="AD761" i="6"/>
  <c r="AB762" i="6"/>
  <c r="AC762" i="6"/>
  <c r="AD762" i="6"/>
  <c r="AB763" i="6"/>
  <c r="AC763" i="6"/>
  <c r="AD763" i="6"/>
  <c r="AB764" i="6"/>
  <c r="AC764" i="6"/>
  <c r="AD764" i="6"/>
  <c r="AB765" i="6"/>
  <c r="AC765" i="6"/>
  <c r="AD765" i="6"/>
  <c r="AB766" i="6"/>
  <c r="AC766" i="6"/>
  <c r="AD766" i="6"/>
  <c r="AB767" i="6"/>
  <c r="AC767" i="6"/>
  <c r="AD767" i="6"/>
  <c r="AB768" i="6"/>
  <c r="AC768" i="6"/>
  <c r="AD768" i="6"/>
  <c r="AB769" i="6"/>
  <c r="AC769" i="6"/>
  <c r="AD769" i="6"/>
  <c r="AB770" i="6"/>
  <c r="AC770" i="6"/>
  <c r="AD770" i="6"/>
  <c r="AB771" i="6"/>
  <c r="AC771" i="6"/>
  <c r="AD771" i="6"/>
  <c r="AB772" i="6"/>
  <c r="AC772" i="6"/>
  <c r="AD772" i="6"/>
  <c r="AB773" i="6"/>
  <c r="AC773" i="6"/>
  <c r="AD773" i="6"/>
  <c r="AB774" i="6"/>
  <c r="AC774" i="6"/>
  <c r="AD774" i="6"/>
  <c r="AB775" i="6"/>
  <c r="AC775" i="6"/>
  <c r="AD775" i="6"/>
  <c r="AB776" i="6"/>
  <c r="AC776" i="6"/>
  <c r="AD776" i="6"/>
  <c r="AB777" i="6"/>
  <c r="AC777" i="6"/>
  <c r="AD777" i="6"/>
  <c r="AB778" i="6"/>
  <c r="AC778" i="6"/>
  <c r="AD778" i="6"/>
  <c r="AB779" i="6"/>
  <c r="AC779" i="6"/>
  <c r="AD779" i="6"/>
  <c r="AB780" i="6"/>
  <c r="AC780" i="6"/>
  <c r="AD780" i="6"/>
  <c r="AB781" i="6"/>
  <c r="AC781" i="6"/>
  <c r="AD781" i="6"/>
  <c r="AB782" i="6"/>
  <c r="AC782" i="6"/>
  <c r="AD782" i="6"/>
  <c r="AB783" i="6"/>
  <c r="AC783" i="6"/>
  <c r="AD783" i="6"/>
  <c r="AB784" i="6"/>
  <c r="AC784" i="6"/>
  <c r="AD784" i="6"/>
  <c r="AB785" i="6"/>
  <c r="AC785" i="6"/>
  <c r="AD785" i="6"/>
  <c r="AB786" i="6"/>
  <c r="AC786" i="6"/>
  <c r="AD786" i="6"/>
  <c r="AB787" i="6"/>
  <c r="AC787" i="6"/>
  <c r="AD787" i="6"/>
  <c r="AB788" i="6"/>
  <c r="AC788" i="6"/>
  <c r="AD788" i="6"/>
  <c r="AB789" i="6"/>
  <c r="AC789" i="6"/>
  <c r="AD789" i="6"/>
  <c r="AB790" i="6"/>
  <c r="AC790" i="6"/>
  <c r="AD790" i="6"/>
  <c r="AB791" i="6"/>
  <c r="AC791" i="6"/>
  <c r="AD791" i="6"/>
  <c r="AB792" i="6"/>
  <c r="AC792" i="6"/>
  <c r="AD792" i="6"/>
  <c r="AB793" i="6"/>
  <c r="AC793" i="6"/>
  <c r="AD793" i="6"/>
  <c r="AB794" i="6"/>
  <c r="AC794" i="6"/>
  <c r="AD794" i="6"/>
  <c r="AB795" i="6"/>
  <c r="AC795" i="6"/>
  <c r="AD795" i="6"/>
  <c r="AB796" i="6"/>
  <c r="AC796" i="6"/>
  <c r="AD796" i="6"/>
  <c r="AB797" i="6"/>
  <c r="AC797" i="6"/>
  <c r="AD797" i="6"/>
  <c r="AB798" i="6"/>
  <c r="AC798" i="6"/>
  <c r="AE795" i="6" s="1"/>
  <c r="AD798" i="6"/>
  <c r="AB799" i="6"/>
  <c r="AC799" i="6"/>
  <c r="AD799" i="6"/>
  <c r="AB800" i="6"/>
  <c r="AC800" i="6"/>
  <c r="AD800" i="6"/>
  <c r="AB801" i="6"/>
  <c r="AC801" i="6"/>
  <c r="AD801" i="6"/>
  <c r="AB802" i="6"/>
  <c r="AC802" i="6"/>
  <c r="AE798" i="6" s="1"/>
  <c r="AD802" i="6"/>
  <c r="AB803" i="6"/>
  <c r="AC803" i="6"/>
  <c r="AD803" i="6"/>
  <c r="AB804" i="6"/>
  <c r="AC804" i="6"/>
  <c r="AD804" i="6"/>
  <c r="AB805" i="6"/>
  <c r="AC805" i="6"/>
  <c r="AE801" i="6" s="1"/>
  <c r="AD805" i="6"/>
  <c r="AB806" i="6"/>
  <c r="AC806" i="6"/>
  <c r="AE802" i="6" s="1"/>
  <c r="AD806" i="6"/>
  <c r="AB807" i="6"/>
  <c r="AC807" i="6"/>
  <c r="AD807" i="6"/>
  <c r="AB808" i="6"/>
  <c r="AC808" i="6"/>
  <c r="AD808" i="6"/>
  <c r="AB809" i="6"/>
  <c r="AC809" i="6"/>
  <c r="AE805" i="6" s="1"/>
  <c r="AD809" i="6"/>
  <c r="AB810" i="6"/>
  <c r="AC810" i="6"/>
  <c r="AE806" i="6" s="1"/>
  <c r="AD810" i="6"/>
  <c r="AB811" i="6"/>
  <c r="AC811" i="6"/>
  <c r="AD811" i="6"/>
  <c r="AB812" i="6"/>
  <c r="AC812" i="6"/>
  <c r="AD812" i="6"/>
  <c r="AB813" i="6"/>
  <c r="AC813" i="6"/>
  <c r="AE809" i="6" s="1"/>
  <c r="AD813" i="6"/>
  <c r="AB814" i="6"/>
  <c r="AC814" i="6"/>
  <c r="AE810" i="6" s="1"/>
  <c r="AD814" i="6"/>
  <c r="AB815" i="6"/>
  <c r="AC815" i="6"/>
  <c r="AD815" i="6"/>
  <c r="AB816" i="6"/>
  <c r="AC816" i="6"/>
  <c r="AD816" i="6"/>
  <c r="AB817" i="6"/>
  <c r="AC817" i="6"/>
  <c r="AE813" i="6" s="1"/>
  <c r="AD817" i="6"/>
  <c r="AB818" i="6"/>
  <c r="AC818" i="6"/>
  <c r="AE814" i="6" s="1"/>
  <c r="AD818" i="6"/>
  <c r="AB819" i="6"/>
  <c r="AC819" i="6"/>
  <c r="AD819" i="6"/>
  <c r="AB820" i="6"/>
  <c r="AC820" i="6"/>
  <c r="AD820" i="6"/>
  <c r="AB821" i="6"/>
  <c r="AC821" i="6"/>
  <c r="AE817" i="6" s="1"/>
  <c r="AD821" i="6"/>
  <c r="AB822" i="6"/>
  <c r="AC822" i="6"/>
  <c r="AE818" i="6" s="1"/>
  <c r="AD822" i="6"/>
  <c r="AB823" i="6"/>
  <c r="AC823" i="6"/>
  <c r="AD823" i="6"/>
  <c r="AB824" i="6"/>
  <c r="AC824" i="6"/>
  <c r="AD824" i="6"/>
  <c r="AB825" i="6"/>
  <c r="AC825" i="6"/>
  <c r="AE821" i="6" s="1"/>
  <c r="AD825" i="6"/>
  <c r="AB826" i="6"/>
  <c r="AC826" i="6"/>
  <c r="AE822" i="6" s="1"/>
  <c r="AD826" i="6"/>
  <c r="AB827" i="6"/>
  <c r="AC827" i="6"/>
  <c r="AD827" i="6"/>
  <c r="AB828" i="6"/>
  <c r="AC828" i="6"/>
  <c r="AD828" i="6"/>
  <c r="AB829" i="6"/>
  <c r="AC829" i="6"/>
  <c r="AE825" i="6" s="1"/>
  <c r="AD829" i="6"/>
  <c r="AB830" i="6"/>
  <c r="AC830" i="6"/>
  <c r="AE826" i="6" s="1"/>
  <c r="AD830" i="6"/>
  <c r="AB831" i="6"/>
  <c r="AC831" i="6"/>
  <c r="AD831" i="6"/>
  <c r="AB832" i="6"/>
  <c r="AC832" i="6"/>
  <c r="AD832" i="6"/>
  <c r="AB833" i="6"/>
  <c r="AC833" i="6"/>
  <c r="AE829" i="6" s="1"/>
  <c r="AD833" i="6"/>
  <c r="AB834" i="6"/>
  <c r="AC834" i="6"/>
  <c r="AE830" i="6" s="1"/>
  <c r="AD834" i="6"/>
  <c r="AB835" i="6"/>
  <c r="AC835" i="6"/>
  <c r="AD835" i="6"/>
  <c r="AB836" i="6"/>
  <c r="AC836" i="6"/>
  <c r="AD836" i="6"/>
  <c r="AB837" i="6"/>
  <c r="AC837" i="6"/>
  <c r="AD837" i="6"/>
  <c r="AB838" i="6"/>
  <c r="AC838" i="6"/>
  <c r="AE834" i="6" s="1"/>
  <c r="AD838" i="6"/>
  <c r="AB839" i="6"/>
  <c r="AC839" i="6"/>
  <c r="AD839" i="6"/>
  <c r="AB840" i="6"/>
  <c r="AC840" i="6"/>
  <c r="AE838" i="6" s="1"/>
  <c r="AD840" i="6"/>
  <c r="AB841" i="6"/>
  <c r="AC841" i="6"/>
  <c r="AD841" i="6"/>
  <c r="AB842" i="6"/>
  <c r="AC842" i="6"/>
  <c r="AD842" i="6"/>
  <c r="AB843" i="6"/>
  <c r="AC843" i="6"/>
  <c r="AD843" i="6"/>
  <c r="AB844" i="6"/>
  <c r="AC844" i="6"/>
  <c r="AE839" i="6" s="1"/>
  <c r="AD844" i="6"/>
  <c r="AB845" i="6"/>
  <c r="AC845" i="6"/>
  <c r="AD845" i="6"/>
  <c r="AB846" i="6"/>
  <c r="AC846" i="6"/>
  <c r="AD846" i="6"/>
  <c r="AB847" i="6"/>
  <c r="AC847" i="6"/>
  <c r="AD847" i="6"/>
  <c r="AB848" i="6"/>
  <c r="AC848" i="6"/>
  <c r="AD848" i="6"/>
  <c r="AB849" i="6"/>
  <c r="AC849" i="6"/>
  <c r="AD849" i="6"/>
  <c r="AB850" i="6"/>
  <c r="AC850" i="6"/>
  <c r="AD850" i="6"/>
  <c r="AB851" i="6"/>
  <c r="AC851" i="6"/>
  <c r="AD851" i="6"/>
  <c r="AB852" i="6"/>
  <c r="AC852" i="6"/>
  <c r="AD852" i="6"/>
  <c r="AB853" i="6"/>
  <c r="AC853" i="6"/>
  <c r="AD853" i="6"/>
  <c r="AB854" i="6"/>
  <c r="AC854" i="6"/>
  <c r="AD854" i="6"/>
  <c r="AB855" i="6"/>
  <c r="AC855" i="6"/>
  <c r="AD855" i="6"/>
  <c r="AB856" i="6"/>
  <c r="AC856" i="6"/>
  <c r="AD856" i="6"/>
  <c r="AB857" i="6"/>
  <c r="AC857" i="6"/>
  <c r="AE855" i="6" s="1"/>
  <c r="AD857" i="6"/>
  <c r="AB858" i="6"/>
  <c r="AC858" i="6"/>
  <c r="AD858" i="6"/>
  <c r="AB859" i="6"/>
  <c r="AC859" i="6"/>
  <c r="AD859" i="6"/>
  <c r="AB860" i="6"/>
  <c r="AC860" i="6"/>
  <c r="AE858" i="6" s="1"/>
  <c r="AD860" i="6"/>
  <c r="AB861" i="6"/>
  <c r="AC861" i="6"/>
  <c r="AD861" i="6"/>
  <c r="AB862" i="6"/>
  <c r="AC862" i="6"/>
  <c r="AD862" i="6"/>
  <c r="AB863" i="6"/>
  <c r="AC863" i="6"/>
  <c r="AE861" i="6" s="1"/>
  <c r="AD863" i="6"/>
  <c r="AB864" i="6"/>
  <c r="AC864" i="6"/>
  <c r="AD864" i="6"/>
  <c r="AB865" i="6"/>
  <c r="AC865" i="6"/>
  <c r="AD865" i="6"/>
  <c r="AB866" i="6"/>
  <c r="AC866" i="6"/>
  <c r="AE864" i="6" s="1"/>
  <c r="AD866" i="6"/>
  <c r="AB867" i="6"/>
  <c r="AC867" i="6"/>
  <c r="AD867" i="6"/>
  <c r="AB868" i="6"/>
  <c r="AC868" i="6"/>
  <c r="AD868" i="6"/>
  <c r="AB869" i="6"/>
  <c r="AC869" i="6"/>
  <c r="AD869" i="6"/>
  <c r="AB870" i="6"/>
  <c r="AC870" i="6"/>
  <c r="AE867" i="6" s="1"/>
  <c r="AD870" i="6"/>
  <c r="AB871" i="6"/>
  <c r="AC871" i="6"/>
  <c r="AD871" i="6"/>
  <c r="AB872" i="6"/>
  <c r="AC872" i="6"/>
  <c r="AD872" i="6"/>
  <c r="AB873" i="6"/>
  <c r="AC873" i="6"/>
  <c r="AE870" i="6" s="1"/>
  <c r="AD873" i="6"/>
  <c r="AB874" i="6"/>
  <c r="AC874" i="6"/>
  <c r="AE871" i="6" s="1"/>
  <c r="AD874" i="6"/>
  <c r="AB875" i="6"/>
  <c r="AC875" i="6"/>
  <c r="AE872" i="6" s="1"/>
  <c r="AD875" i="6"/>
  <c r="AB876" i="6"/>
  <c r="AC876" i="6"/>
  <c r="AE873" i="6" s="1"/>
  <c r="AD876" i="6"/>
  <c r="AB877" i="6"/>
  <c r="AC877" i="6"/>
  <c r="AE874" i="6" s="1"/>
  <c r="AD877" i="6"/>
  <c r="AB878" i="6"/>
  <c r="AC878" i="6"/>
  <c r="AE875" i="6" s="1"/>
  <c r="AD878" i="6"/>
  <c r="AB879" i="6"/>
  <c r="AC879" i="6"/>
  <c r="AE876" i="6" s="1"/>
  <c r="AD879" i="6"/>
  <c r="AB880" i="6"/>
  <c r="AC880" i="6"/>
  <c r="AE877" i="6" s="1"/>
  <c r="AD880" i="6"/>
  <c r="AB881" i="6"/>
  <c r="AC881" i="6"/>
  <c r="AE879" i="6" s="1"/>
  <c r="AD881" i="6"/>
  <c r="AB882" i="6"/>
  <c r="AC882" i="6"/>
  <c r="AE880" i="6" s="1"/>
  <c r="AD882" i="6"/>
  <c r="AB883" i="6"/>
  <c r="AC883" i="6"/>
  <c r="AE881" i="6" s="1"/>
  <c r="AD883" i="6"/>
  <c r="AB884" i="6"/>
  <c r="AC884" i="6"/>
  <c r="AE882" i="6" s="1"/>
  <c r="AD884" i="6"/>
  <c r="AB885" i="6"/>
  <c r="AC885" i="6"/>
  <c r="AE883" i="6" s="1"/>
  <c r="AD885" i="6"/>
  <c r="AB886" i="6"/>
  <c r="AC886" i="6"/>
  <c r="AD886" i="6"/>
  <c r="AB887" i="6"/>
  <c r="AC887" i="6"/>
  <c r="AD887" i="6"/>
  <c r="AB888" i="6"/>
  <c r="AC888" i="6"/>
  <c r="AE878" i="6" s="1"/>
  <c r="AD888" i="6"/>
  <c r="AB889" i="6"/>
  <c r="AC889" i="6"/>
  <c r="AD889" i="6"/>
  <c r="AB890" i="6"/>
  <c r="AC890" i="6"/>
  <c r="AD890" i="6"/>
  <c r="AB891" i="6"/>
  <c r="AC891" i="6"/>
  <c r="AD891" i="6"/>
  <c r="AB892" i="6"/>
  <c r="AC892" i="6"/>
  <c r="AD892" i="6"/>
  <c r="AB893" i="6"/>
  <c r="AC893" i="6"/>
  <c r="AD893" i="6"/>
  <c r="AB894" i="6"/>
  <c r="AC894" i="6"/>
  <c r="AD894" i="6"/>
  <c r="AB895" i="6"/>
  <c r="AC895" i="6"/>
  <c r="AD895" i="6"/>
  <c r="AB896" i="6"/>
  <c r="AC896" i="6"/>
  <c r="AD896" i="6"/>
  <c r="AB897" i="6"/>
  <c r="AC897" i="6"/>
  <c r="AD897" i="6"/>
  <c r="AB898" i="6"/>
  <c r="AC898" i="6"/>
  <c r="AD898" i="6"/>
  <c r="AB899" i="6"/>
  <c r="AC899" i="6"/>
  <c r="AD899" i="6"/>
  <c r="AB900" i="6"/>
  <c r="AC900" i="6"/>
  <c r="AD900" i="6"/>
  <c r="AB901" i="6"/>
  <c r="AC901" i="6"/>
  <c r="AD901" i="6"/>
  <c r="AB902" i="6"/>
  <c r="AC902" i="6"/>
  <c r="AE899" i="6" s="1"/>
  <c r="AD902" i="6"/>
  <c r="AB903" i="6"/>
  <c r="AC903" i="6"/>
  <c r="AE900" i="6" s="1"/>
  <c r="AD903" i="6"/>
  <c r="AB904" i="6"/>
  <c r="AC904" i="6"/>
  <c r="AD904" i="6"/>
  <c r="AB905" i="6"/>
  <c r="AC905" i="6"/>
  <c r="AD905" i="6"/>
  <c r="AB906" i="6"/>
  <c r="AC906" i="6"/>
  <c r="AE903" i="6" s="1"/>
  <c r="AD906" i="6"/>
  <c r="AB907" i="6"/>
  <c r="AC907" i="6"/>
  <c r="AD907" i="6"/>
  <c r="AB908" i="6"/>
  <c r="AC908" i="6"/>
  <c r="AE904" i="6" s="1"/>
  <c r="AD908" i="6"/>
  <c r="AB909" i="6"/>
  <c r="AC909" i="6"/>
  <c r="AD909" i="6"/>
  <c r="AB910" i="6"/>
  <c r="AC910" i="6"/>
  <c r="AE907" i="6" s="1"/>
  <c r="AD910" i="6"/>
  <c r="AB911" i="6"/>
  <c r="AC911" i="6"/>
  <c r="AD911" i="6"/>
  <c r="AB912" i="6"/>
  <c r="AC912" i="6"/>
  <c r="AE908" i="6" s="1"/>
  <c r="AD912" i="6"/>
  <c r="AB913" i="6"/>
  <c r="AC913" i="6"/>
  <c r="AD913" i="6"/>
  <c r="AB914" i="6"/>
  <c r="AC914" i="6"/>
  <c r="AE911" i="6" s="1"/>
  <c r="AD914" i="6"/>
  <c r="AB915" i="6"/>
  <c r="AC915" i="6"/>
  <c r="AD915" i="6"/>
  <c r="AB916" i="6"/>
  <c r="AC916" i="6"/>
  <c r="AE912" i="6" s="1"/>
  <c r="AD916" i="6"/>
  <c r="AB917" i="6"/>
  <c r="AC917" i="6"/>
  <c r="AD917" i="6"/>
  <c r="AB918" i="6"/>
  <c r="AC918" i="6"/>
  <c r="AE915" i="6" s="1"/>
  <c r="AD918" i="6"/>
  <c r="AB919" i="6"/>
  <c r="AC919" i="6"/>
  <c r="AD919" i="6"/>
  <c r="AB920" i="6"/>
  <c r="AC920" i="6"/>
  <c r="AE916" i="6" s="1"/>
  <c r="AD920" i="6"/>
  <c r="AB921" i="6"/>
  <c r="AC921" i="6"/>
  <c r="AD921" i="6"/>
  <c r="AB922" i="6"/>
  <c r="AC922" i="6"/>
  <c r="AE919" i="6" s="1"/>
  <c r="AD922" i="6"/>
  <c r="AB923" i="6"/>
  <c r="AC923" i="6"/>
  <c r="AD923" i="6"/>
  <c r="AB924" i="6"/>
  <c r="AC924" i="6"/>
  <c r="AE920" i="6" s="1"/>
  <c r="AD924" i="6"/>
  <c r="AB925" i="6"/>
  <c r="AC925" i="6"/>
  <c r="AD925" i="6"/>
  <c r="AB926" i="6"/>
  <c r="AC926" i="6"/>
  <c r="AE923" i="6" s="1"/>
  <c r="AD926" i="6"/>
  <c r="AB927" i="6"/>
  <c r="AC927" i="6"/>
  <c r="AD927" i="6"/>
  <c r="AB928" i="6"/>
  <c r="AC928" i="6"/>
  <c r="AE924" i="6" s="1"/>
  <c r="AD928" i="6"/>
  <c r="AB929" i="6"/>
  <c r="AC929" i="6"/>
  <c r="AD929" i="6"/>
  <c r="AB930" i="6"/>
  <c r="AC930" i="6"/>
  <c r="AE927" i="6" s="1"/>
  <c r="AD930" i="6"/>
  <c r="AB931" i="6"/>
  <c r="AC931" i="6"/>
  <c r="AD931" i="6"/>
  <c r="AB932" i="6"/>
  <c r="AC932" i="6"/>
  <c r="AE928" i="6" s="1"/>
  <c r="AD932" i="6"/>
  <c r="AB933" i="6"/>
  <c r="AC933" i="6"/>
  <c r="AD933" i="6"/>
  <c r="AB934" i="6"/>
  <c r="AC934" i="6"/>
  <c r="AE931" i="6" s="1"/>
  <c r="AD934" i="6"/>
  <c r="AB935" i="6"/>
  <c r="AC935" i="6"/>
  <c r="AD935" i="6"/>
  <c r="AB936" i="6"/>
  <c r="AC936" i="6"/>
  <c r="AE932" i="6" s="1"/>
  <c r="AD936" i="6"/>
  <c r="AB937" i="6"/>
  <c r="AC937" i="6"/>
  <c r="AD937" i="6"/>
  <c r="AB938" i="6"/>
  <c r="AC938" i="6"/>
  <c r="AE935" i="6" s="1"/>
  <c r="AD938" i="6"/>
  <c r="AB939" i="6"/>
  <c r="AC939" i="6"/>
  <c r="AD939" i="6"/>
  <c r="AB940" i="6"/>
  <c r="AC940" i="6"/>
  <c r="AE936" i="6" s="1"/>
  <c r="AD940" i="6"/>
  <c r="AB941" i="6"/>
  <c r="AC941" i="6"/>
  <c r="AD941" i="6"/>
  <c r="AB942" i="6"/>
  <c r="AC942" i="6"/>
  <c r="AE939" i="6" s="1"/>
  <c r="AD942" i="6"/>
  <c r="AB943" i="6"/>
  <c r="AC943" i="6"/>
  <c r="AD943" i="6"/>
  <c r="AB944" i="6"/>
  <c r="AC944" i="6"/>
  <c r="AE940" i="6" s="1"/>
  <c r="AD944" i="6"/>
  <c r="AB945" i="6"/>
  <c r="AC945" i="6"/>
  <c r="AD945" i="6"/>
  <c r="AB946" i="6"/>
  <c r="AC946" i="6"/>
  <c r="AD946" i="6"/>
  <c r="AB947" i="6"/>
  <c r="AC947" i="6"/>
  <c r="AD947" i="6"/>
  <c r="AB948" i="6"/>
  <c r="AC948" i="6"/>
  <c r="AE944" i="6" s="1"/>
  <c r="AD948" i="6"/>
  <c r="AB949" i="6"/>
  <c r="AC949" i="6"/>
  <c r="AD949" i="6"/>
  <c r="AB950" i="6"/>
  <c r="AC950" i="6"/>
  <c r="AD950" i="6"/>
  <c r="AB951" i="6"/>
  <c r="AC951" i="6"/>
  <c r="AD951" i="6"/>
  <c r="AB952" i="6"/>
  <c r="AC952" i="6"/>
  <c r="AE948" i="6" s="1"/>
  <c r="AD952" i="6"/>
  <c r="AB953" i="6"/>
  <c r="AC953" i="6"/>
  <c r="AD953" i="6"/>
  <c r="AB954" i="6"/>
  <c r="AC954" i="6"/>
  <c r="AD954" i="6"/>
  <c r="AB955" i="6"/>
  <c r="AC955" i="6"/>
  <c r="AD955" i="6"/>
  <c r="AB956" i="6"/>
  <c r="AC956" i="6"/>
  <c r="AE952" i="6" s="1"/>
  <c r="AD956" i="6"/>
  <c r="AB957" i="6"/>
  <c r="AC957" i="6"/>
  <c r="AD957" i="6"/>
  <c r="AB958" i="6"/>
  <c r="AC958" i="6"/>
  <c r="AD958" i="6"/>
  <c r="AB959" i="6"/>
  <c r="AC959" i="6"/>
  <c r="AD959" i="6"/>
  <c r="AB960" i="6"/>
  <c r="AC960" i="6"/>
  <c r="AE956" i="6" s="1"/>
  <c r="AD960" i="6"/>
  <c r="AB961" i="6"/>
  <c r="AC961" i="6"/>
  <c r="AD961" i="6"/>
  <c r="AB962" i="6"/>
  <c r="AC962" i="6"/>
  <c r="AD962" i="6"/>
  <c r="AB963" i="6"/>
  <c r="AC963" i="6"/>
  <c r="AD963" i="6"/>
  <c r="AB964" i="6"/>
  <c r="AC964" i="6"/>
  <c r="AE960" i="6" s="1"/>
  <c r="AD964" i="6"/>
  <c r="AB965" i="6"/>
  <c r="AC965" i="6"/>
  <c r="AD965" i="6"/>
  <c r="AB966" i="6"/>
  <c r="AC966" i="6"/>
  <c r="AD966" i="6"/>
  <c r="AB967" i="6"/>
  <c r="AC967" i="6"/>
  <c r="AD967" i="6"/>
  <c r="AB968" i="6"/>
  <c r="AC968" i="6"/>
  <c r="AE964" i="6" s="1"/>
  <c r="AD968" i="6"/>
  <c r="AB969" i="6"/>
  <c r="AC969" i="6"/>
  <c r="AD969" i="6"/>
  <c r="AB970" i="6"/>
  <c r="AC970" i="6"/>
  <c r="AD970" i="6"/>
  <c r="AB971" i="6"/>
  <c r="AC971" i="6"/>
  <c r="AD971" i="6"/>
  <c r="AB972" i="6"/>
  <c r="AC972" i="6"/>
  <c r="AE968" i="6" s="1"/>
  <c r="AD972" i="6"/>
  <c r="AB973" i="6"/>
  <c r="AC973" i="6"/>
  <c r="AD973" i="6"/>
  <c r="AB974" i="6"/>
  <c r="AC974" i="6"/>
  <c r="AD974" i="6"/>
  <c r="AB975" i="6"/>
  <c r="AC975" i="6"/>
  <c r="AD975" i="6"/>
  <c r="AB976" i="6"/>
  <c r="AC976" i="6"/>
  <c r="AE972" i="6" s="1"/>
  <c r="AD976" i="6"/>
  <c r="AB977" i="6"/>
  <c r="AC977" i="6"/>
  <c r="AD977" i="6"/>
  <c r="AB978" i="6"/>
  <c r="AC978" i="6"/>
  <c r="AD978" i="6"/>
  <c r="AB979" i="6"/>
  <c r="AC979" i="6"/>
  <c r="AD979" i="6"/>
  <c r="AB980" i="6"/>
  <c r="AC980" i="6"/>
  <c r="AE976" i="6" s="1"/>
  <c r="AD980" i="6"/>
  <c r="AB981" i="6"/>
  <c r="AC981" i="6"/>
  <c r="AD981" i="6"/>
  <c r="AB982" i="6"/>
  <c r="AC982" i="6"/>
  <c r="AD982" i="6"/>
  <c r="AB983" i="6"/>
  <c r="AC983" i="6"/>
  <c r="AD983" i="6"/>
  <c r="AB984" i="6"/>
  <c r="AC984" i="6"/>
  <c r="AE980" i="6" s="1"/>
  <c r="AD984" i="6"/>
  <c r="AB985" i="6"/>
  <c r="AC985" i="6"/>
  <c r="AD985" i="6"/>
  <c r="AB986" i="6"/>
  <c r="AC986" i="6"/>
  <c r="AD986" i="6"/>
  <c r="AB987" i="6"/>
  <c r="AC987" i="6"/>
  <c r="AD987" i="6"/>
  <c r="AB988" i="6"/>
  <c r="AC988" i="6"/>
  <c r="AE984" i="6" s="1"/>
  <c r="AD988" i="6"/>
  <c r="AB989" i="6"/>
  <c r="AC989" i="6"/>
  <c r="AD989" i="6"/>
  <c r="AB990" i="6"/>
  <c r="AC990" i="6"/>
  <c r="AD990" i="6"/>
  <c r="AB991" i="6"/>
  <c r="AC991" i="6"/>
  <c r="AD991" i="6"/>
  <c r="AB992" i="6"/>
  <c r="AC992" i="6"/>
  <c r="AE988" i="6" s="1"/>
  <c r="AD992" i="6"/>
  <c r="AB993" i="6"/>
  <c r="AC993" i="6"/>
  <c r="AD993" i="6"/>
  <c r="AB994" i="6"/>
  <c r="AC994" i="6"/>
  <c r="AD994" i="6"/>
  <c r="AB995" i="6"/>
  <c r="AC995" i="6"/>
  <c r="AD995" i="6"/>
  <c r="AB996" i="6"/>
  <c r="AC996" i="6"/>
  <c r="AE992" i="6" s="1"/>
  <c r="AD996" i="6"/>
  <c r="AB997" i="6"/>
  <c r="AC997" i="6"/>
  <c r="AD997" i="6"/>
  <c r="AB998" i="6"/>
  <c r="AC998" i="6"/>
  <c r="AD998" i="6"/>
  <c r="AB999" i="6"/>
  <c r="AC999" i="6"/>
  <c r="AE996" i="6" s="1"/>
  <c r="AD999" i="6"/>
  <c r="AE999" i="6"/>
  <c r="AB1000" i="6"/>
  <c r="AC1000" i="6"/>
  <c r="AD1000" i="6"/>
  <c r="AE1000" i="6"/>
  <c r="AB1001" i="6"/>
  <c r="AC1001" i="6"/>
  <c r="AD1001" i="6"/>
  <c r="AE1001" i="6"/>
  <c r="AB1002" i="6"/>
  <c r="AC1002" i="6"/>
  <c r="AD1002" i="6"/>
  <c r="AE1002" i="6"/>
  <c r="AB503" i="6"/>
  <c r="AC503" i="6"/>
  <c r="AD503" i="6"/>
  <c r="AB504" i="6"/>
  <c r="AC504" i="6"/>
  <c r="AD504" i="6"/>
  <c r="AB505" i="6"/>
  <c r="AC505" i="6"/>
  <c r="AD505" i="6"/>
  <c r="AB506" i="6"/>
  <c r="AC506" i="6"/>
  <c r="AD506" i="6"/>
  <c r="AB507" i="6"/>
  <c r="AC507" i="6"/>
  <c r="AD507" i="6"/>
  <c r="AB508" i="6"/>
  <c r="AC508" i="6"/>
  <c r="AD508" i="6"/>
  <c r="AB509" i="6"/>
  <c r="AC509" i="6"/>
  <c r="AD509" i="6"/>
  <c r="AB510" i="6"/>
  <c r="AC510" i="6"/>
  <c r="AD510" i="6"/>
  <c r="AB511" i="6"/>
  <c r="AC511" i="6"/>
  <c r="AD511" i="6"/>
  <c r="AB512" i="6"/>
  <c r="AC512" i="6"/>
  <c r="AD512" i="6"/>
  <c r="AB513" i="6"/>
  <c r="AC513" i="6"/>
  <c r="AD513" i="6"/>
  <c r="AB514" i="6"/>
  <c r="AC514" i="6"/>
  <c r="AD514" i="6"/>
  <c r="AB515" i="6"/>
  <c r="AC515" i="6"/>
  <c r="AD515" i="6"/>
  <c r="AB516" i="6"/>
  <c r="AC516" i="6"/>
  <c r="AD516" i="6"/>
  <c r="AB517" i="6"/>
  <c r="AC517" i="6"/>
  <c r="AD517" i="6"/>
  <c r="AB518" i="6"/>
  <c r="AC518" i="6"/>
  <c r="AD518" i="6"/>
  <c r="AB519" i="6"/>
  <c r="AC519" i="6"/>
  <c r="AD519" i="6"/>
  <c r="AB520" i="6"/>
  <c r="AC520" i="6"/>
  <c r="AD520" i="6"/>
  <c r="AB521" i="6"/>
  <c r="AC521" i="6"/>
  <c r="AD521" i="6"/>
  <c r="AB522" i="6"/>
  <c r="AC522" i="6"/>
  <c r="AD522" i="6"/>
  <c r="AB523" i="6"/>
  <c r="AC523" i="6"/>
  <c r="AD523" i="6"/>
  <c r="AB524" i="6"/>
  <c r="AC524" i="6"/>
  <c r="AD524" i="6"/>
  <c r="AB525" i="6"/>
  <c r="AC525" i="6"/>
  <c r="AE252" i="6" s="1"/>
  <c r="AD525" i="6"/>
  <c r="AB526" i="6"/>
  <c r="AC526" i="6"/>
  <c r="AD526" i="6"/>
  <c r="AB527" i="6"/>
  <c r="AC527" i="6"/>
  <c r="AD527" i="6"/>
  <c r="AB528" i="6"/>
  <c r="AC528" i="6"/>
  <c r="AD528" i="6"/>
  <c r="AB529" i="6"/>
  <c r="AC529" i="6"/>
  <c r="AE527" i="6" s="1"/>
  <c r="AD529" i="6"/>
  <c r="AB530" i="6"/>
  <c r="AC530" i="6"/>
  <c r="AD530" i="6"/>
  <c r="AB531" i="6"/>
  <c r="AC531" i="6"/>
  <c r="AD531" i="6"/>
  <c r="AB532" i="6"/>
  <c r="AC532" i="6"/>
  <c r="AD532" i="6"/>
  <c r="AB533" i="6"/>
  <c r="AC533" i="6"/>
  <c r="AE531" i="6" s="1"/>
  <c r="AD533" i="6"/>
  <c r="AB534" i="6"/>
  <c r="AC534" i="6"/>
  <c r="AD534" i="6"/>
  <c r="AB535" i="6"/>
  <c r="AC535" i="6"/>
  <c r="AD535" i="6"/>
  <c r="AB536" i="6"/>
  <c r="AC536" i="6"/>
  <c r="AE532" i="6" s="1"/>
  <c r="AD536" i="6"/>
  <c r="AB537" i="6"/>
  <c r="AC537" i="6"/>
  <c r="AD537" i="6"/>
  <c r="AB538" i="6"/>
  <c r="AC538" i="6"/>
  <c r="AD538" i="6"/>
  <c r="AB539" i="6"/>
  <c r="AC539" i="6"/>
  <c r="AD539" i="6"/>
  <c r="AB540" i="6"/>
  <c r="AC540" i="6"/>
  <c r="AE536" i="6" s="1"/>
  <c r="AD540" i="6"/>
  <c r="AB541" i="6"/>
  <c r="AC541" i="6"/>
  <c r="AD541" i="6"/>
  <c r="AB542" i="6"/>
  <c r="AC542" i="6"/>
  <c r="AD542" i="6"/>
  <c r="AB543" i="6"/>
  <c r="AC543" i="6"/>
  <c r="AD543" i="6"/>
  <c r="AB544" i="6"/>
  <c r="AC544" i="6"/>
  <c r="AE540" i="6" s="1"/>
  <c r="AD544" i="6"/>
  <c r="AB545" i="6"/>
  <c r="AC545" i="6"/>
  <c r="AD545" i="6"/>
  <c r="AB546" i="6"/>
  <c r="AC546" i="6"/>
  <c r="AD546" i="6"/>
  <c r="AB547" i="6"/>
  <c r="AC547" i="6"/>
  <c r="AE544" i="6" s="1"/>
  <c r="AD547" i="6"/>
  <c r="AB548" i="6"/>
  <c r="AC548" i="6"/>
  <c r="AD548" i="6"/>
  <c r="AB549" i="6"/>
  <c r="AC549" i="6"/>
  <c r="AE547" i="6" s="1"/>
  <c r="AD549" i="6"/>
  <c r="AB550" i="6"/>
  <c r="AC550" i="6"/>
  <c r="AD550" i="6"/>
  <c r="AB551" i="6"/>
  <c r="AC551" i="6"/>
  <c r="AD551" i="6"/>
  <c r="AB552" i="6"/>
  <c r="AC552" i="6"/>
  <c r="AE550" i="6" s="1"/>
  <c r="AD552" i="6"/>
  <c r="AB553" i="6"/>
  <c r="AC553" i="6"/>
  <c r="AD553" i="6"/>
  <c r="AB554" i="6"/>
  <c r="AC554" i="6"/>
  <c r="AD554" i="6"/>
  <c r="AB555" i="6"/>
  <c r="AC555" i="6"/>
  <c r="AD555" i="6"/>
  <c r="AB556" i="6"/>
  <c r="AC556" i="6"/>
  <c r="AE554" i="6" s="1"/>
  <c r="AD556" i="6"/>
  <c r="AB557" i="6"/>
  <c r="AC557" i="6"/>
  <c r="AD557" i="6"/>
  <c r="AB558" i="6"/>
  <c r="AC558" i="6"/>
  <c r="AD558" i="6"/>
  <c r="AB559" i="6"/>
  <c r="AC559" i="6"/>
  <c r="AD559" i="6"/>
  <c r="AB560" i="6"/>
  <c r="AC560" i="6"/>
  <c r="AE558" i="6" s="1"/>
  <c r="AD560" i="6"/>
  <c r="AB561" i="6"/>
  <c r="AC561" i="6"/>
  <c r="AD561" i="6"/>
  <c r="AB562" i="6"/>
  <c r="AC562" i="6"/>
  <c r="AD562" i="6"/>
  <c r="AB563" i="6"/>
  <c r="AC563" i="6"/>
  <c r="AE559" i="6" s="1"/>
  <c r="AD563" i="6"/>
  <c r="AB564" i="6"/>
  <c r="AC564" i="6"/>
  <c r="AD564" i="6"/>
  <c r="AB565" i="6"/>
  <c r="AC565" i="6"/>
  <c r="AD565" i="6"/>
  <c r="AB566" i="6"/>
  <c r="AC566" i="6"/>
  <c r="AD566" i="6"/>
  <c r="AB567" i="6"/>
  <c r="AC567" i="6"/>
  <c r="AE563" i="6" s="1"/>
  <c r="AD567" i="6"/>
  <c r="AB568" i="6"/>
  <c r="AC568" i="6"/>
  <c r="AD568" i="6"/>
  <c r="AB569" i="6"/>
  <c r="AC569" i="6"/>
  <c r="AD569" i="6"/>
  <c r="AB570" i="6"/>
  <c r="AC570" i="6"/>
  <c r="AD570" i="6"/>
  <c r="AB571" i="6"/>
  <c r="AC571" i="6"/>
  <c r="AE567" i="6" s="1"/>
  <c r="AD571" i="6"/>
  <c r="AB572" i="6"/>
  <c r="AC572" i="6"/>
  <c r="AD572" i="6"/>
  <c r="AB573" i="6"/>
  <c r="AC573" i="6"/>
  <c r="AD573" i="6"/>
  <c r="AB574" i="6"/>
  <c r="AC574" i="6"/>
  <c r="AD574" i="6"/>
  <c r="AB575" i="6"/>
  <c r="AC575" i="6"/>
  <c r="AE571" i="6" s="1"/>
  <c r="AD575" i="6"/>
  <c r="AB576" i="6"/>
  <c r="AC576" i="6"/>
  <c r="AD576" i="6"/>
  <c r="AB577" i="6"/>
  <c r="AC577" i="6"/>
  <c r="AD577" i="6"/>
  <c r="AB578" i="6"/>
  <c r="AC578" i="6"/>
  <c r="AD578" i="6"/>
  <c r="AB579" i="6"/>
  <c r="AC579" i="6"/>
  <c r="AE575" i="6" s="1"/>
  <c r="AD579" i="6"/>
  <c r="AB580" i="6"/>
  <c r="AC580" i="6"/>
  <c r="AD580" i="6"/>
  <c r="AB581" i="6"/>
  <c r="AC581" i="6"/>
  <c r="AD581" i="6"/>
  <c r="AB582" i="6"/>
  <c r="AC582" i="6"/>
  <c r="AD582" i="6"/>
  <c r="AB583" i="6"/>
  <c r="AC583" i="6"/>
  <c r="AE579" i="6" s="1"/>
  <c r="AD583" i="6"/>
  <c r="AB584" i="6"/>
  <c r="AC584" i="6"/>
  <c r="AD584" i="6"/>
  <c r="AB585" i="6"/>
  <c r="AC585" i="6"/>
  <c r="AD585" i="6"/>
  <c r="AB586" i="6"/>
  <c r="AC586" i="6"/>
  <c r="AD586" i="6"/>
  <c r="AB587" i="6"/>
  <c r="AC587" i="6"/>
  <c r="AE583" i="6" s="1"/>
  <c r="AD587" i="6"/>
  <c r="AB588" i="6"/>
  <c r="AC588" i="6"/>
  <c r="AD588" i="6"/>
  <c r="AB589" i="6"/>
  <c r="AC589" i="6"/>
  <c r="AD589" i="6"/>
  <c r="AB590" i="6"/>
  <c r="AC590" i="6"/>
  <c r="AD590" i="6"/>
  <c r="AB591" i="6"/>
  <c r="AC591" i="6"/>
  <c r="AE587" i="6" s="1"/>
  <c r="AD591" i="6"/>
  <c r="AB592" i="6"/>
  <c r="AC592" i="6"/>
  <c r="AD592" i="6"/>
  <c r="AB593" i="6"/>
  <c r="AC593" i="6"/>
  <c r="AD593" i="6"/>
  <c r="AB594" i="6"/>
  <c r="AC594" i="6"/>
  <c r="AD594" i="6"/>
  <c r="AB595" i="6"/>
  <c r="AC595" i="6"/>
  <c r="AE591" i="6" s="1"/>
  <c r="AD595" i="6"/>
  <c r="AB596" i="6"/>
  <c r="AC596" i="6"/>
  <c r="AD596" i="6"/>
  <c r="AB597" i="6"/>
  <c r="AC597" i="6"/>
  <c r="AD597" i="6"/>
  <c r="AB598" i="6"/>
  <c r="AC598" i="6"/>
  <c r="AD598" i="6"/>
  <c r="AB599" i="6"/>
  <c r="AC599" i="6"/>
  <c r="AE595" i="6" s="1"/>
  <c r="AD599" i="6"/>
  <c r="AB600" i="6"/>
  <c r="AC600" i="6"/>
  <c r="AD600" i="6"/>
  <c r="AB601" i="6"/>
  <c r="AC601" i="6"/>
  <c r="AD601" i="6"/>
  <c r="AB602" i="6"/>
  <c r="AC602" i="6"/>
  <c r="AD602" i="6"/>
  <c r="AB603" i="6"/>
  <c r="AC603" i="6"/>
  <c r="AE599" i="6" s="1"/>
  <c r="AD603" i="6"/>
  <c r="AB604" i="6"/>
  <c r="AC604" i="6"/>
  <c r="AD604" i="6"/>
  <c r="AB605" i="6"/>
  <c r="AC605" i="6"/>
  <c r="AD605" i="6"/>
  <c r="AB606" i="6"/>
  <c r="AC606" i="6"/>
  <c r="AD606" i="6"/>
  <c r="AB607" i="6"/>
  <c r="AC607" i="6"/>
  <c r="AD607" i="6"/>
  <c r="AB608" i="6"/>
  <c r="AC608" i="6"/>
  <c r="AE607" i="6" s="1"/>
  <c r="AD608" i="6"/>
  <c r="AB609" i="6"/>
  <c r="AC609" i="6"/>
  <c r="AE608" i="6" s="1"/>
  <c r="AD609" i="6"/>
  <c r="AB610" i="6"/>
  <c r="AC610" i="6"/>
  <c r="AE604" i="6" s="1"/>
  <c r="AD610" i="6"/>
  <c r="AB611" i="6"/>
  <c r="AC611" i="6"/>
  <c r="AE610" i="6" s="1"/>
  <c r="AD611" i="6"/>
  <c r="AB612" i="6"/>
  <c r="AC612" i="6"/>
  <c r="AE609" i="6" s="1"/>
  <c r="AD612" i="6"/>
  <c r="AB613" i="6"/>
  <c r="AC613" i="6"/>
  <c r="AE611" i="6" s="1"/>
  <c r="AD613" i="6"/>
  <c r="AB614" i="6"/>
  <c r="AC614" i="6"/>
  <c r="AE612" i="6" s="1"/>
  <c r="AD614" i="6"/>
  <c r="AB615" i="6"/>
  <c r="AC615" i="6"/>
  <c r="AE613" i="6" s="1"/>
  <c r="AD615" i="6"/>
  <c r="AB616" i="6"/>
  <c r="AC616" i="6"/>
  <c r="AE614" i="6" s="1"/>
  <c r="AD616" i="6"/>
  <c r="AB617" i="6"/>
  <c r="AC617" i="6"/>
  <c r="AE615" i="6" s="1"/>
  <c r="AD617" i="6"/>
  <c r="AB618" i="6"/>
  <c r="AC618" i="6"/>
  <c r="AE616" i="6" s="1"/>
  <c r="AD618" i="6"/>
  <c r="AB619" i="6"/>
  <c r="AC619" i="6"/>
  <c r="AE617" i="6" s="1"/>
  <c r="AD619" i="6"/>
  <c r="AB620" i="6"/>
  <c r="AC620" i="6"/>
  <c r="AE618" i="6" s="1"/>
  <c r="AD620" i="6"/>
  <c r="AB621" i="6"/>
  <c r="AC621" i="6"/>
  <c r="AE620" i="6" s="1"/>
  <c r="AD621" i="6"/>
  <c r="AB622" i="6"/>
  <c r="AC622" i="6"/>
  <c r="AE619" i="6" s="1"/>
  <c r="AD622" i="6"/>
  <c r="AB623" i="6"/>
  <c r="AC623" i="6"/>
  <c r="AD623" i="6"/>
  <c r="AB624" i="6"/>
  <c r="AC624" i="6"/>
  <c r="AE621" i="6" s="1"/>
  <c r="AD624" i="6"/>
  <c r="AB625" i="6"/>
  <c r="AC625" i="6"/>
  <c r="AD625" i="6"/>
  <c r="AB626" i="6"/>
  <c r="AC626" i="6"/>
  <c r="AD626" i="6"/>
  <c r="AB627" i="6"/>
  <c r="AC627" i="6"/>
  <c r="AE624" i="6" s="1"/>
  <c r="AD627" i="6"/>
  <c r="AB628" i="6"/>
  <c r="AC628" i="6"/>
  <c r="AE626" i="6" s="1"/>
  <c r="AD628" i="6"/>
  <c r="AB629" i="6"/>
  <c r="AC629" i="6"/>
  <c r="AE627" i="6" s="1"/>
  <c r="AD629" i="6"/>
  <c r="AB630" i="6"/>
  <c r="AC630" i="6"/>
  <c r="AE625" i="6" s="1"/>
  <c r="AD630" i="6"/>
  <c r="AB631" i="6"/>
  <c r="AC631" i="6"/>
  <c r="AE628" i="6" s="1"/>
  <c r="AD631" i="6"/>
  <c r="AB632" i="6"/>
  <c r="AC632" i="6"/>
  <c r="AE629" i="6" s="1"/>
  <c r="AD632" i="6"/>
  <c r="AB633" i="6"/>
  <c r="AC633" i="6"/>
  <c r="AE630" i="6" s="1"/>
  <c r="AD633" i="6"/>
  <c r="AB634" i="6"/>
  <c r="AC634" i="6"/>
  <c r="AE631" i="6" s="1"/>
  <c r="AD634" i="6"/>
  <c r="AB635" i="6"/>
  <c r="AC635" i="6"/>
  <c r="AE632" i="6" s="1"/>
  <c r="AD635" i="6"/>
  <c r="AB636" i="6"/>
  <c r="AC636" i="6"/>
  <c r="AE633" i="6" s="1"/>
  <c r="AD636" i="6"/>
  <c r="AB637" i="6"/>
  <c r="AC637" i="6"/>
  <c r="AD637" i="6"/>
  <c r="AB638" i="6"/>
  <c r="AC638" i="6"/>
  <c r="AD638" i="6"/>
  <c r="AB639" i="6"/>
  <c r="AC639" i="6"/>
  <c r="AE636" i="6" s="1"/>
  <c r="AD639" i="6"/>
  <c r="AB640" i="6"/>
  <c r="AC640" i="6"/>
  <c r="AD640" i="6"/>
  <c r="AB641" i="6"/>
  <c r="AC641" i="6"/>
  <c r="AD641" i="6"/>
  <c r="AB642" i="6"/>
  <c r="AC642" i="6"/>
  <c r="AD642" i="6"/>
  <c r="AB643" i="6"/>
  <c r="AC643" i="6"/>
  <c r="AE641" i="6" s="1"/>
  <c r="AD643" i="6"/>
  <c r="AB644" i="6"/>
  <c r="AC644" i="6"/>
  <c r="AD644" i="6"/>
  <c r="AB645" i="6"/>
  <c r="AC645" i="6"/>
  <c r="AE643" i="6" s="1"/>
  <c r="AD645" i="6"/>
  <c r="AB646" i="6"/>
  <c r="AC646" i="6"/>
  <c r="AE644" i="6" s="1"/>
  <c r="AD646" i="6"/>
  <c r="AB647" i="6"/>
  <c r="AC647" i="6"/>
  <c r="AD647" i="6"/>
  <c r="AB648" i="6"/>
  <c r="AC648" i="6"/>
  <c r="AD648" i="6"/>
  <c r="AB649" i="6"/>
  <c r="AC649" i="6"/>
  <c r="AD649" i="6"/>
  <c r="AB650" i="6"/>
  <c r="AC650" i="6"/>
  <c r="AD650" i="6"/>
  <c r="AB651" i="6"/>
  <c r="AC651" i="6"/>
  <c r="AE649" i="6" s="1"/>
  <c r="AD651" i="6"/>
  <c r="AB652" i="6"/>
  <c r="AC652" i="6"/>
  <c r="AD652" i="6"/>
  <c r="AB653" i="6"/>
  <c r="AC653" i="6"/>
  <c r="AD653" i="6"/>
  <c r="AB654" i="6"/>
  <c r="AC654" i="6"/>
  <c r="AD654" i="6"/>
  <c r="AB655" i="6"/>
  <c r="AC655" i="6"/>
  <c r="AD655" i="6"/>
  <c r="AB656" i="6"/>
  <c r="AC656" i="6"/>
  <c r="AD656" i="6"/>
  <c r="AB657" i="6"/>
  <c r="AC657" i="6"/>
  <c r="AD657" i="6"/>
  <c r="AB658" i="6"/>
  <c r="AC658" i="6"/>
  <c r="AD658" i="6"/>
  <c r="AB659" i="6"/>
  <c r="AC659" i="6"/>
  <c r="AD659" i="6"/>
  <c r="AB660" i="6"/>
  <c r="AC660" i="6"/>
  <c r="AD660" i="6"/>
  <c r="AB661" i="6"/>
  <c r="AC661" i="6"/>
  <c r="AD661" i="6"/>
  <c r="AB662" i="6"/>
  <c r="AC662" i="6"/>
  <c r="AD662" i="6"/>
  <c r="AB663" i="6"/>
  <c r="AC663" i="6"/>
  <c r="AD663" i="6"/>
  <c r="AB664" i="6"/>
  <c r="AC664" i="6"/>
  <c r="AD664" i="6"/>
  <c r="AB665" i="6"/>
  <c r="AC665" i="6"/>
  <c r="AD665" i="6"/>
  <c r="AB666" i="6"/>
  <c r="AC666" i="6"/>
  <c r="AD666" i="6"/>
  <c r="AB667" i="6"/>
  <c r="AC667" i="6"/>
  <c r="AD667" i="6"/>
  <c r="AB668" i="6"/>
  <c r="AC668" i="6"/>
  <c r="AD668" i="6"/>
  <c r="AB669" i="6"/>
  <c r="AC669" i="6"/>
  <c r="AD669" i="6"/>
  <c r="AB670" i="6"/>
  <c r="AC670" i="6"/>
  <c r="AD670" i="6"/>
  <c r="AB671" i="6"/>
  <c r="AC671" i="6"/>
  <c r="AD671" i="6"/>
  <c r="AB672" i="6"/>
  <c r="AC672" i="6"/>
  <c r="AD672" i="6"/>
  <c r="AB673" i="6"/>
  <c r="AC673" i="6"/>
  <c r="AD673" i="6"/>
  <c r="AB674" i="6"/>
  <c r="AC674" i="6"/>
  <c r="AD674" i="6"/>
  <c r="AB675" i="6"/>
  <c r="AC675" i="6"/>
  <c r="AD675" i="6"/>
  <c r="AB676" i="6"/>
  <c r="AC676" i="6"/>
  <c r="AD676" i="6"/>
  <c r="AB677" i="6"/>
  <c r="AC677" i="6"/>
  <c r="AD677" i="6"/>
  <c r="AB678" i="6"/>
  <c r="AC678" i="6"/>
  <c r="AD678" i="6"/>
  <c r="AB679" i="6"/>
  <c r="AC679" i="6"/>
  <c r="AD679" i="6"/>
  <c r="AB680" i="6"/>
  <c r="AC680" i="6"/>
  <c r="AD680" i="6"/>
  <c r="AB681" i="6"/>
  <c r="AC681" i="6"/>
  <c r="AD681" i="6"/>
  <c r="AB682" i="6"/>
  <c r="AC682" i="6"/>
  <c r="AD682" i="6"/>
  <c r="AB683" i="6"/>
  <c r="AC683" i="6"/>
  <c r="AD683" i="6"/>
  <c r="AB684" i="6"/>
  <c r="AC684" i="6"/>
  <c r="AD684" i="6"/>
  <c r="AB685" i="6"/>
  <c r="AC685" i="6"/>
  <c r="AD685" i="6"/>
  <c r="AB686" i="6"/>
  <c r="AC686" i="6"/>
  <c r="AD686" i="6"/>
  <c r="AB687" i="6"/>
  <c r="AC687" i="6"/>
  <c r="AD687" i="6"/>
  <c r="AB688" i="6"/>
  <c r="AC688" i="6"/>
  <c r="AD688" i="6"/>
  <c r="AB689" i="6"/>
  <c r="AC689" i="6"/>
  <c r="AD689" i="6"/>
  <c r="AB690" i="6"/>
  <c r="AC690" i="6"/>
  <c r="AD690" i="6"/>
  <c r="AB691" i="6"/>
  <c r="AC691" i="6"/>
  <c r="AD691" i="6"/>
  <c r="AB692" i="6"/>
  <c r="AC692" i="6"/>
  <c r="AD692" i="6"/>
  <c r="AB693" i="6"/>
  <c r="AC693" i="6"/>
  <c r="AD693" i="6"/>
  <c r="AB694" i="6"/>
  <c r="AC694" i="6"/>
  <c r="AD694" i="6"/>
  <c r="AB695" i="6"/>
  <c r="AC695" i="6"/>
  <c r="AE690" i="6" s="1"/>
  <c r="AD695" i="6"/>
  <c r="AB696" i="6"/>
  <c r="AC696" i="6"/>
  <c r="AD696" i="6"/>
  <c r="AB697" i="6"/>
  <c r="AC697" i="6"/>
  <c r="AE692" i="6" s="1"/>
  <c r="AD697" i="6"/>
  <c r="AB698" i="6"/>
  <c r="AC698" i="6"/>
  <c r="AD698" i="6"/>
  <c r="AB699" i="6"/>
  <c r="AC699" i="6"/>
  <c r="AE696" i="6" s="1"/>
  <c r="AD699" i="6"/>
  <c r="AB700" i="6"/>
  <c r="AC700" i="6"/>
  <c r="AD700" i="6"/>
  <c r="AB701" i="6"/>
  <c r="AC701" i="6"/>
  <c r="AE697" i="6" s="1"/>
  <c r="AD701" i="6"/>
  <c r="AB702" i="6"/>
  <c r="AC702" i="6"/>
  <c r="AD702" i="6"/>
  <c r="AB703" i="6"/>
  <c r="AC703" i="6"/>
  <c r="AE700" i="6" s="1"/>
  <c r="AD703" i="6"/>
  <c r="AB704" i="6"/>
  <c r="AC704" i="6"/>
  <c r="AD704" i="6"/>
  <c r="AB705" i="6"/>
  <c r="AC705" i="6"/>
  <c r="AE701" i="6" s="1"/>
  <c r="AD705" i="6"/>
  <c r="AB706" i="6"/>
  <c r="AC706" i="6"/>
  <c r="AD706" i="6"/>
  <c r="AB707" i="6"/>
  <c r="AC707" i="6"/>
  <c r="AD707" i="6"/>
  <c r="AB708" i="6"/>
  <c r="AC708" i="6"/>
  <c r="AD708" i="6"/>
  <c r="AB709" i="6"/>
  <c r="AC709" i="6"/>
  <c r="AE705" i="6" s="1"/>
  <c r="AD709" i="6"/>
  <c r="AB710" i="6"/>
  <c r="AC710" i="6"/>
  <c r="AD710" i="6"/>
  <c r="AB711" i="6"/>
  <c r="AC711" i="6"/>
  <c r="AD711" i="6"/>
  <c r="AB712" i="6"/>
  <c r="AC712" i="6"/>
  <c r="AD712" i="6"/>
  <c r="AB713" i="6"/>
  <c r="AC713" i="6"/>
  <c r="AE709" i="6" s="1"/>
  <c r="AD713" i="6"/>
  <c r="AB714" i="6"/>
  <c r="AC714" i="6"/>
  <c r="AD714" i="6"/>
  <c r="AB715" i="6"/>
  <c r="AC715" i="6"/>
  <c r="AD715" i="6"/>
  <c r="AB716" i="6"/>
  <c r="AC716" i="6"/>
  <c r="AD716" i="6"/>
  <c r="AB717" i="6"/>
  <c r="AC717" i="6"/>
  <c r="AE713" i="6" s="1"/>
  <c r="AD717" i="6"/>
  <c r="AB718" i="6"/>
  <c r="AC718" i="6"/>
  <c r="AD718" i="6"/>
  <c r="AB719" i="6"/>
  <c r="AC719" i="6"/>
  <c r="AD719" i="6"/>
  <c r="AB720" i="6"/>
  <c r="AC720" i="6"/>
  <c r="AD720" i="6"/>
  <c r="AB721" i="6"/>
  <c r="AC721" i="6"/>
  <c r="AD721" i="6"/>
  <c r="AB722" i="6"/>
  <c r="AC722" i="6"/>
  <c r="AD722" i="6"/>
  <c r="AB723" i="6"/>
  <c r="AC723" i="6"/>
  <c r="AD723" i="6"/>
  <c r="AB724" i="6"/>
  <c r="AC724" i="6"/>
  <c r="AD724" i="6"/>
  <c r="AB725" i="6"/>
  <c r="AC725" i="6"/>
  <c r="AD725" i="6"/>
  <c r="AB726" i="6"/>
  <c r="AC726" i="6"/>
  <c r="AD726" i="6"/>
  <c r="AB727" i="6"/>
  <c r="AC727" i="6"/>
  <c r="AD727" i="6"/>
  <c r="AB728" i="6"/>
  <c r="AC728" i="6"/>
  <c r="AD728" i="6"/>
  <c r="AB729" i="6"/>
  <c r="AC729" i="6"/>
  <c r="AD729" i="6"/>
  <c r="AB730" i="6"/>
  <c r="AC730" i="6"/>
  <c r="AD730" i="6"/>
  <c r="AB731" i="6"/>
  <c r="AC731" i="6"/>
  <c r="AD731" i="6"/>
  <c r="AB732" i="6"/>
  <c r="AC732" i="6"/>
  <c r="AD732" i="6"/>
  <c r="AB733" i="6"/>
  <c r="AC733" i="6"/>
  <c r="AD733" i="6"/>
  <c r="AB734" i="6"/>
  <c r="AC734" i="6"/>
  <c r="AD734" i="6"/>
  <c r="AB735" i="6"/>
  <c r="AC735" i="6"/>
  <c r="AD735" i="6"/>
  <c r="AB736" i="6"/>
  <c r="AC736" i="6"/>
  <c r="AD736" i="6"/>
  <c r="AB737" i="6"/>
  <c r="AC737" i="6"/>
  <c r="AD737" i="6"/>
  <c r="AB738" i="6"/>
  <c r="AC738" i="6"/>
  <c r="AD738" i="6"/>
  <c r="AB739" i="6"/>
  <c r="AC739" i="6"/>
  <c r="AE737" i="6" s="1"/>
  <c r="AD739" i="6"/>
  <c r="AB740" i="6"/>
  <c r="AC740" i="6"/>
  <c r="AD740" i="6"/>
  <c r="AB741" i="6"/>
  <c r="AC741" i="6"/>
  <c r="AD741" i="6"/>
  <c r="AB742" i="6"/>
  <c r="AC742" i="6"/>
  <c r="AE740" i="6" s="1"/>
  <c r="AD742" i="6"/>
  <c r="AB743" i="6"/>
  <c r="AC743" i="6"/>
  <c r="AD743" i="6"/>
  <c r="AB744" i="6"/>
  <c r="AC744" i="6"/>
  <c r="AD744" i="6"/>
  <c r="AB745" i="6"/>
  <c r="AC745" i="6"/>
  <c r="AE725" i="6" s="1"/>
  <c r="AD745" i="6"/>
  <c r="AB746" i="6"/>
  <c r="AC746" i="6"/>
  <c r="AD746" i="6"/>
  <c r="AB747" i="6"/>
  <c r="AC747" i="6"/>
  <c r="AE743" i="6" s="1"/>
  <c r="AD747" i="6"/>
  <c r="AB748" i="6"/>
  <c r="AC748" i="6"/>
  <c r="AD748" i="6"/>
  <c r="AB749" i="6"/>
  <c r="AC749" i="6"/>
  <c r="AE746" i="6" s="1"/>
  <c r="AD749" i="6"/>
  <c r="AB750" i="6"/>
  <c r="AC750" i="6"/>
  <c r="AD750" i="6"/>
  <c r="AE750" i="6"/>
  <c r="AB751" i="6"/>
  <c r="AC751" i="6"/>
  <c r="AE747" i="6" s="1"/>
  <c r="AD751" i="6"/>
  <c r="AE751" i="6"/>
  <c r="AB752" i="6"/>
  <c r="AC752" i="6"/>
  <c r="AD752" i="6"/>
  <c r="AE752" i="6"/>
  <c r="AB253" i="6"/>
  <c r="AC253" i="6"/>
  <c r="AD253" i="6"/>
  <c r="AB254" i="6"/>
  <c r="AC254" i="6"/>
  <c r="AD254" i="6"/>
  <c r="AB255" i="6"/>
  <c r="AC255" i="6"/>
  <c r="AD255" i="6"/>
  <c r="AB256" i="6"/>
  <c r="AC256" i="6"/>
  <c r="AD256" i="6"/>
  <c r="AB257" i="6"/>
  <c r="AC257" i="6"/>
  <c r="AD257" i="6"/>
  <c r="AB258" i="6"/>
  <c r="AC258" i="6"/>
  <c r="AD258" i="6"/>
  <c r="AB259" i="6"/>
  <c r="AC259" i="6"/>
  <c r="AD259" i="6"/>
  <c r="AB260" i="6"/>
  <c r="AC260" i="6"/>
  <c r="AD260" i="6"/>
  <c r="AB261" i="6"/>
  <c r="AC261" i="6"/>
  <c r="AD261" i="6"/>
  <c r="AB262" i="6"/>
  <c r="AC262" i="6"/>
  <c r="AD262" i="6"/>
  <c r="AB263" i="6"/>
  <c r="AC263" i="6"/>
  <c r="AD263" i="6"/>
  <c r="AB264" i="6"/>
  <c r="AC264" i="6"/>
  <c r="AD264" i="6"/>
  <c r="AB265" i="6"/>
  <c r="AC265" i="6"/>
  <c r="AD265" i="6"/>
  <c r="AB266" i="6"/>
  <c r="AC266" i="6"/>
  <c r="AD266" i="6"/>
  <c r="AB267" i="6"/>
  <c r="AC267" i="6"/>
  <c r="AD267" i="6"/>
  <c r="AB268" i="6"/>
  <c r="AC268" i="6"/>
  <c r="AD268" i="6"/>
  <c r="AB269" i="6"/>
  <c r="AC269" i="6"/>
  <c r="AD269" i="6"/>
  <c r="AB270" i="6"/>
  <c r="AC270" i="6"/>
  <c r="AD270" i="6"/>
  <c r="AB271" i="6"/>
  <c r="AC271" i="6"/>
  <c r="AD271" i="6"/>
  <c r="AB272" i="6"/>
  <c r="AC272" i="6"/>
  <c r="AD272" i="6"/>
  <c r="AB273" i="6"/>
  <c r="AC273" i="6"/>
  <c r="AD273" i="6"/>
  <c r="AB274" i="6"/>
  <c r="AC274" i="6"/>
  <c r="AD274" i="6"/>
  <c r="AB275" i="6"/>
  <c r="AC275" i="6"/>
  <c r="AD275" i="6"/>
  <c r="AB276" i="6"/>
  <c r="AC276" i="6"/>
  <c r="AD276" i="6"/>
  <c r="AB277" i="6"/>
  <c r="AC277" i="6"/>
  <c r="AD277" i="6"/>
  <c r="AB278" i="6"/>
  <c r="AC278" i="6"/>
  <c r="AD278" i="6"/>
  <c r="AB279" i="6"/>
  <c r="AC279" i="6"/>
  <c r="AD279" i="6"/>
  <c r="AB280" i="6"/>
  <c r="AC280" i="6"/>
  <c r="AD280" i="6"/>
  <c r="AB281" i="6"/>
  <c r="AC281" i="6"/>
  <c r="AD281" i="6"/>
  <c r="AB282" i="6"/>
  <c r="AC282" i="6"/>
  <c r="AE279" i="6" s="1"/>
  <c r="AD282" i="6"/>
  <c r="AB283" i="6"/>
  <c r="AC283" i="6"/>
  <c r="AD283" i="6"/>
  <c r="AB284" i="6"/>
  <c r="AC284" i="6"/>
  <c r="AD284" i="6"/>
  <c r="AB285" i="6"/>
  <c r="AC285" i="6"/>
  <c r="AE283" i="6" s="1"/>
  <c r="AD285" i="6"/>
  <c r="AB286" i="6"/>
  <c r="AC286" i="6"/>
  <c r="AD286" i="6"/>
  <c r="AB287" i="6"/>
  <c r="AC287" i="6"/>
  <c r="AD287" i="6"/>
  <c r="AB288" i="6"/>
  <c r="AC288" i="6"/>
  <c r="AE286" i="6" s="1"/>
  <c r="AD288" i="6"/>
  <c r="AB289" i="6"/>
  <c r="AC289" i="6"/>
  <c r="AD289" i="6"/>
  <c r="AB290" i="6"/>
  <c r="AC290" i="6"/>
  <c r="AD290" i="6"/>
  <c r="AB291" i="6"/>
  <c r="AC291" i="6"/>
  <c r="AE289" i="6" s="1"/>
  <c r="AD291" i="6"/>
  <c r="AB292" i="6"/>
  <c r="AC292" i="6"/>
  <c r="AD292" i="6"/>
  <c r="AB293" i="6"/>
  <c r="AC293" i="6"/>
  <c r="AD293" i="6"/>
  <c r="AB294" i="6"/>
  <c r="AC294" i="6"/>
  <c r="AE292" i="6" s="1"/>
  <c r="AD294" i="6"/>
  <c r="AB295" i="6"/>
  <c r="AC295" i="6"/>
  <c r="AD295" i="6"/>
  <c r="AB296" i="6"/>
  <c r="AC296" i="6"/>
  <c r="AD296" i="6"/>
  <c r="AB297" i="6"/>
  <c r="AC297" i="6"/>
  <c r="AD297" i="6"/>
  <c r="AB298" i="6"/>
  <c r="AC298" i="6"/>
  <c r="AE295" i="6" s="1"/>
  <c r="AD298" i="6"/>
  <c r="AB299" i="6"/>
  <c r="AC299" i="6"/>
  <c r="AD299" i="6"/>
  <c r="AB300" i="6"/>
  <c r="AC300" i="6"/>
  <c r="AD300" i="6"/>
  <c r="AB301" i="6"/>
  <c r="AC301" i="6"/>
  <c r="AD301" i="6"/>
  <c r="AB302" i="6"/>
  <c r="AC302" i="6"/>
  <c r="AD302" i="6"/>
  <c r="AB303" i="6"/>
  <c r="AC303" i="6"/>
  <c r="AE300" i="6" s="1"/>
  <c r="AD303" i="6"/>
  <c r="AB304" i="6"/>
  <c r="AC304" i="6"/>
  <c r="AD304" i="6"/>
  <c r="AB305" i="6"/>
  <c r="AC305" i="6"/>
  <c r="AD305" i="6"/>
  <c r="AB306" i="6"/>
  <c r="AC306" i="6"/>
  <c r="AD306" i="6"/>
  <c r="AB307" i="6"/>
  <c r="AC307" i="6"/>
  <c r="AE304" i="6" s="1"/>
  <c r="AD307" i="6"/>
  <c r="AB308" i="6"/>
  <c r="AC308" i="6"/>
  <c r="AD308" i="6"/>
  <c r="AB309" i="6"/>
  <c r="AC309" i="6"/>
  <c r="AD309" i="6"/>
  <c r="AB310" i="6"/>
  <c r="AC310" i="6"/>
  <c r="AD310" i="6"/>
  <c r="AB311" i="6"/>
  <c r="AC311" i="6"/>
  <c r="AE308" i="6" s="1"/>
  <c r="AD311" i="6"/>
  <c r="AB312" i="6"/>
  <c r="AC312" i="6"/>
  <c r="AD312" i="6"/>
  <c r="AB313" i="6"/>
  <c r="AC313" i="6"/>
  <c r="AD313" i="6"/>
  <c r="AB314" i="6"/>
  <c r="AC314" i="6"/>
  <c r="AD314" i="6"/>
  <c r="AB315" i="6"/>
  <c r="AC315" i="6"/>
  <c r="AE312" i="6" s="1"/>
  <c r="AD315" i="6"/>
  <c r="AB316" i="6"/>
  <c r="AC316" i="6"/>
  <c r="AD316" i="6"/>
  <c r="AB317" i="6"/>
  <c r="AC317" i="6"/>
  <c r="AD317" i="6"/>
  <c r="AB318" i="6"/>
  <c r="AC318" i="6"/>
  <c r="AD318" i="6"/>
  <c r="AB319" i="6"/>
  <c r="AC319" i="6"/>
  <c r="AE316" i="6" s="1"/>
  <c r="AD319" i="6"/>
  <c r="AB320" i="6"/>
  <c r="AC320" i="6"/>
  <c r="AD320" i="6"/>
  <c r="AB321" i="6"/>
  <c r="AC321" i="6"/>
  <c r="AD321" i="6"/>
  <c r="AB322" i="6"/>
  <c r="AC322" i="6"/>
  <c r="AD322" i="6"/>
  <c r="AB323" i="6"/>
  <c r="AC323" i="6"/>
  <c r="AE320" i="6" s="1"/>
  <c r="AD323" i="6"/>
  <c r="AB324" i="6"/>
  <c r="AC324" i="6"/>
  <c r="AD324" i="6"/>
  <c r="AB325" i="6"/>
  <c r="AC325" i="6"/>
  <c r="AD325" i="6"/>
  <c r="AB326" i="6"/>
  <c r="AC326" i="6"/>
  <c r="AD326" i="6"/>
  <c r="AB327" i="6"/>
  <c r="AC327" i="6"/>
  <c r="AE324" i="6" s="1"/>
  <c r="AD327" i="6"/>
  <c r="AB328" i="6"/>
  <c r="AC328" i="6"/>
  <c r="AD328" i="6"/>
  <c r="AB329" i="6"/>
  <c r="AC329" i="6"/>
  <c r="AD329" i="6"/>
  <c r="AB330" i="6"/>
  <c r="AC330" i="6"/>
  <c r="AD330" i="6"/>
  <c r="AB331" i="6"/>
  <c r="AC331" i="6"/>
  <c r="AE328" i="6" s="1"/>
  <c r="AD331" i="6"/>
  <c r="AB332" i="6"/>
  <c r="AC332" i="6"/>
  <c r="AD332" i="6"/>
  <c r="AB333" i="6"/>
  <c r="AC333" i="6"/>
  <c r="AD333" i="6"/>
  <c r="AB334" i="6"/>
  <c r="AC334" i="6"/>
  <c r="AD334" i="6"/>
  <c r="AB335" i="6"/>
  <c r="AC335" i="6"/>
  <c r="AD335" i="6"/>
  <c r="AB336" i="6"/>
  <c r="AC336" i="6"/>
  <c r="AD336" i="6"/>
  <c r="AB337" i="6"/>
  <c r="AC337" i="6"/>
  <c r="AD337" i="6"/>
  <c r="AB338" i="6"/>
  <c r="AC338" i="6"/>
  <c r="AD338" i="6"/>
  <c r="AB339" i="6"/>
  <c r="AC339" i="6"/>
  <c r="AD339" i="6"/>
  <c r="AB340" i="6"/>
  <c r="AC340" i="6"/>
  <c r="AD340" i="6"/>
  <c r="AB341" i="6"/>
  <c r="AC341" i="6"/>
  <c r="AD341" i="6"/>
  <c r="AB342" i="6"/>
  <c r="AC342" i="6"/>
  <c r="AD342" i="6"/>
  <c r="AB343" i="6"/>
  <c r="AC343" i="6"/>
  <c r="AD343" i="6"/>
  <c r="AB344" i="6"/>
  <c r="AC344" i="6"/>
  <c r="AD344" i="6"/>
  <c r="AB345" i="6"/>
  <c r="AC345" i="6"/>
  <c r="AD345" i="6"/>
  <c r="AB346" i="6"/>
  <c r="AC346" i="6"/>
  <c r="AD346" i="6"/>
  <c r="AB347" i="6"/>
  <c r="AC347" i="6"/>
  <c r="AD347" i="6"/>
  <c r="AB348" i="6"/>
  <c r="AC348" i="6"/>
  <c r="AD348" i="6"/>
  <c r="AB349" i="6"/>
  <c r="AC349" i="6"/>
  <c r="AD349" i="6"/>
  <c r="AB350" i="6"/>
  <c r="AC350" i="6"/>
  <c r="AD350" i="6"/>
  <c r="AB351" i="6"/>
  <c r="AC351" i="6"/>
  <c r="AD351" i="6"/>
  <c r="AB352" i="6"/>
  <c r="AC352" i="6"/>
  <c r="AD352" i="6"/>
  <c r="AB353" i="6"/>
  <c r="AC353" i="6"/>
  <c r="AD353" i="6"/>
  <c r="AB354" i="6"/>
  <c r="AC354" i="6"/>
  <c r="AD354" i="6"/>
  <c r="AB355" i="6"/>
  <c r="AC355" i="6"/>
  <c r="AD355" i="6"/>
  <c r="AB356" i="6"/>
  <c r="AC356" i="6"/>
  <c r="AD356" i="6"/>
  <c r="AB357" i="6"/>
  <c r="AC357" i="6"/>
  <c r="AD357" i="6"/>
  <c r="AB358" i="6"/>
  <c r="AC358" i="6"/>
  <c r="AE357" i="6" s="1"/>
  <c r="AD358" i="6"/>
  <c r="AB359" i="6"/>
  <c r="AC359" i="6"/>
  <c r="AE358" i="6" s="1"/>
  <c r="AD359" i="6"/>
  <c r="AB360" i="6"/>
  <c r="AC360" i="6"/>
  <c r="AE359" i="6" s="1"/>
  <c r="AD360" i="6"/>
  <c r="AB361" i="6"/>
  <c r="AC361" i="6"/>
  <c r="AE360" i="6" s="1"/>
  <c r="AD361" i="6"/>
  <c r="AB362" i="6"/>
  <c r="AC362" i="6"/>
  <c r="AE361" i="6" s="1"/>
  <c r="AD362" i="6"/>
  <c r="AB363" i="6"/>
  <c r="AC363" i="6"/>
  <c r="AE362" i="6" s="1"/>
  <c r="AD363" i="6"/>
  <c r="AB364" i="6"/>
  <c r="AC364" i="6"/>
  <c r="AE363" i="6" s="1"/>
  <c r="AD364" i="6"/>
  <c r="AB365" i="6"/>
  <c r="AC365" i="6"/>
  <c r="AE364" i="6" s="1"/>
  <c r="AD365" i="6"/>
  <c r="AB366" i="6"/>
  <c r="AC366" i="6"/>
  <c r="AE365" i="6" s="1"/>
  <c r="AD366" i="6"/>
  <c r="AB367" i="6"/>
  <c r="AC367" i="6"/>
  <c r="AD367" i="6"/>
  <c r="AB368" i="6"/>
  <c r="AC368" i="6"/>
  <c r="AD368" i="6"/>
  <c r="AB369" i="6"/>
  <c r="AC369" i="6"/>
  <c r="AD369" i="6"/>
  <c r="AB370" i="6"/>
  <c r="AC370" i="6"/>
  <c r="AE369" i="6" s="1"/>
  <c r="AD370" i="6"/>
  <c r="AB371" i="6"/>
  <c r="AC371" i="6"/>
  <c r="AD371" i="6"/>
  <c r="AB372" i="6"/>
  <c r="AC372" i="6"/>
  <c r="AD372" i="6"/>
  <c r="AB373" i="6"/>
  <c r="AC373" i="6"/>
  <c r="AD373" i="6"/>
  <c r="AB374" i="6"/>
  <c r="AC374" i="6"/>
  <c r="AD374" i="6"/>
  <c r="AB375" i="6"/>
  <c r="AC375" i="6"/>
  <c r="AD375" i="6"/>
  <c r="AB376" i="6"/>
  <c r="AC376" i="6"/>
  <c r="AD376" i="6"/>
  <c r="AB377" i="6"/>
  <c r="AC377" i="6"/>
  <c r="AD377" i="6"/>
  <c r="AB378" i="6"/>
  <c r="AC378" i="6"/>
  <c r="AD378" i="6"/>
  <c r="AB379" i="6"/>
  <c r="AC379" i="6"/>
  <c r="AD379" i="6"/>
  <c r="AB380" i="6"/>
  <c r="AC380" i="6"/>
  <c r="AD380" i="6"/>
  <c r="AB381" i="6"/>
  <c r="AC381" i="6"/>
  <c r="AD381" i="6"/>
  <c r="AB382" i="6"/>
  <c r="AC382" i="6"/>
  <c r="AD382" i="6"/>
  <c r="AB383" i="6"/>
  <c r="AC383" i="6"/>
  <c r="AE377" i="6" s="1"/>
  <c r="AD383" i="6"/>
  <c r="AB384" i="6"/>
  <c r="AC384" i="6"/>
  <c r="AD384" i="6"/>
  <c r="AB385" i="6"/>
  <c r="AC385" i="6"/>
  <c r="AD385" i="6"/>
  <c r="AB386" i="6"/>
  <c r="AC386" i="6"/>
  <c r="AE383" i="6" s="1"/>
  <c r="AD386" i="6"/>
  <c r="AB387" i="6"/>
  <c r="AC387" i="6"/>
  <c r="AD387" i="6"/>
  <c r="AB388" i="6"/>
  <c r="AC388" i="6"/>
  <c r="AD388" i="6"/>
  <c r="AB389" i="6"/>
  <c r="AC389" i="6"/>
  <c r="AE386" i="6" s="1"/>
  <c r="AD389" i="6"/>
  <c r="AB390" i="6"/>
  <c r="AC390" i="6"/>
  <c r="AD390" i="6"/>
  <c r="AB391" i="6"/>
  <c r="AC391" i="6"/>
  <c r="AD391" i="6"/>
  <c r="AB392" i="6"/>
  <c r="AC392" i="6"/>
  <c r="AE389" i="6" s="1"/>
  <c r="AD392" i="6"/>
  <c r="AB393" i="6"/>
  <c r="AC393" i="6"/>
  <c r="AD393" i="6"/>
  <c r="AB394" i="6"/>
  <c r="AC394" i="6"/>
  <c r="AD394" i="6"/>
  <c r="AB395" i="6"/>
  <c r="AC395" i="6"/>
  <c r="AE392" i="6" s="1"/>
  <c r="AD395" i="6"/>
  <c r="AB396" i="6"/>
  <c r="AC396" i="6"/>
  <c r="AD396" i="6"/>
  <c r="AB397" i="6"/>
  <c r="AC397" i="6"/>
  <c r="AE395" i="6" s="1"/>
  <c r="AD397" i="6"/>
  <c r="AB398" i="6"/>
  <c r="AC398" i="6"/>
  <c r="AD398" i="6"/>
  <c r="AB399" i="6"/>
  <c r="AC399" i="6"/>
  <c r="AE396" i="6" s="1"/>
  <c r="AD399" i="6"/>
  <c r="AB400" i="6"/>
  <c r="AC400" i="6"/>
  <c r="AD400" i="6"/>
  <c r="AB401" i="6"/>
  <c r="AC401" i="6"/>
  <c r="AD401" i="6"/>
  <c r="AB402" i="6"/>
  <c r="AC402" i="6"/>
  <c r="AE399" i="6" s="1"/>
  <c r="AD402" i="6"/>
  <c r="AB403" i="6"/>
  <c r="AC403" i="6"/>
  <c r="AD403" i="6"/>
  <c r="AB404" i="6"/>
  <c r="AC404" i="6"/>
  <c r="AD404" i="6"/>
  <c r="AB405" i="6"/>
  <c r="AC405" i="6"/>
  <c r="AE402" i="6" s="1"/>
  <c r="AD405" i="6"/>
  <c r="AB406" i="6"/>
  <c r="AC406" i="6"/>
  <c r="AD406" i="6"/>
  <c r="AB407" i="6"/>
  <c r="AC407" i="6"/>
  <c r="AD407" i="6"/>
  <c r="AB408" i="6"/>
  <c r="AC408" i="6"/>
  <c r="AE405" i="6" s="1"/>
  <c r="AD408" i="6"/>
  <c r="AB409" i="6"/>
  <c r="AC409" i="6"/>
  <c r="AD409" i="6"/>
  <c r="AB410" i="6"/>
  <c r="AC410" i="6"/>
  <c r="AD410" i="6"/>
  <c r="AB411" i="6"/>
  <c r="AC411" i="6"/>
  <c r="AE408" i="6" s="1"/>
  <c r="AD411" i="6"/>
  <c r="AB412" i="6"/>
  <c r="AC412" i="6"/>
  <c r="AE409" i="6" s="1"/>
  <c r="AD412" i="6"/>
  <c r="AB413" i="6"/>
  <c r="AC413" i="6"/>
  <c r="AD413" i="6"/>
  <c r="AB414" i="6"/>
  <c r="AC414" i="6"/>
  <c r="AE412" i="6" s="1"/>
  <c r="AD414" i="6"/>
  <c r="AB415" i="6"/>
  <c r="AC415" i="6"/>
  <c r="AE413" i="6" s="1"/>
  <c r="AD415" i="6"/>
  <c r="AB416" i="6"/>
  <c r="AC416" i="6"/>
  <c r="AE414" i="6" s="1"/>
  <c r="AD416" i="6"/>
  <c r="AB417" i="6"/>
  <c r="AC417" i="6"/>
  <c r="AD417" i="6"/>
  <c r="AB418" i="6"/>
  <c r="AC418" i="6"/>
  <c r="AE415" i="6" s="1"/>
  <c r="AD418" i="6"/>
  <c r="AB419" i="6"/>
  <c r="AC419" i="6"/>
  <c r="AD419" i="6"/>
  <c r="AB420" i="6"/>
  <c r="AC420" i="6"/>
  <c r="AD420" i="6"/>
  <c r="AB421" i="6"/>
  <c r="AC421" i="6"/>
  <c r="AE418" i="6" s="1"/>
  <c r="AD421" i="6"/>
  <c r="AB422" i="6"/>
  <c r="AC422" i="6"/>
  <c r="AD422" i="6"/>
  <c r="AB423" i="6"/>
  <c r="AC423" i="6"/>
  <c r="AD423" i="6"/>
  <c r="AB424" i="6"/>
  <c r="AC424" i="6"/>
  <c r="AD424" i="6"/>
  <c r="AB425" i="6"/>
  <c r="AC425" i="6"/>
  <c r="AD425" i="6"/>
  <c r="AB426" i="6"/>
  <c r="AC426" i="6"/>
  <c r="AD426" i="6"/>
  <c r="AB427" i="6"/>
  <c r="AC427" i="6"/>
  <c r="AE424" i="6" s="1"/>
  <c r="AD427" i="6"/>
  <c r="AB428" i="6"/>
  <c r="AC428" i="6"/>
  <c r="AD428" i="6"/>
  <c r="AB429" i="6"/>
  <c r="AC429" i="6"/>
  <c r="AD429" i="6"/>
  <c r="AB430" i="6"/>
  <c r="AC430" i="6"/>
  <c r="AD430" i="6"/>
  <c r="AB431" i="6"/>
  <c r="AC431" i="6"/>
  <c r="AE428" i="6" s="1"/>
  <c r="AD431" i="6"/>
  <c r="AB432" i="6"/>
  <c r="AC432" i="6"/>
  <c r="AD432" i="6"/>
  <c r="AB433" i="6"/>
  <c r="AC433" i="6"/>
  <c r="AD433" i="6"/>
  <c r="AB434" i="6"/>
  <c r="AC434" i="6"/>
  <c r="AD434" i="6"/>
  <c r="AB435" i="6"/>
  <c r="AC435" i="6"/>
  <c r="AE432" i="6" s="1"/>
  <c r="AD435" i="6"/>
  <c r="AB436" i="6"/>
  <c r="AC436" i="6"/>
  <c r="AD436" i="6"/>
  <c r="AB437" i="6"/>
  <c r="AC437" i="6"/>
  <c r="AD437" i="6"/>
  <c r="AB438" i="6"/>
  <c r="AC438" i="6"/>
  <c r="AD438" i="6"/>
  <c r="AB439" i="6"/>
  <c r="AC439" i="6"/>
  <c r="AE436" i="6" s="1"/>
  <c r="AD439" i="6"/>
  <c r="AB440" i="6"/>
  <c r="AC440" i="6"/>
  <c r="AD440" i="6"/>
  <c r="AB441" i="6"/>
  <c r="AC441" i="6"/>
  <c r="AD441" i="6"/>
  <c r="AB442" i="6"/>
  <c r="AC442" i="6"/>
  <c r="AD442" i="6"/>
  <c r="AB443" i="6"/>
  <c r="AC443" i="6"/>
  <c r="AE440" i="6" s="1"/>
  <c r="AD443" i="6"/>
  <c r="AB444" i="6"/>
  <c r="AC444" i="6"/>
  <c r="AD444" i="6"/>
  <c r="AB445" i="6"/>
  <c r="AC445" i="6"/>
  <c r="AD445" i="6"/>
  <c r="AB446" i="6"/>
  <c r="AC446" i="6"/>
  <c r="AD446" i="6"/>
  <c r="AB447" i="6"/>
  <c r="AC447" i="6"/>
  <c r="AE444" i="6" s="1"/>
  <c r="AD447" i="6"/>
  <c r="AB448" i="6"/>
  <c r="AC448" i="6"/>
  <c r="AD448" i="6"/>
  <c r="AB449" i="6"/>
  <c r="AC449" i="6"/>
  <c r="AD449" i="6"/>
  <c r="AB450" i="6"/>
  <c r="AC450" i="6"/>
  <c r="AD450" i="6"/>
  <c r="AB451" i="6"/>
  <c r="AC451" i="6"/>
  <c r="AE448" i="6" s="1"/>
  <c r="AD451" i="6"/>
  <c r="AB452" i="6"/>
  <c r="AC452" i="6"/>
  <c r="AD452" i="6"/>
  <c r="AB453" i="6"/>
  <c r="AC453" i="6"/>
  <c r="AD453" i="6"/>
  <c r="AB454" i="6"/>
  <c r="AC454" i="6"/>
  <c r="AD454" i="6"/>
  <c r="AB455" i="6"/>
  <c r="AC455" i="6"/>
  <c r="AE452" i="6" s="1"/>
  <c r="AD455" i="6"/>
  <c r="AB456" i="6"/>
  <c r="AC456" i="6"/>
  <c r="AD456" i="6"/>
  <c r="AB457" i="6"/>
  <c r="AC457" i="6"/>
  <c r="AD457" i="6"/>
  <c r="AB458" i="6"/>
  <c r="AC458" i="6"/>
  <c r="AD458" i="6"/>
  <c r="AB459" i="6"/>
  <c r="AC459" i="6"/>
  <c r="AD459" i="6"/>
  <c r="AB460" i="6"/>
  <c r="AC460" i="6"/>
  <c r="AD460" i="6"/>
  <c r="AB461" i="6"/>
  <c r="AC461" i="6"/>
  <c r="AD461" i="6"/>
  <c r="AB462" i="6"/>
  <c r="AC462" i="6"/>
  <c r="AD462" i="6"/>
  <c r="AB463" i="6"/>
  <c r="AC463" i="6"/>
  <c r="AD463" i="6"/>
  <c r="AB464" i="6"/>
  <c r="AC464" i="6"/>
  <c r="AD464" i="6"/>
  <c r="AB465" i="6"/>
  <c r="AC465" i="6"/>
  <c r="AD465" i="6"/>
  <c r="AB466" i="6"/>
  <c r="AC466" i="6"/>
  <c r="AD466" i="6"/>
  <c r="AB467" i="6"/>
  <c r="AC467" i="6"/>
  <c r="AD467" i="6"/>
  <c r="AB468" i="6"/>
  <c r="AC468" i="6"/>
  <c r="AD468" i="6"/>
  <c r="AB469" i="6"/>
  <c r="AC469" i="6"/>
  <c r="AD469" i="6"/>
  <c r="AB470" i="6"/>
  <c r="AC470" i="6"/>
  <c r="AD470" i="6"/>
  <c r="AB471" i="6"/>
  <c r="AC471" i="6"/>
  <c r="AD471" i="6"/>
  <c r="AB472" i="6"/>
  <c r="AC472" i="6"/>
  <c r="AD472" i="6"/>
  <c r="AB473" i="6"/>
  <c r="AC473" i="6"/>
  <c r="AD473" i="6"/>
  <c r="AB474" i="6"/>
  <c r="AC474" i="6"/>
  <c r="AD474" i="6"/>
  <c r="AB475" i="6"/>
  <c r="AC475" i="6"/>
  <c r="AD475" i="6"/>
  <c r="AB476" i="6"/>
  <c r="AC476" i="6"/>
  <c r="AD476" i="6"/>
  <c r="AB477" i="6"/>
  <c r="AC477" i="6"/>
  <c r="AD477" i="6"/>
  <c r="AB478" i="6"/>
  <c r="AC478" i="6"/>
  <c r="AD478" i="6"/>
  <c r="AB479" i="6"/>
  <c r="AC479" i="6"/>
  <c r="AD479" i="6"/>
  <c r="AB480" i="6"/>
  <c r="AC480" i="6"/>
  <c r="AD480" i="6"/>
  <c r="AB481" i="6"/>
  <c r="AC481" i="6"/>
  <c r="AD481" i="6"/>
  <c r="AB482" i="6"/>
  <c r="AC482" i="6"/>
  <c r="AD482" i="6"/>
  <c r="AB483" i="6"/>
  <c r="AC483" i="6"/>
  <c r="AD483" i="6"/>
  <c r="AB484" i="6"/>
  <c r="AC484" i="6"/>
  <c r="AD484" i="6"/>
  <c r="AB485" i="6"/>
  <c r="AC485" i="6"/>
  <c r="AD485" i="6"/>
  <c r="AB486" i="6"/>
  <c r="AC486" i="6"/>
  <c r="AD486" i="6"/>
  <c r="AB487" i="6"/>
  <c r="AC487" i="6"/>
  <c r="AD487" i="6"/>
  <c r="AB488" i="6"/>
  <c r="AC488" i="6"/>
  <c r="AD488" i="6"/>
  <c r="AB489" i="6"/>
  <c r="AC489" i="6"/>
  <c r="AD489" i="6"/>
  <c r="AB490" i="6"/>
  <c r="AC490" i="6"/>
  <c r="AD490" i="6"/>
  <c r="AB491" i="6"/>
  <c r="AC491" i="6"/>
  <c r="AD491" i="6"/>
  <c r="AB492" i="6"/>
  <c r="AC492" i="6"/>
  <c r="AD492" i="6"/>
  <c r="AB493" i="6"/>
  <c r="AC493" i="6"/>
  <c r="AD493" i="6"/>
  <c r="AB494" i="6"/>
  <c r="AC494" i="6"/>
  <c r="AD494" i="6"/>
  <c r="AB495" i="6"/>
  <c r="AC495" i="6"/>
  <c r="AD495" i="6"/>
  <c r="AB496" i="6"/>
  <c r="AC496" i="6"/>
  <c r="AD496" i="6"/>
  <c r="AB497" i="6"/>
  <c r="AC497" i="6"/>
  <c r="AD497" i="6"/>
  <c r="AB498" i="6"/>
  <c r="AC498" i="6"/>
  <c r="AD498" i="6"/>
  <c r="AB499" i="6"/>
  <c r="AC499" i="6"/>
  <c r="AD499" i="6"/>
  <c r="AB500" i="6"/>
  <c r="AC500" i="6"/>
  <c r="AD500" i="6"/>
  <c r="AB501" i="6"/>
  <c r="AC501" i="6"/>
  <c r="AD501" i="6"/>
  <c r="AB502" i="6"/>
  <c r="AC502" i="6"/>
  <c r="AD502" i="6"/>
  <c r="AB3" i="6"/>
  <c r="AC3" i="6"/>
  <c r="AD3" i="6"/>
  <c r="AB4" i="6"/>
  <c r="AC4" i="6"/>
  <c r="AD4" i="6"/>
  <c r="AB5" i="6"/>
  <c r="AC5" i="6"/>
  <c r="AD5" i="6"/>
  <c r="AB6" i="6"/>
  <c r="AC6" i="6"/>
  <c r="AD6" i="6"/>
  <c r="AB7" i="6"/>
  <c r="AC7" i="6"/>
  <c r="AD7" i="6"/>
  <c r="AB8" i="6"/>
  <c r="AC8" i="6"/>
  <c r="AD8" i="6"/>
  <c r="AB9" i="6"/>
  <c r="AC9" i="6"/>
  <c r="AD9" i="6"/>
  <c r="AB10" i="6"/>
  <c r="AC10" i="6"/>
  <c r="AD10" i="6"/>
  <c r="AB11" i="6"/>
  <c r="AC11" i="6"/>
  <c r="AD11" i="6"/>
  <c r="AB12" i="6"/>
  <c r="AC12" i="6"/>
  <c r="AD12" i="6"/>
  <c r="AB13" i="6"/>
  <c r="AC13" i="6"/>
  <c r="AD13" i="6"/>
  <c r="AB14" i="6"/>
  <c r="AC14" i="6"/>
  <c r="AD14" i="6"/>
  <c r="AB15" i="6"/>
  <c r="AC15" i="6"/>
  <c r="AD15" i="6"/>
  <c r="AB16" i="6"/>
  <c r="AC16" i="6"/>
  <c r="AD16" i="6"/>
  <c r="AB17" i="6"/>
  <c r="AC17" i="6"/>
  <c r="AD17" i="6"/>
  <c r="AB18" i="6"/>
  <c r="AC18" i="6"/>
  <c r="AD18" i="6"/>
  <c r="AB19" i="6"/>
  <c r="AC19" i="6"/>
  <c r="AD19" i="6"/>
  <c r="AB20" i="6"/>
  <c r="AC20" i="6"/>
  <c r="AD20" i="6"/>
  <c r="AB21" i="6"/>
  <c r="AC21" i="6"/>
  <c r="AD21" i="6"/>
  <c r="AB22" i="6"/>
  <c r="AC22" i="6"/>
  <c r="AD22" i="6"/>
  <c r="AB23" i="6"/>
  <c r="AC23" i="6"/>
  <c r="AD23" i="6"/>
  <c r="AB24" i="6"/>
  <c r="AC24" i="6"/>
  <c r="AD24" i="6"/>
  <c r="AB25" i="6"/>
  <c r="AC25" i="6"/>
  <c r="AD25" i="6"/>
  <c r="AB26" i="6"/>
  <c r="AC26" i="6"/>
  <c r="AD26" i="6"/>
  <c r="AB27" i="6"/>
  <c r="AC27" i="6"/>
  <c r="AD27" i="6"/>
  <c r="AB28" i="6"/>
  <c r="AC28" i="6"/>
  <c r="AD28" i="6"/>
  <c r="AB29" i="6"/>
  <c r="AC29" i="6"/>
  <c r="AD29" i="6"/>
  <c r="AB30" i="6"/>
  <c r="AC30" i="6"/>
  <c r="AD30" i="6"/>
  <c r="AB31" i="6"/>
  <c r="AC31" i="6"/>
  <c r="AD31" i="6"/>
  <c r="AB32" i="6"/>
  <c r="AC32" i="6"/>
  <c r="AD32" i="6"/>
  <c r="AB33" i="6"/>
  <c r="AC33" i="6"/>
  <c r="AD33" i="6"/>
  <c r="AB34" i="6"/>
  <c r="AC34" i="6"/>
  <c r="AD34" i="6"/>
  <c r="AB35" i="6"/>
  <c r="AC35" i="6"/>
  <c r="AD35" i="6"/>
  <c r="AB36" i="6"/>
  <c r="AC36" i="6"/>
  <c r="AD36" i="6"/>
  <c r="AB37" i="6"/>
  <c r="AC37" i="6"/>
  <c r="AD37" i="6"/>
  <c r="AB38" i="6"/>
  <c r="AC38" i="6"/>
  <c r="AD38" i="6"/>
  <c r="AB39" i="6"/>
  <c r="AC39" i="6"/>
  <c r="AD39" i="6"/>
  <c r="AB40" i="6"/>
  <c r="AC40" i="6"/>
  <c r="AD40" i="6"/>
  <c r="AB41" i="6"/>
  <c r="AC41" i="6"/>
  <c r="AD41" i="6"/>
  <c r="AB42" i="6"/>
  <c r="AC42" i="6"/>
  <c r="AD42" i="6"/>
  <c r="AB43" i="6"/>
  <c r="AC43" i="6"/>
  <c r="AD43" i="6"/>
  <c r="AB44" i="6"/>
  <c r="AC44" i="6"/>
  <c r="AD44" i="6"/>
  <c r="AB45" i="6"/>
  <c r="AC45" i="6"/>
  <c r="AD45" i="6"/>
  <c r="AB46" i="6"/>
  <c r="AC46" i="6"/>
  <c r="AD46" i="6"/>
  <c r="AB47" i="6"/>
  <c r="AC47" i="6"/>
  <c r="AD47" i="6"/>
  <c r="AB48" i="6"/>
  <c r="AC48" i="6"/>
  <c r="AD48" i="6"/>
  <c r="AB49" i="6"/>
  <c r="AC49" i="6"/>
  <c r="AD49" i="6"/>
  <c r="AB50" i="6"/>
  <c r="AC50" i="6"/>
  <c r="AD50" i="6"/>
  <c r="AB51" i="6"/>
  <c r="AC51" i="6"/>
  <c r="AD51" i="6"/>
  <c r="AB52" i="6"/>
  <c r="AC52" i="6"/>
  <c r="AD52" i="6"/>
  <c r="AB53" i="6"/>
  <c r="AC53" i="6"/>
  <c r="AD53" i="6"/>
  <c r="AB54" i="6"/>
  <c r="AC54" i="6"/>
  <c r="AD54" i="6"/>
  <c r="AB55" i="6"/>
  <c r="AC55" i="6"/>
  <c r="AD55" i="6"/>
  <c r="AB56" i="6"/>
  <c r="AC56" i="6"/>
  <c r="AD56" i="6"/>
  <c r="AB57" i="6"/>
  <c r="AC57" i="6"/>
  <c r="AD57" i="6"/>
  <c r="AB58" i="6"/>
  <c r="AC58" i="6"/>
  <c r="AD58" i="6"/>
  <c r="AB59" i="6"/>
  <c r="AC59" i="6"/>
  <c r="AD59" i="6"/>
  <c r="AB60" i="6"/>
  <c r="AC60" i="6"/>
  <c r="AD60" i="6"/>
  <c r="AB61" i="6"/>
  <c r="AC61" i="6"/>
  <c r="AD61" i="6"/>
  <c r="AB62" i="6"/>
  <c r="AC62" i="6"/>
  <c r="AD62" i="6"/>
  <c r="AB63" i="6"/>
  <c r="AC63" i="6"/>
  <c r="AD63" i="6"/>
  <c r="AB64" i="6"/>
  <c r="AC64" i="6"/>
  <c r="AD64" i="6"/>
  <c r="AB65" i="6"/>
  <c r="AC65" i="6"/>
  <c r="AD65" i="6"/>
  <c r="AB66" i="6"/>
  <c r="AC66" i="6"/>
  <c r="AD66" i="6"/>
  <c r="AB67" i="6"/>
  <c r="AC67" i="6"/>
  <c r="AD67" i="6"/>
  <c r="AB68" i="6"/>
  <c r="AC68" i="6"/>
  <c r="AD68" i="6"/>
  <c r="AB69" i="6"/>
  <c r="AC69" i="6"/>
  <c r="AD69" i="6"/>
  <c r="AB70" i="6"/>
  <c r="AC70" i="6"/>
  <c r="AD70" i="6"/>
  <c r="AB71" i="6"/>
  <c r="AC71" i="6"/>
  <c r="AD71" i="6"/>
  <c r="AB72" i="6"/>
  <c r="AC72" i="6"/>
  <c r="AD72" i="6"/>
  <c r="AB73" i="6"/>
  <c r="AC73" i="6"/>
  <c r="AD73" i="6"/>
  <c r="AB74" i="6"/>
  <c r="AC74" i="6"/>
  <c r="AD74" i="6"/>
  <c r="AB75" i="6"/>
  <c r="AC75" i="6"/>
  <c r="AD75" i="6"/>
  <c r="AB76" i="6"/>
  <c r="AC76" i="6"/>
  <c r="AD76" i="6"/>
  <c r="AB77" i="6"/>
  <c r="AC77" i="6"/>
  <c r="AD77" i="6"/>
  <c r="AB78" i="6"/>
  <c r="AC78" i="6"/>
  <c r="AD78" i="6"/>
  <c r="AB79" i="6"/>
  <c r="AC79" i="6"/>
  <c r="AD79" i="6"/>
  <c r="AB80" i="6"/>
  <c r="AC80" i="6"/>
  <c r="AD80" i="6"/>
  <c r="AB81" i="6"/>
  <c r="AC81" i="6"/>
  <c r="AD81" i="6"/>
  <c r="AB82" i="6"/>
  <c r="AC82" i="6"/>
  <c r="AD82" i="6"/>
  <c r="AB83" i="6"/>
  <c r="AC83" i="6"/>
  <c r="AD83" i="6"/>
  <c r="AB84" i="6"/>
  <c r="AC84" i="6"/>
  <c r="AD84" i="6"/>
  <c r="AB85" i="6"/>
  <c r="AC85" i="6"/>
  <c r="AD85" i="6"/>
  <c r="AB86" i="6"/>
  <c r="AC86" i="6"/>
  <c r="AD86" i="6"/>
  <c r="AB87" i="6"/>
  <c r="AC87" i="6"/>
  <c r="AD87" i="6"/>
  <c r="AB88" i="6"/>
  <c r="AC88" i="6"/>
  <c r="AD88" i="6"/>
  <c r="AB89" i="6"/>
  <c r="AC89" i="6"/>
  <c r="AD89" i="6"/>
  <c r="AB90" i="6"/>
  <c r="AC90" i="6"/>
  <c r="AD90" i="6"/>
  <c r="AB91" i="6"/>
  <c r="AC91" i="6"/>
  <c r="AD91" i="6"/>
  <c r="AB92" i="6"/>
  <c r="AC92" i="6"/>
  <c r="AD92" i="6"/>
  <c r="AB93" i="6"/>
  <c r="AC93" i="6"/>
  <c r="AD93" i="6"/>
  <c r="AB94" i="6"/>
  <c r="AC94" i="6"/>
  <c r="AD94" i="6"/>
  <c r="AB95" i="6"/>
  <c r="AC95" i="6"/>
  <c r="AD95" i="6"/>
  <c r="AB96" i="6"/>
  <c r="AC96" i="6"/>
  <c r="AD96" i="6"/>
  <c r="AB97" i="6"/>
  <c r="AC97" i="6"/>
  <c r="AD97" i="6"/>
  <c r="AB98" i="6"/>
  <c r="AC98" i="6"/>
  <c r="AD98" i="6"/>
  <c r="AB99" i="6"/>
  <c r="AC99" i="6"/>
  <c r="AD99" i="6"/>
  <c r="AB100" i="6"/>
  <c r="AC100" i="6"/>
  <c r="AD100" i="6"/>
  <c r="AB101" i="6"/>
  <c r="AC101" i="6"/>
  <c r="AD101" i="6"/>
  <c r="AB102" i="6"/>
  <c r="AC102" i="6"/>
  <c r="AD102" i="6"/>
  <c r="AB103" i="6"/>
  <c r="AC103" i="6"/>
  <c r="AD103" i="6"/>
  <c r="AB104" i="6"/>
  <c r="AC104" i="6"/>
  <c r="AD104" i="6"/>
  <c r="AB105" i="6"/>
  <c r="AC105" i="6"/>
  <c r="AD105" i="6"/>
  <c r="AB106" i="6"/>
  <c r="AC106" i="6"/>
  <c r="AD106" i="6"/>
  <c r="AB107" i="6"/>
  <c r="AC107" i="6"/>
  <c r="AD107" i="6"/>
  <c r="AB108" i="6"/>
  <c r="AC108" i="6"/>
  <c r="AD108" i="6"/>
  <c r="AB109" i="6"/>
  <c r="AC109" i="6"/>
  <c r="AD109" i="6"/>
  <c r="AB110" i="6"/>
  <c r="AC110" i="6"/>
  <c r="AD110" i="6"/>
  <c r="AB111" i="6"/>
  <c r="AC111" i="6"/>
  <c r="AD111" i="6"/>
  <c r="AB112" i="6"/>
  <c r="AC112" i="6"/>
  <c r="AD112" i="6"/>
  <c r="AB113" i="6"/>
  <c r="AC113" i="6"/>
  <c r="AD113" i="6"/>
  <c r="AB114" i="6"/>
  <c r="AC114" i="6"/>
  <c r="AD114" i="6"/>
  <c r="AB115" i="6"/>
  <c r="AC115" i="6"/>
  <c r="AD115" i="6"/>
  <c r="AB116" i="6"/>
  <c r="AC116" i="6"/>
  <c r="AD116" i="6"/>
  <c r="AB117" i="6"/>
  <c r="AC117" i="6"/>
  <c r="AD117" i="6"/>
  <c r="AB118" i="6"/>
  <c r="AC118" i="6"/>
  <c r="AD118" i="6"/>
  <c r="AB119" i="6"/>
  <c r="AC119" i="6"/>
  <c r="AD119" i="6"/>
  <c r="AB120" i="6"/>
  <c r="AC120" i="6"/>
  <c r="AD120" i="6"/>
  <c r="AB121" i="6"/>
  <c r="AC121" i="6"/>
  <c r="AD121" i="6"/>
  <c r="AB122" i="6"/>
  <c r="AC122" i="6"/>
  <c r="AD122" i="6"/>
  <c r="AB123" i="6"/>
  <c r="AC123" i="6"/>
  <c r="AD123" i="6"/>
  <c r="AB124" i="6"/>
  <c r="AC124" i="6"/>
  <c r="AD124" i="6"/>
  <c r="AB125" i="6"/>
  <c r="AC125" i="6"/>
  <c r="AD125" i="6"/>
  <c r="AB126" i="6"/>
  <c r="AC126" i="6"/>
  <c r="AD126" i="6"/>
  <c r="AB127" i="6"/>
  <c r="AC127" i="6"/>
  <c r="AD127" i="6"/>
  <c r="AB128" i="6"/>
  <c r="AC128" i="6"/>
  <c r="AD128" i="6"/>
  <c r="AB129" i="6"/>
  <c r="AC129" i="6"/>
  <c r="AD129" i="6"/>
  <c r="AB130" i="6"/>
  <c r="AC130" i="6"/>
  <c r="AD130" i="6"/>
  <c r="AB131" i="6"/>
  <c r="AC131" i="6"/>
  <c r="AD131" i="6"/>
  <c r="AB132" i="6"/>
  <c r="AC132" i="6"/>
  <c r="AD132" i="6"/>
  <c r="AB133" i="6"/>
  <c r="AC133" i="6"/>
  <c r="AD133" i="6"/>
  <c r="AB134" i="6"/>
  <c r="AC134" i="6"/>
  <c r="AD134" i="6"/>
  <c r="AB135" i="6"/>
  <c r="AC135" i="6"/>
  <c r="AD135" i="6"/>
  <c r="AB136" i="6"/>
  <c r="AC136" i="6"/>
  <c r="AD136" i="6"/>
  <c r="AB137" i="6"/>
  <c r="AC137" i="6"/>
  <c r="AD137" i="6"/>
  <c r="AB138" i="6"/>
  <c r="AC138" i="6"/>
  <c r="AD138" i="6"/>
  <c r="AB139" i="6"/>
  <c r="AC139" i="6"/>
  <c r="AD139" i="6"/>
  <c r="AB140" i="6"/>
  <c r="AC140" i="6"/>
  <c r="AD140" i="6"/>
  <c r="AB141" i="6"/>
  <c r="AC141" i="6"/>
  <c r="AD141" i="6"/>
  <c r="AB142" i="6"/>
  <c r="AC142" i="6"/>
  <c r="AD142" i="6"/>
  <c r="AB143" i="6"/>
  <c r="AC143" i="6"/>
  <c r="AD143" i="6"/>
  <c r="AB144" i="6"/>
  <c r="AC144" i="6"/>
  <c r="AD144" i="6"/>
  <c r="AB145" i="6"/>
  <c r="AC145" i="6"/>
  <c r="AD145" i="6"/>
  <c r="AB146" i="6"/>
  <c r="AC146" i="6"/>
  <c r="AD146" i="6"/>
  <c r="AB147" i="6"/>
  <c r="AC147" i="6"/>
  <c r="AD147" i="6"/>
  <c r="AB148" i="6"/>
  <c r="AC148" i="6"/>
  <c r="AD148" i="6"/>
  <c r="AB149" i="6"/>
  <c r="AC149" i="6"/>
  <c r="AD149" i="6"/>
  <c r="AB150" i="6"/>
  <c r="AC150" i="6"/>
  <c r="AD150" i="6"/>
  <c r="AB151" i="6"/>
  <c r="AC151" i="6"/>
  <c r="AD151" i="6"/>
  <c r="AB152" i="6"/>
  <c r="AC152" i="6"/>
  <c r="AD152" i="6"/>
  <c r="AB153" i="6"/>
  <c r="AC153" i="6"/>
  <c r="AD153" i="6"/>
  <c r="AB154" i="6"/>
  <c r="AC154" i="6"/>
  <c r="AD154" i="6"/>
  <c r="AB155" i="6"/>
  <c r="AC155" i="6"/>
  <c r="AD155" i="6"/>
  <c r="AB156" i="6"/>
  <c r="AC156" i="6"/>
  <c r="AD156" i="6"/>
  <c r="AB157" i="6"/>
  <c r="AC157" i="6"/>
  <c r="AD157" i="6"/>
  <c r="AB158" i="6"/>
  <c r="AC158" i="6"/>
  <c r="AD158" i="6"/>
  <c r="AB159" i="6"/>
  <c r="AC159" i="6"/>
  <c r="AD159" i="6"/>
  <c r="AB160" i="6"/>
  <c r="AC160" i="6"/>
  <c r="AD160" i="6"/>
  <c r="AB161" i="6"/>
  <c r="AC161" i="6"/>
  <c r="AD161" i="6"/>
  <c r="AB162" i="6"/>
  <c r="AC162" i="6"/>
  <c r="AD162" i="6"/>
  <c r="AB163" i="6"/>
  <c r="AC163" i="6"/>
  <c r="AD163" i="6"/>
  <c r="AB164" i="6"/>
  <c r="AC164" i="6"/>
  <c r="AD164" i="6"/>
  <c r="AB165" i="6"/>
  <c r="AC165" i="6"/>
  <c r="AD165" i="6"/>
  <c r="AB166" i="6"/>
  <c r="AC166" i="6"/>
  <c r="AD166" i="6"/>
  <c r="AB167" i="6"/>
  <c r="AC167" i="6"/>
  <c r="AD167" i="6"/>
  <c r="AB168" i="6"/>
  <c r="AC168" i="6"/>
  <c r="AD168" i="6"/>
  <c r="AB169" i="6"/>
  <c r="AC169" i="6"/>
  <c r="AD169" i="6"/>
  <c r="AB170" i="6"/>
  <c r="AC170" i="6"/>
  <c r="AD170" i="6"/>
  <c r="AB171" i="6"/>
  <c r="AC171" i="6"/>
  <c r="AD171" i="6"/>
  <c r="AB172" i="6"/>
  <c r="AC172" i="6"/>
  <c r="AD172" i="6"/>
  <c r="AB173" i="6"/>
  <c r="AC173" i="6"/>
  <c r="AD173" i="6"/>
  <c r="AB174" i="6"/>
  <c r="AC174" i="6"/>
  <c r="AD174" i="6"/>
  <c r="AB175" i="6"/>
  <c r="AC175" i="6"/>
  <c r="AD175" i="6"/>
  <c r="AB176" i="6"/>
  <c r="AC176" i="6"/>
  <c r="AD176" i="6"/>
  <c r="AB177" i="6"/>
  <c r="AC177" i="6"/>
  <c r="AD177" i="6"/>
  <c r="AB178" i="6"/>
  <c r="AC178" i="6"/>
  <c r="AD178" i="6"/>
  <c r="AB179" i="6"/>
  <c r="AC179" i="6"/>
  <c r="AD179" i="6"/>
  <c r="AB180" i="6"/>
  <c r="AC180" i="6"/>
  <c r="AD180" i="6"/>
  <c r="AB181" i="6"/>
  <c r="AC181" i="6"/>
  <c r="AD181" i="6"/>
  <c r="AB182" i="6"/>
  <c r="AC182" i="6"/>
  <c r="AD182" i="6"/>
  <c r="AB183" i="6"/>
  <c r="AC183" i="6"/>
  <c r="AD183" i="6"/>
  <c r="AB184" i="6"/>
  <c r="AC184" i="6"/>
  <c r="AD184" i="6"/>
  <c r="AB185" i="6"/>
  <c r="AC185" i="6"/>
  <c r="AD185" i="6"/>
  <c r="AB186" i="6"/>
  <c r="AC186" i="6"/>
  <c r="AD186" i="6"/>
  <c r="AB187" i="6"/>
  <c r="AC187" i="6"/>
  <c r="AD187" i="6"/>
  <c r="AB188" i="6"/>
  <c r="AC188" i="6"/>
  <c r="AD188" i="6"/>
  <c r="AB189" i="6"/>
  <c r="AC189" i="6"/>
  <c r="AD189" i="6"/>
  <c r="AB190" i="6"/>
  <c r="AC190" i="6"/>
  <c r="AD190" i="6"/>
  <c r="AB191" i="6"/>
  <c r="AC191" i="6"/>
  <c r="AD191" i="6"/>
  <c r="AB192" i="6"/>
  <c r="AC192" i="6"/>
  <c r="AD192" i="6"/>
  <c r="AB193" i="6"/>
  <c r="AC193" i="6"/>
  <c r="AD193" i="6"/>
  <c r="AB194" i="6"/>
  <c r="AC194" i="6"/>
  <c r="AD194" i="6"/>
  <c r="AB195" i="6"/>
  <c r="AC195" i="6"/>
  <c r="AD195" i="6"/>
  <c r="AB196" i="6"/>
  <c r="AC196" i="6"/>
  <c r="AD196" i="6"/>
  <c r="AB197" i="6"/>
  <c r="AC197" i="6"/>
  <c r="AD197" i="6"/>
  <c r="AB198" i="6"/>
  <c r="AC198" i="6"/>
  <c r="AD198" i="6"/>
  <c r="AB199" i="6"/>
  <c r="AC199" i="6"/>
  <c r="AD199" i="6"/>
  <c r="AB200" i="6"/>
  <c r="AC200" i="6"/>
  <c r="AD200" i="6"/>
  <c r="AB201" i="6"/>
  <c r="AC201" i="6"/>
  <c r="AD201" i="6"/>
  <c r="AB202" i="6"/>
  <c r="AC202" i="6"/>
  <c r="AD202" i="6"/>
  <c r="AB203" i="6"/>
  <c r="AC203" i="6"/>
  <c r="AD203" i="6"/>
  <c r="AB204" i="6"/>
  <c r="AC204" i="6"/>
  <c r="AD204" i="6"/>
  <c r="AB205" i="6"/>
  <c r="AC205" i="6"/>
  <c r="AD205" i="6"/>
  <c r="AB206" i="6"/>
  <c r="AC206" i="6"/>
  <c r="AD206" i="6"/>
  <c r="AB207" i="6"/>
  <c r="AC207" i="6"/>
  <c r="AD207" i="6"/>
  <c r="AB208" i="6"/>
  <c r="AC208" i="6"/>
  <c r="AD208" i="6"/>
  <c r="AB209" i="6"/>
  <c r="AC209" i="6"/>
  <c r="AD209" i="6"/>
  <c r="AB210" i="6"/>
  <c r="AC210" i="6"/>
  <c r="AD210" i="6"/>
  <c r="AB211" i="6"/>
  <c r="AC211" i="6"/>
  <c r="AD211" i="6"/>
  <c r="AB212" i="6"/>
  <c r="AC212" i="6"/>
  <c r="AD212" i="6"/>
  <c r="AB213" i="6"/>
  <c r="AC213" i="6"/>
  <c r="AD213" i="6"/>
  <c r="AB214" i="6"/>
  <c r="AC214" i="6"/>
  <c r="AD214" i="6"/>
  <c r="AB215" i="6"/>
  <c r="AC215" i="6"/>
  <c r="AD215" i="6"/>
  <c r="AB216" i="6"/>
  <c r="AC216" i="6"/>
  <c r="AD216" i="6"/>
  <c r="AB217" i="6"/>
  <c r="AC217" i="6"/>
  <c r="AD217" i="6"/>
  <c r="AB218" i="6"/>
  <c r="AC218" i="6"/>
  <c r="AD218" i="6"/>
  <c r="AB219" i="6"/>
  <c r="AC219" i="6"/>
  <c r="AD219" i="6"/>
  <c r="AB220" i="6"/>
  <c r="AC220" i="6"/>
  <c r="AD220" i="6"/>
  <c r="AB221" i="6"/>
  <c r="AC221" i="6"/>
  <c r="AD221" i="6"/>
  <c r="AB222" i="6"/>
  <c r="AC222" i="6"/>
  <c r="AD222" i="6"/>
  <c r="AB223" i="6"/>
  <c r="AC223" i="6"/>
  <c r="AD223" i="6"/>
  <c r="AB224" i="6"/>
  <c r="AC224" i="6"/>
  <c r="AD224" i="6"/>
  <c r="AB225" i="6"/>
  <c r="AC225" i="6"/>
  <c r="AD225" i="6"/>
  <c r="AB226" i="6"/>
  <c r="AC226" i="6"/>
  <c r="AD226" i="6"/>
  <c r="AB227" i="6"/>
  <c r="AC227" i="6"/>
  <c r="AD227" i="6"/>
  <c r="AB228" i="6"/>
  <c r="AC228" i="6"/>
  <c r="AD228" i="6"/>
  <c r="AB229" i="6"/>
  <c r="AC229" i="6"/>
  <c r="AD229" i="6"/>
  <c r="AB230" i="6"/>
  <c r="AC230" i="6"/>
  <c r="AD230" i="6"/>
  <c r="AB231" i="6"/>
  <c r="AC231" i="6"/>
  <c r="AD231" i="6"/>
  <c r="AB232" i="6"/>
  <c r="AC232" i="6"/>
  <c r="AD232" i="6"/>
  <c r="AB233" i="6"/>
  <c r="AC233" i="6"/>
  <c r="AD233" i="6"/>
  <c r="AB234" i="6"/>
  <c r="AC234" i="6"/>
  <c r="AD234" i="6"/>
  <c r="AB235" i="6"/>
  <c r="AC235" i="6"/>
  <c r="AD235" i="6"/>
  <c r="AB236" i="6"/>
  <c r="AC236" i="6"/>
  <c r="AD236" i="6"/>
  <c r="AB237" i="6"/>
  <c r="AC237" i="6"/>
  <c r="AD237" i="6"/>
  <c r="AB238" i="6"/>
  <c r="AC238" i="6"/>
  <c r="AD238" i="6"/>
  <c r="AB239" i="6"/>
  <c r="AC239" i="6"/>
  <c r="AD239" i="6"/>
  <c r="AB240" i="6"/>
  <c r="AC240" i="6"/>
  <c r="AD240" i="6"/>
  <c r="AB241" i="6"/>
  <c r="AC241" i="6"/>
  <c r="AD241" i="6"/>
  <c r="AB242" i="6"/>
  <c r="AC242" i="6"/>
  <c r="AD242" i="6"/>
  <c r="AB243" i="6"/>
  <c r="AC243" i="6"/>
  <c r="AD243" i="6"/>
  <c r="AB244" i="6"/>
  <c r="AC244" i="6"/>
  <c r="AD244" i="6"/>
  <c r="AB245" i="6"/>
  <c r="AC245" i="6"/>
  <c r="AD245" i="6"/>
  <c r="AB246" i="6"/>
  <c r="AC246" i="6"/>
  <c r="AD246" i="6"/>
  <c r="AB247" i="6"/>
  <c r="AC247" i="6"/>
  <c r="AD247" i="6"/>
  <c r="AB248" i="6"/>
  <c r="AC248" i="6"/>
  <c r="AD248" i="6"/>
  <c r="AB249" i="6"/>
  <c r="AC249" i="6"/>
  <c r="AD249" i="6"/>
  <c r="AB250" i="6"/>
  <c r="AC250" i="6"/>
  <c r="AD250" i="6"/>
  <c r="AB251" i="6"/>
  <c r="AC251" i="6"/>
  <c r="AD251" i="6"/>
  <c r="AB252" i="6"/>
  <c r="AC252" i="6"/>
  <c r="AD252" i="6"/>
  <c r="O56" i="7"/>
  <c r="P56" i="7"/>
  <c r="Q56" i="7"/>
  <c r="O55" i="7"/>
  <c r="P55" i="7"/>
  <c r="Q55" i="7"/>
  <c r="O25" i="7"/>
  <c r="P25" i="7"/>
  <c r="Q25" i="7"/>
  <c r="O26" i="7"/>
  <c r="P26" i="7"/>
  <c r="Q26" i="7"/>
  <c r="O27" i="7"/>
  <c r="P27" i="7"/>
  <c r="Q27" i="7"/>
  <c r="O28" i="7"/>
  <c r="P28" i="7"/>
  <c r="Q28" i="7"/>
  <c r="O29" i="7"/>
  <c r="P29" i="7"/>
  <c r="Q29" i="7"/>
  <c r="O30" i="7"/>
  <c r="P30" i="7"/>
  <c r="Q30" i="7"/>
  <c r="O31" i="7"/>
  <c r="P31" i="7"/>
  <c r="Q31" i="7"/>
  <c r="J21" i="7"/>
  <c r="J20" i="7"/>
  <c r="J19" i="7"/>
  <c r="I16" i="7"/>
  <c r="J16" i="7"/>
  <c r="K16" i="7"/>
  <c r="I15" i="7"/>
  <c r="J15" i="7"/>
  <c r="K15" i="7"/>
  <c r="C15" i="7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L10" i="7"/>
  <c r="L9" i="7"/>
  <c r="L8" i="7"/>
  <c r="L7" i="7"/>
  <c r="H10" i="7"/>
  <c r="H9" i="7"/>
  <c r="H8" i="7"/>
  <c r="H7" i="7"/>
  <c r="D10" i="7"/>
  <c r="D9" i="7"/>
  <c r="D8" i="7"/>
  <c r="D7" i="7"/>
  <c r="Y14" i="6"/>
  <c r="X14" i="6"/>
  <c r="W14" i="6"/>
  <c r="Y13" i="6"/>
  <c r="X13" i="6"/>
  <c r="W13" i="6"/>
  <c r="Y9" i="6"/>
  <c r="X9" i="6"/>
  <c r="W9" i="6"/>
  <c r="Y8" i="6"/>
  <c r="X8" i="6"/>
  <c r="W8" i="6"/>
  <c r="Y7" i="6"/>
  <c r="X7" i="6"/>
  <c r="W7" i="6"/>
  <c r="Y6" i="6"/>
  <c r="X6" i="6"/>
  <c r="W6" i="6"/>
  <c r="Y5" i="6"/>
  <c r="X5" i="6"/>
  <c r="W5" i="6"/>
  <c r="Y4" i="6"/>
  <c r="X4" i="6"/>
  <c r="W4" i="6"/>
  <c r="Y3" i="6"/>
  <c r="X3" i="6"/>
  <c r="W3" i="6"/>
  <c r="T29" i="6"/>
  <c r="T30" i="6"/>
  <c r="T34" i="6"/>
  <c r="T36" i="6"/>
  <c r="T37" i="6"/>
  <c r="T38" i="6"/>
  <c r="T16" i="6"/>
  <c r="T17" i="6"/>
  <c r="T24" i="6"/>
  <c r="T25" i="6"/>
  <c r="T3" i="6"/>
  <c r="T4" i="6"/>
  <c r="T11" i="6"/>
  <c r="T1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P3" i="6"/>
  <c r="P4" i="6"/>
  <c r="P5" i="6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 s="1"/>
  <c r="D594" i="6" s="1"/>
  <c r="D595" i="6" s="1"/>
  <c r="D596" i="6" s="1"/>
  <c r="D597" i="6" s="1"/>
  <c r="D598" i="6" s="1"/>
  <c r="D599" i="6" s="1"/>
  <c r="D600" i="6" s="1"/>
  <c r="D601" i="6" s="1"/>
  <c r="D602" i="6" s="1"/>
  <c r="D603" i="6" s="1"/>
  <c r="D604" i="6" s="1"/>
  <c r="D605" i="6" s="1"/>
  <c r="D606" i="6" s="1"/>
  <c r="D607" i="6" s="1"/>
  <c r="D608" i="6" s="1"/>
  <c r="D609" i="6" s="1"/>
  <c r="D610" i="6" s="1"/>
  <c r="D611" i="6" s="1"/>
  <c r="D612" i="6" s="1"/>
  <c r="D613" i="6" s="1"/>
  <c r="D614" i="6" s="1"/>
  <c r="D615" i="6" s="1"/>
  <c r="D616" i="6" s="1"/>
  <c r="D617" i="6" s="1"/>
  <c r="D618" i="6" s="1"/>
  <c r="D619" i="6" s="1"/>
  <c r="D620" i="6" s="1"/>
  <c r="D621" i="6" s="1"/>
  <c r="D622" i="6" s="1"/>
  <c r="D623" i="6" s="1"/>
  <c r="D624" i="6" s="1"/>
  <c r="D625" i="6" s="1"/>
  <c r="D626" i="6" s="1"/>
  <c r="D627" i="6" s="1"/>
  <c r="D628" i="6" s="1"/>
  <c r="D629" i="6" s="1"/>
  <c r="D630" i="6" s="1"/>
  <c r="D631" i="6" s="1"/>
  <c r="D632" i="6" s="1"/>
  <c r="D633" i="6" s="1"/>
  <c r="D634" i="6" s="1"/>
  <c r="D635" i="6" s="1"/>
  <c r="D636" i="6" s="1"/>
  <c r="D637" i="6" s="1"/>
  <c r="D638" i="6" s="1"/>
  <c r="D639" i="6" s="1"/>
  <c r="D640" i="6" s="1"/>
  <c r="D641" i="6" s="1"/>
  <c r="D642" i="6" s="1"/>
  <c r="D643" i="6" s="1"/>
  <c r="D644" i="6" s="1"/>
  <c r="D645" i="6" s="1"/>
  <c r="D646" i="6" s="1"/>
  <c r="D647" i="6" s="1"/>
  <c r="D648" i="6" s="1"/>
  <c r="D649" i="6" s="1"/>
  <c r="D650" i="6" s="1"/>
  <c r="D651" i="6" s="1"/>
  <c r="D652" i="6" s="1"/>
  <c r="D653" i="6" s="1"/>
  <c r="D654" i="6" s="1"/>
  <c r="D655" i="6" s="1"/>
  <c r="D656" i="6" s="1"/>
  <c r="D657" i="6" s="1"/>
  <c r="D658" i="6" s="1"/>
  <c r="D659" i="6" s="1"/>
  <c r="D660" i="6" s="1"/>
  <c r="D661" i="6" s="1"/>
  <c r="D662" i="6" s="1"/>
  <c r="D663" i="6" s="1"/>
  <c r="D664" i="6" s="1"/>
  <c r="D665" i="6" s="1"/>
  <c r="D666" i="6" s="1"/>
  <c r="D667" i="6" s="1"/>
  <c r="D668" i="6" s="1"/>
  <c r="D669" i="6" s="1"/>
  <c r="D670" i="6" s="1"/>
  <c r="D671" i="6" s="1"/>
  <c r="D672" i="6" s="1"/>
  <c r="D673" i="6" s="1"/>
  <c r="D674" i="6" s="1"/>
  <c r="D675" i="6" s="1"/>
  <c r="D676" i="6" s="1"/>
  <c r="D677" i="6" s="1"/>
  <c r="D678" i="6" s="1"/>
  <c r="D679" i="6" s="1"/>
  <c r="D680" i="6" s="1"/>
  <c r="D681" i="6" s="1"/>
  <c r="D682" i="6" s="1"/>
  <c r="D683" i="6" s="1"/>
  <c r="D684" i="6" s="1"/>
  <c r="D685" i="6" s="1"/>
  <c r="D686" i="6" s="1"/>
  <c r="D687" i="6" s="1"/>
  <c r="D688" i="6" s="1"/>
  <c r="D689" i="6" s="1"/>
  <c r="D690" i="6" s="1"/>
  <c r="D691" i="6" s="1"/>
  <c r="D692" i="6" s="1"/>
  <c r="D693" i="6" s="1"/>
  <c r="D694" i="6" s="1"/>
  <c r="D695" i="6" s="1"/>
  <c r="D696" i="6" s="1"/>
  <c r="D697" i="6" s="1"/>
  <c r="D698" i="6" s="1"/>
  <c r="D699" i="6" s="1"/>
  <c r="D700" i="6" s="1"/>
  <c r="D701" i="6" s="1"/>
  <c r="D702" i="6" s="1"/>
  <c r="D703" i="6" s="1"/>
  <c r="D704" i="6" s="1"/>
  <c r="D705" i="6" s="1"/>
  <c r="D706" i="6" s="1"/>
  <c r="D707" i="6" s="1"/>
  <c r="D708" i="6" s="1"/>
  <c r="D709" i="6" s="1"/>
  <c r="D710" i="6" s="1"/>
  <c r="D711" i="6" s="1"/>
  <c r="D712" i="6" s="1"/>
  <c r="D713" i="6" s="1"/>
  <c r="D714" i="6" s="1"/>
  <c r="D715" i="6" s="1"/>
  <c r="D716" i="6" s="1"/>
  <c r="D717" i="6" s="1"/>
  <c r="D718" i="6" s="1"/>
  <c r="D719" i="6" s="1"/>
  <c r="D720" i="6" s="1"/>
  <c r="D721" i="6" s="1"/>
  <c r="D722" i="6" s="1"/>
  <c r="D723" i="6" s="1"/>
  <c r="D724" i="6" s="1"/>
  <c r="D725" i="6" s="1"/>
  <c r="D726" i="6" s="1"/>
  <c r="D727" i="6" s="1"/>
  <c r="D728" i="6" s="1"/>
  <c r="D729" i="6" s="1"/>
  <c r="D730" i="6" s="1"/>
  <c r="D731" i="6" s="1"/>
  <c r="D732" i="6" s="1"/>
  <c r="D733" i="6" s="1"/>
  <c r="D734" i="6" s="1"/>
  <c r="D735" i="6" s="1"/>
  <c r="D736" i="6" s="1"/>
  <c r="D737" i="6" s="1"/>
  <c r="D738" i="6" s="1"/>
  <c r="D739" i="6" s="1"/>
  <c r="D740" i="6" s="1"/>
  <c r="D741" i="6" s="1"/>
  <c r="D742" i="6" s="1"/>
  <c r="D743" i="6" s="1"/>
  <c r="D744" i="6" s="1"/>
  <c r="D745" i="6" s="1"/>
  <c r="D746" i="6" s="1"/>
  <c r="D747" i="6" s="1"/>
  <c r="D748" i="6" s="1"/>
  <c r="D749" i="6" s="1"/>
  <c r="D750" i="6" s="1"/>
  <c r="D751" i="6" s="1"/>
  <c r="D752" i="6" s="1"/>
  <c r="D753" i="6" s="1"/>
  <c r="D754" i="6" s="1"/>
  <c r="D755" i="6" s="1"/>
  <c r="D756" i="6" s="1"/>
  <c r="D757" i="6" s="1"/>
  <c r="D758" i="6" s="1"/>
  <c r="D759" i="6" s="1"/>
  <c r="D760" i="6" s="1"/>
  <c r="D761" i="6" s="1"/>
  <c r="D762" i="6" s="1"/>
  <c r="D763" i="6" s="1"/>
  <c r="D764" i="6" s="1"/>
  <c r="D765" i="6" s="1"/>
  <c r="D766" i="6" s="1"/>
  <c r="D767" i="6" s="1"/>
  <c r="D768" i="6" s="1"/>
  <c r="D769" i="6" s="1"/>
  <c r="D770" i="6" s="1"/>
  <c r="D771" i="6" s="1"/>
  <c r="D772" i="6" s="1"/>
  <c r="D773" i="6" s="1"/>
  <c r="D774" i="6" s="1"/>
  <c r="D775" i="6" s="1"/>
  <c r="D776" i="6" s="1"/>
  <c r="D777" i="6" s="1"/>
  <c r="D778" i="6" s="1"/>
  <c r="D779" i="6" s="1"/>
  <c r="D780" i="6" s="1"/>
  <c r="D781" i="6" s="1"/>
  <c r="D782" i="6" s="1"/>
  <c r="D783" i="6" s="1"/>
  <c r="D784" i="6" s="1"/>
  <c r="D785" i="6" s="1"/>
  <c r="D786" i="6" s="1"/>
  <c r="D787" i="6" s="1"/>
  <c r="D788" i="6" s="1"/>
  <c r="D789" i="6" s="1"/>
  <c r="D790" i="6" s="1"/>
  <c r="D791" i="6" s="1"/>
  <c r="D792" i="6" s="1"/>
  <c r="D793" i="6" s="1"/>
  <c r="D794" i="6" s="1"/>
  <c r="D795" i="6" s="1"/>
  <c r="D796" i="6" s="1"/>
  <c r="D797" i="6" s="1"/>
  <c r="D798" i="6" s="1"/>
  <c r="D799" i="6" s="1"/>
  <c r="D800" i="6" s="1"/>
  <c r="D801" i="6" s="1"/>
  <c r="D802" i="6" s="1"/>
  <c r="D803" i="6" s="1"/>
  <c r="D804" i="6" s="1"/>
  <c r="D805" i="6" s="1"/>
  <c r="D806" i="6" s="1"/>
  <c r="D807" i="6" s="1"/>
  <c r="D808" i="6" s="1"/>
  <c r="D809" i="6" s="1"/>
  <c r="D810" i="6" s="1"/>
  <c r="D811" i="6" s="1"/>
  <c r="D812" i="6" s="1"/>
  <c r="D813" i="6" s="1"/>
  <c r="D814" i="6" s="1"/>
  <c r="D815" i="6" s="1"/>
  <c r="D816" i="6" s="1"/>
  <c r="D817" i="6" s="1"/>
  <c r="D818" i="6" s="1"/>
  <c r="D819" i="6" s="1"/>
  <c r="D820" i="6" s="1"/>
  <c r="D821" i="6" s="1"/>
  <c r="D822" i="6" s="1"/>
  <c r="D823" i="6" s="1"/>
  <c r="D824" i="6" s="1"/>
  <c r="D825" i="6" s="1"/>
  <c r="D826" i="6" s="1"/>
  <c r="D827" i="6" s="1"/>
  <c r="D828" i="6" s="1"/>
  <c r="D829" i="6" s="1"/>
  <c r="D830" i="6" s="1"/>
  <c r="D831" i="6" s="1"/>
  <c r="D832" i="6" s="1"/>
  <c r="D833" i="6" s="1"/>
  <c r="D834" i="6" s="1"/>
  <c r="D835" i="6" s="1"/>
  <c r="D836" i="6" s="1"/>
  <c r="D837" i="6" s="1"/>
  <c r="D838" i="6" s="1"/>
  <c r="D839" i="6" s="1"/>
  <c r="D840" i="6" s="1"/>
  <c r="D841" i="6" s="1"/>
  <c r="D842" i="6" s="1"/>
  <c r="D843" i="6" s="1"/>
  <c r="D844" i="6" s="1"/>
  <c r="D845" i="6" s="1"/>
  <c r="D846" i="6" s="1"/>
  <c r="D847" i="6" s="1"/>
  <c r="D848" i="6" s="1"/>
  <c r="D849" i="6" s="1"/>
  <c r="D850" i="6" s="1"/>
  <c r="D851" i="6" s="1"/>
  <c r="D852" i="6" s="1"/>
  <c r="D853" i="6" s="1"/>
  <c r="D854" i="6" s="1"/>
  <c r="D855" i="6" s="1"/>
  <c r="D856" i="6" s="1"/>
  <c r="D857" i="6" s="1"/>
  <c r="D858" i="6" s="1"/>
  <c r="D859" i="6" s="1"/>
  <c r="D860" i="6" s="1"/>
  <c r="D861" i="6" s="1"/>
  <c r="D862" i="6" s="1"/>
  <c r="D863" i="6" s="1"/>
  <c r="D864" i="6" s="1"/>
  <c r="D865" i="6" s="1"/>
  <c r="D866" i="6" s="1"/>
  <c r="D867" i="6" s="1"/>
  <c r="D868" i="6" s="1"/>
  <c r="D869" i="6" s="1"/>
  <c r="D870" i="6" s="1"/>
  <c r="D871" i="6" s="1"/>
  <c r="D872" i="6" s="1"/>
  <c r="D873" i="6" s="1"/>
  <c r="D874" i="6" s="1"/>
  <c r="D875" i="6" s="1"/>
  <c r="D876" i="6" s="1"/>
  <c r="D877" i="6" s="1"/>
  <c r="D878" i="6" s="1"/>
  <c r="D879" i="6" s="1"/>
  <c r="D880" i="6" s="1"/>
  <c r="D881" i="6" s="1"/>
  <c r="D882" i="6" s="1"/>
  <c r="D883" i="6" s="1"/>
  <c r="D884" i="6" s="1"/>
  <c r="D885" i="6" s="1"/>
  <c r="D886" i="6" s="1"/>
  <c r="D887" i="6" s="1"/>
  <c r="D888" i="6" s="1"/>
  <c r="D889" i="6" s="1"/>
  <c r="D890" i="6" s="1"/>
  <c r="D891" i="6" s="1"/>
  <c r="D892" i="6" s="1"/>
  <c r="D893" i="6" s="1"/>
  <c r="D894" i="6" s="1"/>
  <c r="D895" i="6" s="1"/>
  <c r="D896" i="6" s="1"/>
  <c r="D897" i="6" s="1"/>
  <c r="D898" i="6" s="1"/>
  <c r="D899" i="6" s="1"/>
  <c r="D900" i="6" s="1"/>
  <c r="D901" i="6" s="1"/>
  <c r="D902" i="6" s="1"/>
  <c r="D903" i="6" s="1"/>
  <c r="D904" i="6" s="1"/>
  <c r="D905" i="6" s="1"/>
  <c r="D906" i="6" s="1"/>
  <c r="D907" i="6" s="1"/>
  <c r="D908" i="6" s="1"/>
  <c r="D909" i="6" s="1"/>
  <c r="D910" i="6" s="1"/>
  <c r="D911" i="6" s="1"/>
  <c r="D912" i="6" s="1"/>
  <c r="D913" i="6" s="1"/>
  <c r="D914" i="6" s="1"/>
  <c r="D915" i="6" s="1"/>
  <c r="D916" i="6" s="1"/>
  <c r="D917" i="6" s="1"/>
  <c r="D918" i="6" s="1"/>
  <c r="D919" i="6" s="1"/>
  <c r="D920" i="6" s="1"/>
  <c r="D921" i="6" s="1"/>
  <c r="D922" i="6" s="1"/>
  <c r="D923" i="6" s="1"/>
  <c r="D924" i="6" s="1"/>
  <c r="D925" i="6" s="1"/>
  <c r="D926" i="6" s="1"/>
  <c r="D927" i="6" s="1"/>
  <c r="D928" i="6" s="1"/>
  <c r="D929" i="6" s="1"/>
  <c r="D930" i="6" s="1"/>
  <c r="D931" i="6" s="1"/>
  <c r="D932" i="6" s="1"/>
  <c r="D933" i="6" s="1"/>
  <c r="D934" i="6" s="1"/>
  <c r="D935" i="6" s="1"/>
  <c r="D936" i="6" s="1"/>
  <c r="D937" i="6" s="1"/>
  <c r="D938" i="6" s="1"/>
  <c r="D939" i="6" s="1"/>
  <c r="D940" i="6" s="1"/>
  <c r="D941" i="6" s="1"/>
  <c r="D942" i="6" s="1"/>
  <c r="D943" i="6" s="1"/>
  <c r="D944" i="6" s="1"/>
  <c r="D945" i="6" s="1"/>
  <c r="D946" i="6" s="1"/>
  <c r="D947" i="6" s="1"/>
  <c r="D948" i="6" s="1"/>
  <c r="D949" i="6" s="1"/>
  <c r="D950" i="6" s="1"/>
  <c r="D951" i="6" s="1"/>
  <c r="D952" i="6" s="1"/>
  <c r="D953" i="6" s="1"/>
  <c r="D954" i="6" s="1"/>
  <c r="D955" i="6" s="1"/>
  <c r="D956" i="6" s="1"/>
  <c r="D957" i="6" s="1"/>
  <c r="D958" i="6" s="1"/>
  <c r="D959" i="6" s="1"/>
  <c r="D960" i="6" s="1"/>
  <c r="D961" i="6" s="1"/>
  <c r="D962" i="6" s="1"/>
  <c r="D963" i="6" s="1"/>
  <c r="D964" i="6" s="1"/>
  <c r="D965" i="6" s="1"/>
  <c r="D966" i="6" s="1"/>
  <c r="D967" i="6" s="1"/>
  <c r="D968" i="6" s="1"/>
  <c r="D969" i="6" s="1"/>
  <c r="D970" i="6" s="1"/>
  <c r="D971" i="6" s="1"/>
  <c r="D972" i="6" s="1"/>
  <c r="D973" i="6" s="1"/>
  <c r="D974" i="6" s="1"/>
  <c r="D975" i="6" s="1"/>
  <c r="D976" i="6" s="1"/>
  <c r="D977" i="6" s="1"/>
  <c r="D978" i="6" s="1"/>
  <c r="D979" i="6" s="1"/>
  <c r="D980" i="6" s="1"/>
  <c r="D981" i="6" s="1"/>
  <c r="D982" i="6" s="1"/>
  <c r="D983" i="6" s="1"/>
  <c r="D984" i="6" s="1"/>
  <c r="D985" i="6" s="1"/>
  <c r="D986" i="6" s="1"/>
  <c r="D987" i="6" s="1"/>
  <c r="D988" i="6" s="1"/>
  <c r="D989" i="6" s="1"/>
  <c r="D990" i="6" s="1"/>
  <c r="D991" i="6" s="1"/>
  <c r="D992" i="6" s="1"/>
  <c r="D993" i="6" s="1"/>
  <c r="D994" i="6" s="1"/>
  <c r="D995" i="6" s="1"/>
  <c r="D996" i="6" s="1"/>
  <c r="D997" i="6" s="1"/>
  <c r="D998" i="6" s="1"/>
  <c r="D999" i="6" s="1"/>
  <c r="D1000" i="6" s="1"/>
  <c r="D1001" i="6" s="1"/>
  <c r="D1002" i="6" s="1"/>
  <c r="D1003" i="6" s="1"/>
  <c r="D1004" i="6" s="1"/>
  <c r="D1005" i="6" s="1"/>
  <c r="D1006" i="6" s="1"/>
  <c r="D1007" i="6" s="1"/>
  <c r="D1008" i="6" s="1"/>
  <c r="D1009" i="6" s="1"/>
  <c r="D1010" i="6" s="1"/>
  <c r="D1011" i="6" s="1"/>
  <c r="D1012" i="6" s="1"/>
  <c r="D1013" i="6" s="1"/>
  <c r="D1014" i="6" s="1"/>
  <c r="D1015" i="6" s="1"/>
  <c r="D1016" i="6" s="1"/>
  <c r="D1017" i="6" s="1"/>
  <c r="D1018" i="6" s="1"/>
  <c r="D1019" i="6" s="1"/>
  <c r="D1020" i="6" s="1"/>
  <c r="D1021" i="6" s="1"/>
  <c r="D1022" i="6" s="1"/>
  <c r="D1023" i="6" s="1"/>
  <c r="D1024" i="6" s="1"/>
  <c r="D1025" i="6" s="1"/>
  <c r="D1026" i="6" s="1"/>
  <c r="D1027" i="6" s="1"/>
  <c r="D1028" i="6" s="1"/>
  <c r="D1029" i="6" s="1"/>
  <c r="D1030" i="6" s="1"/>
  <c r="D1031" i="6" s="1"/>
  <c r="D1032" i="6" s="1"/>
  <c r="D1033" i="6" s="1"/>
  <c r="D1034" i="6" s="1"/>
  <c r="D1035" i="6" s="1"/>
  <c r="D1036" i="6" s="1"/>
  <c r="D1037" i="6" s="1"/>
  <c r="D1038" i="6" s="1"/>
  <c r="D1039" i="6" s="1"/>
  <c r="D1040" i="6" s="1"/>
  <c r="D1041" i="6" s="1"/>
  <c r="D1042" i="6" s="1"/>
  <c r="D1043" i="6" s="1"/>
  <c r="D1044" i="6" s="1"/>
  <c r="D1045" i="6" s="1"/>
  <c r="D1046" i="6" s="1"/>
  <c r="D1047" i="6" s="1"/>
  <c r="D1048" i="6" s="1"/>
  <c r="D1049" i="6" s="1"/>
  <c r="D1050" i="6" s="1"/>
  <c r="D1051" i="6" s="1"/>
  <c r="D1052" i="6" s="1"/>
  <c r="D1053" i="6" s="1"/>
  <c r="D1054" i="6" s="1"/>
  <c r="D1055" i="6" s="1"/>
  <c r="D1056" i="6" s="1"/>
  <c r="D1057" i="6" s="1"/>
  <c r="D1058" i="6" s="1"/>
  <c r="D1059" i="6" s="1"/>
  <c r="D1060" i="6" s="1"/>
  <c r="D1061" i="6" s="1"/>
  <c r="D1062" i="6" s="1"/>
  <c r="D1063" i="6" s="1"/>
  <c r="D1064" i="6" s="1"/>
  <c r="D1065" i="6" s="1"/>
  <c r="D1066" i="6" s="1"/>
  <c r="D1067" i="6" s="1"/>
  <c r="D1068" i="6" s="1"/>
  <c r="D1069" i="6" s="1"/>
  <c r="D1070" i="6" s="1"/>
  <c r="D1071" i="6" s="1"/>
  <c r="D1072" i="6" s="1"/>
  <c r="D1073" i="6" s="1"/>
  <c r="D1074" i="6" s="1"/>
  <c r="D1075" i="6" s="1"/>
  <c r="D1076" i="6" s="1"/>
  <c r="D1077" i="6" s="1"/>
  <c r="D1078" i="6" s="1"/>
  <c r="D1079" i="6" s="1"/>
  <c r="D1080" i="6" s="1"/>
  <c r="D1081" i="6" s="1"/>
  <c r="D1082" i="6" s="1"/>
  <c r="D1083" i="6" s="1"/>
  <c r="D1084" i="6" s="1"/>
  <c r="D1085" i="6" s="1"/>
  <c r="D1086" i="6" s="1"/>
  <c r="D1087" i="6" s="1"/>
  <c r="D1088" i="6" s="1"/>
  <c r="D1089" i="6" s="1"/>
  <c r="D1090" i="6" s="1"/>
  <c r="D1091" i="6" s="1"/>
  <c r="D1092" i="6" s="1"/>
  <c r="D1093" i="6" s="1"/>
  <c r="D1094" i="6" s="1"/>
  <c r="D1095" i="6" s="1"/>
  <c r="D1096" i="6" s="1"/>
  <c r="D1097" i="6" s="1"/>
  <c r="D1098" i="6" s="1"/>
  <c r="D1099" i="6" s="1"/>
  <c r="D1100" i="6" s="1"/>
  <c r="D1101" i="6" s="1"/>
  <c r="D1102" i="6" s="1"/>
  <c r="D1103" i="6" s="1"/>
  <c r="D1104" i="6" s="1"/>
  <c r="D1105" i="6" s="1"/>
  <c r="D1106" i="6" s="1"/>
  <c r="D1107" i="6" s="1"/>
  <c r="D1108" i="6" s="1"/>
  <c r="D1109" i="6" s="1"/>
  <c r="D1110" i="6" s="1"/>
  <c r="D1111" i="6" s="1"/>
  <c r="D1112" i="6" s="1"/>
  <c r="D1113" i="6" s="1"/>
  <c r="D1114" i="6" s="1"/>
  <c r="D1115" i="6" s="1"/>
  <c r="D1116" i="6" s="1"/>
  <c r="D1117" i="6" s="1"/>
  <c r="D1118" i="6" s="1"/>
  <c r="D1119" i="6" s="1"/>
  <c r="D1120" i="6" s="1"/>
  <c r="D1121" i="6" s="1"/>
  <c r="D1122" i="6" s="1"/>
  <c r="D1123" i="6" s="1"/>
  <c r="D1124" i="6" s="1"/>
  <c r="D1125" i="6" s="1"/>
  <c r="D1126" i="6" s="1"/>
  <c r="D1127" i="6" s="1"/>
  <c r="D1128" i="6" s="1"/>
  <c r="D1129" i="6" s="1"/>
  <c r="D1130" i="6" s="1"/>
  <c r="D1131" i="6" s="1"/>
  <c r="D1132" i="6" s="1"/>
  <c r="D1133" i="6" s="1"/>
  <c r="D1134" i="6" s="1"/>
  <c r="D1135" i="6" s="1"/>
  <c r="D1136" i="6" s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E3" i="6"/>
  <c r="D3" i="6"/>
  <c r="C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" i="6"/>
  <c r="O33" i="4"/>
  <c r="P33" i="4"/>
  <c r="Q33" i="4"/>
  <c r="O34" i="4"/>
  <c r="P34" i="4"/>
  <c r="Q34" i="4"/>
  <c r="O24" i="4"/>
  <c r="P24" i="4"/>
  <c r="Q24" i="4"/>
  <c r="O25" i="4"/>
  <c r="P25" i="4"/>
  <c r="Q25" i="4"/>
  <c r="O26" i="4"/>
  <c r="P26" i="4"/>
  <c r="Q26" i="4"/>
  <c r="O27" i="4"/>
  <c r="P27" i="4"/>
  <c r="Q27" i="4"/>
  <c r="O28" i="4"/>
  <c r="P28" i="4"/>
  <c r="Q28" i="4"/>
  <c r="O29" i="4"/>
  <c r="P29" i="4"/>
  <c r="Q29" i="4"/>
  <c r="O30" i="4"/>
  <c r="P30" i="4"/>
  <c r="Q30" i="4"/>
  <c r="J21" i="4"/>
  <c r="J20" i="4"/>
  <c r="J19" i="4"/>
  <c r="I15" i="4"/>
  <c r="J15" i="4"/>
  <c r="K15" i="4"/>
  <c r="I16" i="4"/>
  <c r="J16" i="4"/>
  <c r="K16" i="4"/>
  <c r="E15" i="4"/>
  <c r="E16" i="4"/>
  <c r="E17" i="4"/>
  <c r="E18" i="4"/>
  <c r="E19" i="4"/>
  <c r="E20" i="4"/>
  <c r="E21" i="4"/>
  <c r="D15" i="4"/>
  <c r="D16" i="4"/>
  <c r="D17" i="4"/>
  <c r="D18" i="4"/>
  <c r="D19" i="4"/>
  <c r="D20" i="4"/>
  <c r="D21" i="4"/>
  <c r="C15" i="4"/>
  <c r="C16" i="4"/>
  <c r="C17" i="4"/>
  <c r="C18" i="4"/>
  <c r="C19" i="4"/>
  <c r="C20" i="4"/>
  <c r="C21" i="4"/>
  <c r="L11" i="4"/>
  <c r="L10" i="4"/>
  <c r="L9" i="4"/>
  <c r="L8" i="4"/>
  <c r="L7" i="4"/>
  <c r="H11" i="4"/>
  <c r="H10" i="4"/>
  <c r="H9" i="4"/>
  <c r="H8" i="4"/>
  <c r="H7" i="4"/>
  <c r="D11" i="4"/>
  <c r="D10" i="4"/>
  <c r="D9" i="4"/>
  <c r="D8" i="4"/>
  <c r="D7" i="4"/>
  <c r="W35" i="3"/>
  <c r="X35" i="3"/>
  <c r="Y35" i="3"/>
  <c r="W36" i="3"/>
  <c r="X36" i="3"/>
  <c r="Y36" i="3"/>
  <c r="Y3" i="3"/>
  <c r="Y4" i="3"/>
  <c r="Y5" i="3"/>
  <c r="Y6" i="3"/>
  <c r="Y7" i="3"/>
  <c r="Y8" i="3"/>
  <c r="Y9" i="3"/>
  <c r="X3" i="3"/>
  <c r="X4" i="3"/>
  <c r="X5" i="3"/>
  <c r="X6" i="3"/>
  <c r="X7" i="3"/>
  <c r="X8" i="3"/>
  <c r="X9" i="3"/>
  <c r="W3" i="3"/>
  <c r="W4" i="3"/>
  <c r="W5" i="3"/>
  <c r="W6" i="3"/>
  <c r="W7" i="3"/>
  <c r="W8" i="3"/>
  <c r="W9" i="3"/>
  <c r="T38" i="3"/>
  <c r="T37" i="3"/>
  <c r="T36" i="3"/>
  <c r="T35" i="3"/>
  <c r="T34" i="3"/>
  <c r="T33" i="3"/>
  <c r="T32" i="3"/>
  <c r="T31" i="3"/>
  <c r="T30" i="3"/>
  <c r="T29" i="3"/>
  <c r="T25" i="3"/>
  <c r="T24" i="3"/>
  <c r="T23" i="3"/>
  <c r="T22" i="3"/>
  <c r="T21" i="3"/>
  <c r="T20" i="3"/>
  <c r="T19" i="3"/>
  <c r="T18" i="3"/>
  <c r="T17" i="3"/>
  <c r="T16" i="3"/>
  <c r="T12" i="3"/>
  <c r="T11" i="3"/>
  <c r="T10" i="3"/>
  <c r="T9" i="3"/>
  <c r="T8" i="3"/>
  <c r="T7" i="3"/>
  <c r="T6" i="3"/>
  <c r="T5" i="3"/>
  <c r="T4" i="3"/>
  <c r="T3" i="3"/>
  <c r="P27" i="3"/>
  <c r="Q27" i="3" s="1"/>
  <c r="O27" i="3"/>
  <c r="P26" i="3"/>
  <c r="Q26" i="3" s="1"/>
  <c r="O26" i="3"/>
  <c r="P25" i="3"/>
  <c r="Q25" i="3" s="1"/>
  <c r="O25" i="3"/>
  <c r="P24" i="3"/>
  <c r="Q24" i="3" s="1"/>
  <c r="O24" i="3"/>
  <c r="P23" i="3"/>
  <c r="Q23" i="3" s="1"/>
  <c r="O23" i="3"/>
  <c r="P22" i="3"/>
  <c r="Q22" i="3" s="1"/>
  <c r="O22" i="3"/>
  <c r="P21" i="3"/>
  <c r="Q21" i="3" s="1"/>
  <c r="O21" i="3"/>
  <c r="P20" i="3"/>
  <c r="Q20" i="3" s="1"/>
  <c r="O20" i="3"/>
  <c r="P19" i="3"/>
  <c r="Q19" i="3" s="1"/>
  <c r="O19" i="3"/>
  <c r="P18" i="3"/>
  <c r="Q18" i="3" s="1"/>
  <c r="O18" i="3"/>
  <c r="P17" i="3"/>
  <c r="Q17" i="3" s="1"/>
  <c r="O17" i="3"/>
  <c r="P16" i="3"/>
  <c r="Q16" i="3" s="1"/>
  <c r="O16" i="3"/>
  <c r="P15" i="3"/>
  <c r="Q15" i="3" s="1"/>
  <c r="O15" i="3"/>
  <c r="P14" i="3"/>
  <c r="Q14" i="3" s="1"/>
  <c r="O14" i="3"/>
  <c r="P13" i="3"/>
  <c r="Q13" i="3" s="1"/>
  <c r="O13" i="3"/>
  <c r="P12" i="3"/>
  <c r="Q12" i="3" s="1"/>
  <c r="O12" i="3"/>
  <c r="P11" i="3"/>
  <c r="Q11" i="3" s="1"/>
  <c r="O11" i="3"/>
  <c r="P10" i="3"/>
  <c r="Q10" i="3" s="1"/>
  <c r="O10" i="3"/>
  <c r="P9" i="3"/>
  <c r="Q9" i="3" s="1"/>
  <c r="O9" i="3"/>
  <c r="P8" i="3"/>
  <c r="Q8" i="3" s="1"/>
  <c r="O8" i="3"/>
  <c r="P7" i="3"/>
  <c r="Q7" i="3" s="1"/>
  <c r="O7" i="3"/>
  <c r="P6" i="3"/>
  <c r="Q6" i="3" s="1"/>
  <c r="O6" i="3"/>
  <c r="P5" i="3"/>
  <c r="Q5" i="3" s="1"/>
  <c r="O5" i="3"/>
  <c r="Q4" i="3"/>
  <c r="P4" i="3"/>
  <c r="O4" i="3"/>
  <c r="Q3" i="3"/>
  <c r="P3" i="3"/>
  <c r="O3" i="3"/>
  <c r="J109" i="3"/>
  <c r="K109" i="3" s="1"/>
  <c r="I109" i="3"/>
  <c r="J108" i="3"/>
  <c r="K108" i="3" s="1"/>
  <c r="I108" i="3"/>
  <c r="J107" i="3"/>
  <c r="K107" i="3" s="1"/>
  <c r="I107" i="3"/>
  <c r="J106" i="3"/>
  <c r="K106" i="3" s="1"/>
  <c r="I106" i="3"/>
  <c r="J105" i="3"/>
  <c r="K105" i="3" s="1"/>
  <c r="I105" i="3"/>
  <c r="J104" i="3"/>
  <c r="K104" i="3" s="1"/>
  <c r="I104" i="3"/>
  <c r="J103" i="3"/>
  <c r="K103" i="3" s="1"/>
  <c r="I103" i="3"/>
  <c r="J102" i="3"/>
  <c r="K102" i="3" s="1"/>
  <c r="I102" i="3"/>
  <c r="J101" i="3"/>
  <c r="K101" i="3" s="1"/>
  <c r="I101" i="3"/>
  <c r="J100" i="3"/>
  <c r="K100" i="3" s="1"/>
  <c r="I100" i="3"/>
  <c r="J99" i="3"/>
  <c r="K99" i="3" s="1"/>
  <c r="I99" i="3"/>
  <c r="J98" i="3"/>
  <c r="K98" i="3" s="1"/>
  <c r="I98" i="3"/>
  <c r="J97" i="3"/>
  <c r="K97" i="3" s="1"/>
  <c r="I97" i="3"/>
  <c r="J96" i="3"/>
  <c r="K96" i="3" s="1"/>
  <c r="I96" i="3"/>
  <c r="J95" i="3"/>
  <c r="K95" i="3" s="1"/>
  <c r="I95" i="3"/>
  <c r="J94" i="3"/>
  <c r="K94" i="3" s="1"/>
  <c r="I94" i="3"/>
  <c r="J93" i="3"/>
  <c r="K93" i="3" s="1"/>
  <c r="I93" i="3"/>
  <c r="J92" i="3"/>
  <c r="K92" i="3" s="1"/>
  <c r="I92" i="3"/>
  <c r="J91" i="3"/>
  <c r="K91" i="3" s="1"/>
  <c r="I91" i="3"/>
  <c r="J90" i="3"/>
  <c r="K90" i="3" s="1"/>
  <c r="I90" i="3"/>
  <c r="J89" i="3"/>
  <c r="K89" i="3" s="1"/>
  <c r="I89" i="3"/>
  <c r="J88" i="3"/>
  <c r="K88" i="3" s="1"/>
  <c r="I88" i="3"/>
  <c r="J87" i="3"/>
  <c r="K87" i="3" s="1"/>
  <c r="I87" i="3"/>
  <c r="J86" i="3"/>
  <c r="K86" i="3" s="1"/>
  <c r="I86" i="3"/>
  <c r="J85" i="3"/>
  <c r="K85" i="3" s="1"/>
  <c r="I85" i="3"/>
  <c r="J84" i="3"/>
  <c r="K84" i="3" s="1"/>
  <c r="I84" i="3"/>
  <c r="J83" i="3"/>
  <c r="K83" i="3" s="1"/>
  <c r="I83" i="3"/>
  <c r="J82" i="3"/>
  <c r="K82" i="3" s="1"/>
  <c r="I82" i="3"/>
  <c r="J81" i="3"/>
  <c r="K81" i="3" s="1"/>
  <c r="I81" i="3"/>
  <c r="J80" i="3"/>
  <c r="K80" i="3" s="1"/>
  <c r="I80" i="3"/>
  <c r="J79" i="3"/>
  <c r="K79" i="3" s="1"/>
  <c r="I79" i="3"/>
  <c r="J78" i="3"/>
  <c r="K78" i="3" s="1"/>
  <c r="I78" i="3"/>
  <c r="J77" i="3"/>
  <c r="K77" i="3" s="1"/>
  <c r="I77" i="3"/>
  <c r="J76" i="3"/>
  <c r="K76" i="3" s="1"/>
  <c r="I76" i="3"/>
  <c r="J75" i="3"/>
  <c r="K75" i="3" s="1"/>
  <c r="I75" i="3"/>
  <c r="J74" i="3"/>
  <c r="K74" i="3" s="1"/>
  <c r="I74" i="3"/>
  <c r="J73" i="3"/>
  <c r="K73" i="3" s="1"/>
  <c r="I73" i="3"/>
  <c r="J72" i="3"/>
  <c r="K72" i="3" s="1"/>
  <c r="I72" i="3"/>
  <c r="J71" i="3"/>
  <c r="K71" i="3" s="1"/>
  <c r="I71" i="3"/>
  <c r="J70" i="3"/>
  <c r="K70" i="3" s="1"/>
  <c r="I70" i="3"/>
  <c r="J69" i="3"/>
  <c r="K69" i="3" s="1"/>
  <c r="I69" i="3"/>
  <c r="J68" i="3"/>
  <c r="K68" i="3" s="1"/>
  <c r="I68" i="3"/>
  <c r="J67" i="3"/>
  <c r="K67" i="3" s="1"/>
  <c r="I67" i="3"/>
  <c r="J66" i="3"/>
  <c r="K66" i="3" s="1"/>
  <c r="I66" i="3"/>
  <c r="J65" i="3"/>
  <c r="K65" i="3" s="1"/>
  <c r="I65" i="3"/>
  <c r="J64" i="3"/>
  <c r="K64" i="3" s="1"/>
  <c r="I64" i="3"/>
  <c r="J63" i="3"/>
  <c r="K63" i="3" s="1"/>
  <c r="I63" i="3"/>
  <c r="J62" i="3"/>
  <c r="K62" i="3" s="1"/>
  <c r="I62" i="3"/>
  <c r="J61" i="3"/>
  <c r="K61" i="3" s="1"/>
  <c r="I61" i="3"/>
  <c r="J60" i="3"/>
  <c r="K60" i="3" s="1"/>
  <c r="I60" i="3"/>
  <c r="J59" i="3"/>
  <c r="K59" i="3" s="1"/>
  <c r="I59" i="3"/>
  <c r="J58" i="3"/>
  <c r="K58" i="3" s="1"/>
  <c r="I58" i="3"/>
  <c r="J57" i="3"/>
  <c r="K57" i="3" s="1"/>
  <c r="I57" i="3"/>
  <c r="J56" i="3"/>
  <c r="K56" i="3" s="1"/>
  <c r="I56" i="3"/>
  <c r="J55" i="3"/>
  <c r="K55" i="3" s="1"/>
  <c r="I55" i="3"/>
  <c r="J54" i="3"/>
  <c r="K54" i="3" s="1"/>
  <c r="I54" i="3"/>
  <c r="J53" i="3"/>
  <c r="K53" i="3" s="1"/>
  <c r="I53" i="3"/>
  <c r="J52" i="3"/>
  <c r="K52" i="3" s="1"/>
  <c r="I52" i="3"/>
  <c r="J51" i="3"/>
  <c r="K51" i="3" s="1"/>
  <c r="I51" i="3"/>
  <c r="J50" i="3"/>
  <c r="K50" i="3" s="1"/>
  <c r="I50" i="3"/>
  <c r="J49" i="3"/>
  <c r="K49" i="3" s="1"/>
  <c r="I49" i="3"/>
  <c r="J48" i="3"/>
  <c r="K48" i="3" s="1"/>
  <c r="I48" i="3"/>
  <c r="J47" i="3"/>
  <c r="K47" i="3" s="1"/>
  <c r="I47" i="3"/>
  <c r="J46" i="3"/>
  <c r="K46" i="3" s="1"/>
  <c r="I46" i="3"/>
  <c r="J45" i="3"/>
  <c r="K45" i="3" s="1"/>
  <c r="I45" i="3"/>
  <c r="J44" i="3"/>
  <c r="K44" i="3" s="1"/>
  <c r="I44" i="3"/>
  <c r="J43" i="3"/>
  <c r="K43" i="3" s="1"/>
  <c r="I43" i="3"/>
  <c r="J42" i="3"/>
  <c r="K42" i="3" s="1"/>
  <c r="I42" i="3"/>
  <c r="J41" i="3"/>
  <c r="K41" i="3" s="1"/>
  <c r="I41" i="3"/>
  <c r="J40" i="3"/>
  <c r="K40" i="3" s="1"/>
  <c r="I40" i="3"/>
  <c r="J39" i="3"/>
  <c r="K39" i="3" s="1"/>
  <c r="I39" i="3"/>
  <c r="J38" i="3"/>
  <c r="K38" i="3" s="1"/>
  <c r="I38" i="3"/>
  <c r="J37" i="3"/>
  <c r="K37" i="3" s="1"/>
  <c r="I37" i="3"/>
  <c r="J36" i="3"/>
  <c r="K36" i="3" s="1"/>
  <c r="I36" i="3"/>
  <c r="J35" i="3"/>
  <c r="K35" i="3" s="1"/>
  <c r="I35" i="3"/>
  <c r="J34" i="3"/>
  <c r="K34" i="3" s="1"/>
  <c r="I34" i="3"/>
  <c r="J33" i="3"/>
  <c r="K33" i="3" s="1"/>
  <c r="I33" i="3"/>
  <c r="J32" i="3"/>
  <c r="K32" i="3" s="1"/>
  <c r="I32" i="3"/>
  <c r="J31" i="3"/>
  <c r="K31" i="3" s="1"/>
  <c r="I31" i="3"/>
  <c r="J30" i="3"/>
  <c r="K30" i="3" s="1"/>
  <c r="I30" i="3"/>
  <c r="J29" i="3"/>
  <c r="K29" i="3" s="1"/>
  <c r="I29" i="3"/>
  <c r="J28" i="3"/>
  <c r="K28" i="3" s="1"/>
  <c r="I28" i="3"/>
  <c r="J27" i="3"/>
  <c r="K27" i="3" s="1"/>
  <c r="I27" i="3"/>
  <c r="J26" i="3"/>
  <c r="K26" i="3" s="1"/>
  <c r="I26" i="3"/>
  <c r="J25" i="3"/>
  <c r="K25" i="3" s="1"/>
  <c r="I25" i="3"/>
  <c r="J24" i="3"/>
  <c r="K24" i="3" s="1"/>
  <c r="I24" i="3"/>
  <c r="J23" i="3"/>
  <c r="K23" i="3" s="1"/>
  <c r="I23" i="3"/>
  <c r="J22" i="3"/>
  <c r="K22" i="3" s="1"/>
  <c r="I22" i="3"/>
  <c r="J21" i="3"/>
  <c r="K21" i="3" s="1"/>
  <c r="I21" i="3"/>
  <c r="J20" i="3"/>
  <c r="K20" i="3" s="1"/>
  <c r="I20" i="3"/>
  <c r="J19" i="3"/>
  <c r="K19" i="3" s="1"/>
  <c r="I19" i="3"/>
  <c r="J18" i="3"/>
  <c r="K18" i="3" s="1"/>
  <c r="I18" i="3"/>
  <c r="J17" i="3"/>
  <c r="K17" i="3" s="1"/>
  <c r="I17" i="3"/>
  <c r="J16" i="3"/>
  <c r="K16" i="3" s="1"/>
  <c r="I16" i="3"/>
  <c r="J15" i="3"/>
  <c r="K15" i="3" s="1"/>
  <c r="I15" i="3"/>
  <c r="J14" i="3"/>
  <c r="K14" i="3" s="1"/>
  <c r="I14" i="3"/>
  <c r="J13" i="3"/>
  <c r="K13" i="3" s="1"/>
  <c r="I13" i="3"/>
  <c r="J12" i="3"/>
  <c r="K12" i="3" s="1"/>
  <c r="I12" i="3"/>
  <c r="J11" i="3"/>
  <c r="K11" i="3" s="1"/>
  <c r="I11" i="3"/>
  <c r="J10" i="3"/>
  <c r="K10" i="3" s="1"/>
  <c r="I10" i="3"/>
  <c r="J9" i="3"/>
  <c r="K9" i="3" s="1"/>
  <c r="I9" i="3"/>
  <c r="J8" i="3"/>
  <c r="K8" i="3" s="1"/>
  <c r="I8" i="3"/>
  <c r="J7" i="3"/>
  <c r="K7" i="3" s="1"/>
  <c r="I7" i="3"/>
  <c r="J6" i="3"/>
  <c r="K6" i="3" s="1"/>
  <c r="I6" i="3"/>
  <c r="J5" i="3"/>
  <c r="K5" i="3" s="1"/>
  <c r="I5" i="3"/>
  <c r="K4" i="3"/>
  <c r="J4" i="3"/>
  <c r="I4" i="3"/>
  <c r="K3" i="3"/>
  <c r="J3" i="3"/>
  <c r="I3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C377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C32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D5" i="3"/>
  <c r="B5" i="3"/>
  <c r="A5" i="3"/>
  <c r="E4" i="3"/>
  <c r="D4" i="3"/>
  <c r="C4" i="3"/>
  <c r="B4" i="3"/>
  <c r="A4" i="3"/>
  <c r="E3" i="3"/>
  <c r="D3" i="3"/>
  <c r="C3" i="3"/>
  <c r="B3" i="3"/>
  <c r="A3" i="3"/>
  <c r="BC16" i="6" l="1"/>
  <c r="E134" i="8"/>
  <c r="BD16" i="6"/>
  <c r="D134" i="8"/>
  <c r="BG14" i="6"/>
  <c r="BG15" i="6"/>
  <c r="BG12" i="6"/>
  <c r="BG13" i="6"/>
  <c r="BF14" i="6"/>
  <c r="BF15" i="6"/>
  <c r="BF12" i="6"/>
  <c r="BF13" i="6"/>
  <c r="BE14" i="6"/>
  <c r="BE15" i="6"/>
  <c r="BE12" i="6"/>
  <c r="BE13" i="6"/>
  <c r="BD14" i="6"/>
  <c r="BD17" i="6" s="1"/>
  <c r="BD15" i="6"/>
  <c r="BD12" i="6"/>
  <c r="BD13" i="6"/>
  <c r="BC14" i="6"/>
  <c r="C153" i="8" s="1"/>
  <c r="BC15" i="6"/>
  <c r="BC12" i="6"/>
  <c r="BC13" i="6"/>
  <c r="BM7" i="6"/>
  <c r="BN7" i="6"/>
  <c r="I138" i="8" s="1"/>
  <c r="BM6" i="6"/>
  <c r="BN6" i="6"/>
  <c r="I137" i="8" s="1"/>
  <c r="BM5" i="6"/>
  <c r="BN5" i="6"/>
  <c r="I136" i="8" s="1"/>
  <c r="BM4" i="6"/>
  <c r="BN4" i="6"/>
  <c r="I135" i="8" s="1"/>
  <c r="BM3" i="6"/>
  <c r="BN3" i="6"/>
  <c r="I134" i="8" s="1"/>
  <c r="AZ3" i="6"/>
  <c r="AY3" i="6"/>
  <c r="AX3" i="6"/>
  <c r="AW3" i="6"/>
  <c r="AW4" i="6"/>
  <c r="AZ4" i="6"/>
  <c r="AY4" i="6"/>
  <c r="AX4" i="6"/>
  <c r="AZ5" i="6"/>
  <c r="AY5" i="6"/>
  <c r="AX5" i="6"/>
  <c r="AW5" i="6"/>
  <c r="AZ6" i="6"/>
  <c r="AY6" i="6"/>
  <c r="AX6" i="6"/>
  <c r="AW6" i="6"/>
  <c r="AZ7" i="6"/>
  <c r="AY7" i="6"/>
  <c r="AX7" i="6"/>
  <c r="AW7" i="6"/>
  <c r="AE456" i="6"/>
  <c r="AE460" i="6"/>
  <c r="AE464" i="6"/>
  <c r="AE468" i="6"/>
  <c r="AE472" i="6"/>
  <c r="AE476" i="6"/>
  <c r="AE480" i="6"/>
  <c r="AE484" i="6"/>
  <c r="AE488" i="6"/>
  <c r="AE1003" i="6"/>
  <c r="AE1004" i="6"/>
  <c r="AE1005" i="6"/>
  <c r="AE1008" i="6"/>
  <c r="AE1006" i="6"/>
  <c r="AE1007" i="6"/>
  <c r="AE1010" i="6"/>
  <c r="AE1011" i="6"/>
  <c r="AE1009" i="6"/>
  <c r="AE1013" i="6"/>
  <c r="AE1014" i="6"/>
  <c r="AE1012" i="6"/>
  <c r="AE1018" i="6"/>
  <c r="AE1017" i="6"/>
  <c r="AE1016" i="6"/>
  <c r="AE1022" i="6"/>
  <c r="AE1020" i="6"/>
  <c r="AE1025" i="6"/>
  <c r="AE1024" i="6"/>
  <c r="AE1028" i="6"/>
  <c r="AE1027" i="6"/>
  <c r="AE1029" i="6"/>
  <c r="AE1033" i="6"/>
  <c r="AE1034" i="6"/>
  <c r="AE1038" i="6"/>
  <c r="AE1037" i="6"/>
  <c r="AE1041" i="6"/>
  <c r="AE1042" i="6"/>
  <c r="AE1046" i="6"/>
  <c r="AE1045" i="6"/>
  <c r="AE1049" i="6"/>
  <c r="AE1050" i="6"/>
  <c r="AE1053" i="6"/>
  <c r="AE1054" i="6"/>
  <c r="AE1057" i="6"/>
  <c r="AE1058" i="6"/>
  <c r="AE1062" i="6"/>
  <c r="AE1061" i="6"/>
  <c r="AE1070" i="6"/>
  <c r="AE1068" i="6"/>
  <c r="AE1076" i="6"/>
  <c r="AE1074" i="6"/>
  <c r="AE1078" i="6"/>
  <c r="AE1079" i="6"/>
  <c r="AE1081" i="6"/>
  <c r="AE1082" i="6"/>
  <c r="AE1084" i="6"/>
  <c r="AE1085" i="6"/>
  <c r="AE1087" i="6"/>
  <c r="AE1088" i="6"/>
  <c r="AE1089" i="6"/>
  <c r="AE1090" i="6"/>
  <c r="AE1092" i="6"/>
  <c r="AE1093" i="6"/>
  <c r="AE1095" i="6"/>
  <c r="AE1094" i="6"/>
  <c r="AE1097" i="6"/>
  <c r="AE1065" i="6"/>
  <c r="AE1101" i="6"/>
  <c r="AE1096" i="6"/>
  <c r="AE1099" i="6"/>
  <c r="AE1100" i="6"/>
  <c r="AE1103" i="6"/>
  <c r="AE1104" i="6"/>
  <c r="AE1102" i="6"/>
  <c r="AE1105" i="6"/>
  <c r="AE1109" i="6"/>
  <c r="AE1107" i="6"/>
  <c r="AE1106" i="6"/>
  <c r="AE1108" i="6"/>
  <c r="AE1110" i="6"/>
  <c r="AE1111" i="6"/>
  <c r="AE1112" i="6"/>
  <c r="AE1113" i="6"/>
  <c r="AE1114" i="6"/>
  <c r="AE1115" i="6"/>
  <c r="AE1117" i="6"/>
  <c r="AE1116" i="6"/>
  <c r="AE1119" i="6"/>
  <c r="AE1118" i="6"/>
  <c r="AE1121" i="6"/>
  <c r="AE1120" i="6"/>
  <c r="AE1122" i="6"/>
  <c r="AE1123" i="6"/>
  <c r="AE1124" i="6"/>
  <c r="AE1125" i="6"/>
  <c r="AE1127" i="6"/>
  <c r="AE1126" i="6"/>
  <c r="AE1128" i="6"/>
  <c r="AE1129" i="6"/>
  <c r="AE1131" i="6"/>
  <c r="AE1130" i="6"/>
  <c r="AE1132" i="6"/>
  <c r="AE1133" i="6"/>
  <c r="AE492" i="6"/>
  <c r="AE495" i="6"/>
  <c r="AE496" i="6"/>
  <c r="AE499" i="6"/>
  <c r="AE13" i="6"/>
  <c r="AE16" i="6"/>
  <c r="AE19" i="6"/>
  <c r="AE36" i="6"/>
  <c r="AE41" i="6"/>
  <c r="AE45" i="6"/>
  <c r="AE49" i="6"/>
  <c r="AE69" i="6"/>
  <c r="AE70" i="6"/>
  <c r="AE74" i="6"/>
  <c r="AE78" i="6"/>
  <c r="AE82" i="6"/>
  <c r="AE86" i="6"/>
  <c r="AE90" i="6"/>
  <c r="AE94" i="6"/>
  <c r="AE98" i="6"/>
  <c r="AE102" i="6"/>
  <c r="AE106" i="6"/>
  <c r="AE110" i="6"/>
  <c r="AE114" i="6"/>
  <c r="AE122" i="6"/>
  <c r="AE130" i="6"/>
  <c r="AE134" i="6"/>
  <c r="AE135" i="6"/>
  <c r="AE139" i="6"/>
  <c r="AE143" i="6"/>
  <c r="AE147" i="6"/>
  <c r="AE151" i="6"/>
  <c r="AE155" i="6"/>
  <c r="AE159" i="6"/>
  <c r="AE163" i="6"/>
  <c r="AE167" i="6"/>
  <c r="AE171" i="6"/>
  <c r="AE175" i="6"/>
  <c r="AE179" i="6"/>
  <c r="AE180" i="6"/>
  <c r="AE753" i="6"/>
  <c r="AE755" i="6"/>
  <c r="AE754" i="6"/>
  <c r="AE757" i="6"/>
  <c r="AE500" i="6"/>
  <c r="AE501" i="6"/>
  <c r="AE758" i="6"/>
  <c r="AE756" i="6"/>
  <c r="AE760" i="6"/>
  <c r="AE761" i="6"/>
  <c r="AE502" i="6"/>
  <c r="AE759" i="6"/>
  <c r="AE764" i="6"/>
  <c r="AE762" i="6"/>
  <c r="AE763" i="6"/>
  <c r="AE767" i="6"/>
  <c r="AE766" i="6"/>
  <c r="AE765" i="6"/>
  <c r="AE769" i="6"/>
  <c r="AE770" i="6"/>
  <c r="AE768" i="6"/>
  <c r="AE772" i="6"/>
  <c r="AE771" i="6"/>
  <c r="AE773" i="6"/>
  <c r="AE774" i="6"/>
  <c r="AE775" i="6"/>
  <c r="AE776" i="6"/>
  <c r="AE778" i="6"/>
  <c r="AE779" i="6"/>
  <c r="AE777" i="6"/>
  <c r="AE781" i="6"/>
  <c r="AE782" i="6"/>
  <c r="AE780" i="6"/>
  <c r="AE785" i="6"/>
  <c r="AE784" i="6"/>
  <c r="AE783" i="6"/>
  <c r="AE788" i="6"/>
  <c r="AE787" i="6"/>
  <c r="AE786" i="6"/>
  <c r="AE791" i="6"/>
  <c r="AE789" i="6"/>
  <c r="AE790" i="6"/>
  <c r="AE792" i="6"/>
  <c r="AE794" i="6"/>
  <c r="AE793" i="6"/>
  <c r="AE797" i="6"/>
  <c r="AE796" i="6"/>
  <c r="AE800" i="6"/>
  <c r="AE799" i="6"/>
  <c r="AE804" i="6"/>
  <c r="AE803" i="6"/>
  <c r="AE807" i="6"/>
  <c r="AE808" i="6"/>
  <c r="AE812" i="6"/>
  <c r="AE811" i="6"/>
  <c r="AE815" i="6"/>
  <c r="AE816" i="6"/>
  <c r="AE819" i="6"/>
  <c r="AE820" i="6"/>
  <c r="AE823" i="6"/>
  <c r="AE824" i="6"/>
  <c r="AE828" i="6"/>
  <c r="AE827" i="6"/>
  <c r="AE832" i="6"/>
  <c r="AE831" i="6"/>
  <c r="AE833" i="6"/>
  <c r="AE837" i="6"/>
  <c r="AE836" i="6"/>
  <c r="AE841" i="6"/>
  <c r="AE840" i="6"/>
  <c r="AE843" i="6"/>
  <c r="AE842" i="6"/>
  <c r="AE846" i="6"/>
  <c r="AE844" i="6"/>
  <c r="AE845" i="6"/>
  <c r="AE849" i="6"/>
  <c r="AE847" i="6"/>
  <c r="AE848" i="6"/>
  <c r="AE852" i="6"/>
  <c r="AE850" i="6"/>
  <c r="AE851" i="6"/>
  <c r="AE853" i="6"/>
  <c r="AE854" i="6"/>
  <c r="AE857" i="6"/>
  <c r="AE856" i="6"/>
  <c r="AE860" i="6"/>
  <c r="AE859" i="6"/>
  <c r="AE862" i="6"/>
  <c r="AE863" i="6"/>
  <c r="AE865" i="6"/>
  <c r="AE866" i="6"/>
  <c r="AE868" i="6"/>
  <c r="AE869" i="6"/>
  <c r="AE884" i="6"/>
  <c r="AE885" i="6"/>
  <c r="AE886" i="6"/>
  <c r="AE887" i="6"/>
  <c r="AE888" i="6"/>
  <c r="AE835" i="6"/>
  <c r="AE890" i="6"/>
  <c r="AE889" i="6"/>
  <c r="AE892" i="6"/>
  <c r="AE891" i="6"/>
  <c r="AE894" i="6"/>
  <c r="AE893" i="6"/>
  <c r="AE895" i="6"/>
  <c r="AE896" i="6"/>
  <c r="AE898" i="6"/>
  <c r="AE897" i="6"/>
  <c r="AE901" i="6"/>
  <c r="AE902" i="6"/>
  <c r="AE905" i="6"/>
  <c r="AE906" i="6"/>
  <c r="AE909" i="6"/>
  <c r="AE910" i="6"/>
  <c r="AE914" i="6"/>
  <c r="AE913" i="6"/>
  <c r="AE918" i="6"/>
  <c r="AE917" i="6"/>
  <c r="AE922" i="6"/>
  <c r="AE921" i="6"/>
  <c r="AE926" i="6"/>
  <c r="AE925" i="6"/>
  <c r="AE929" i="6"/>
  <c r="AE930" i="6"/>
  <c r="AE933" i="6"/>
  <c r="AE934" i="6"/>
  <c r="AE937" i="6"/>
  <c r="AE938" i="6"/>
  <c r="AE943" i="6"/>
  <c r="AE942" i="6"/>
  <c r="AE941" i="6"/>
  <c r="AE947" i="6"/>
  <c r="AE945" i="6"/>
  <c r="AE946" i="6"/>
  <c r="AE951" i="6"/>
  <c r="AE949" i="6"/>
  <c r="AE950" i="6"/>
  <c r="AE953" i="6"/>
  <c r="AE955" i="6"/>
  <c r="AE954" i="6"/>
  <c r="AE957" i="6"/>
  <c r="AE958" i="6"/>
  <c r="AE959" i="6"/>
  <c r="AE961" i="6"/>
  <c r="AE962" i="6"/>
  <c r="AE963" i="6"/>
  <c r="AE967" i="6"/>
  <c r="AE966" i="6"/>
  <c r="AE965" i="6"/>
  <c r="AE971" i="6"/>
  <c r="AE970" i="6"/>
  <c r="AE969" i="6"/>
  <c r="AE975" i="6"/>
  <c r="AE974" i="6"/>
  <c r="AE973" i="6"/>
  <c r="AE979" i="6"/>
  <c r="AE977" i="6"/>
  <c r="AE978" i="6"/>
  <c r="AE982" i="6"/>
  <c r="AE983" i="6"/>
  <c r="AE981" i="6"/>
  <c r="AE986" i="6"/>
  <c r="AE987" i="6"/>
  <c r="AE985" i="6"/>
  <c r="AE990" i="6"/>
  <c r="AE991" i="6"/>
  <c r="AE989" i="6"/>
  <c r="AE995" i="6"/>
  <c r="AE994" i="6"/>
  <c r="AE993" i="6"/>
  <c r="AE998" i="6"/>
  <c r="AE997" i="6"/>
  <c r="AE183" i="6"/>
  <c r="AE184" i="6"/>
  <c r="AE188" i="6"/>
  <c r="AE192" i="6"/>
  <c r="AE196" i="6"/>
  <c r="AE200" i="6"/>
  <c r="AE204" i="6"/>
  <c r="AE208" i="6"/>
  <c r="AE212" i="6"/>
  <c r="AE217" i="6"/>
  <c r="AE216" i="6"/>
  <c r="AE232" i="6"/>
  <c r="AE235" i="6"/>
  <c r="AE238" i="6"/>
  <c r="AE241" i="6"/>
  <c r="AE244" i="6"/>
  <c r="AE247" i="6"/>
  <c r="AE250" i="6"/>
  <c r="AE503" i="6"/>
  <c r="AE505" i="6"/>
  <c r="AE504" i="6"/>
  <c r="AE508" i="6"/>
  <c r="AE506" i="6"/>
  <c r="AE507" i="6"/>
  <c r="AE510" i="6"/>
  <c r="AE509" i="6"/>
  <c r="AE511" i="6"/>
  <c r="AE514" i="6"/>
  <c r="AE214" i="6"/>
  <c r="AE512" i="6"/>
  <c r="AE513" i="6"/>
  <c r="AE517" i="6"/>
  <c r="AE515" i="6"/>
  <c r="AE516" i="6"/>
  <c r="AE520" i="6"/>
  <c r="AE518" i="6"/>
  <c r="AE519" i="6"/>
  <c r="AE522" i="6"/>
  <c r="AE521" i="6"/>
  <c r="AE251" i="6"/>
  <c r="AE523" i="6"/>
  <c r="AE526" i="6"/>
  <c r="AE524" i="6"/>
  <c r="AE525" i="6"/>
  <c r="AE528" i="6"/>
  <c r="AE530" i="6"/>
  <c r="AE529" i="6"/>
  <c r="AE533" i="6"/>
  <c r="AE534" i="6"/>
  <c r="AE535" i="6"/>
  <c r="AE538" i="6"/>
  <c r="AE537" i="6"/>
  <c r="AE539" i="6"/>
  <c r="AE542" i="6"/>
  <c r="AE543" i="6"/>
  <c r="AE545" i="6"/>
  <c r="AE546" i="6"/>
  <c r="AE549" i="6"/>
  <c r="AE548" i="6"/>
  <c r="AE541" i="6"/>
  <c r="AE553" i="6"/>
  <c r="AE552" i="6"/>
  <c r="AE551" i="6"/>
  <c r="AE555" i="6"/>
  <c r="AE556" i="6"/>
  <c r="AE557" i="6"/>
  <c r="AE561" i="6"/>
  <c r="AE560" i="6"/>
  <c r="AE562" i="6"/>
  <c r="AE564" i="6"/>
  <c r="AE566" i="6"/>
  <c r="AE565" i="6"/>
  <c r="AE570" i="6"/>
  <c r="AE569" i="6"/>
  <c r="AE568" i="6"/>
  <c r="AE573" i="6"/>
  <c r="AE572" i="6"/>
  <c r="AE574" i="6"/>
  <c r="AE578" i="6"/>
  <c r="AE576" i="6"/>
  <c r="AE577" i="6"/>
  <c r="AE582" i="6"/>
  <c r="AE580" i="6"/>
  <c r="AE581" i="6"/>
  <c r="AE586" i="6"/>
  <c r="AE585" i="6"/>
  <c r="AE584" i="6"/>
  <c r="AE589" i="6"/>
  <c r="AE590" i="6"/>
  <c r="AE588" i="6"/>
  <c r="AE593" i="6"/>
  <c r="AE594" i="6"/>
  <c r="AE592" i="6"/>
  <c r="AE597" i="6"/>
  <c r="AE598" i="6"/>
  <c r="AE596" i="6"/>
  <c r="AE602" i="6"/>
  <c r="AE601" i="6"/>
  <c r="AE600" i="6"/>
  <c r="AE603" i="6"/>
  <c r="AE605" i="6"/>
  <c r="AE623" i="6"/>
  <c r="AE622" i="6"/>
  <c r="AE635" i="6"/>
  <c r="AE634" i="6"/>
  <c r="AE637" i="6"/>
  <c r="AE638" i="6"/>
  <c r="AE640" i="6"/>
  <c r="AE639" i="6"/>
  <c r="AE642" i="6"/>
  <c r="AE645" i="6"/>
  <c r="AE646" i="6"/>
  <c r="AE648" i="6"/>
  <c r="AE606" i="6"/>
  <c r="AE647" i="6"/>
  <c r="AE651" i="6"/>
  <c r="AE652" i="6"/>
  <c r="AE653" i="6"/>
  <c r="AE650" i="6"/>
  <c r="AE657" i="6"/>
  <c r="AE654" i="6"/>
  <c r="AE655" i="6"/>
  <c r="AE656" i="6"/>
  <c r="AE661" i="6"/>
  <c r="AE658" i="6"/>
  <c r="AE659" i="6"/>
  <c r="AE660" i="6"/>
  <c r="AE664" i="6"/>
  <c r="AE663" i="6"/>
  <c r="AE665" i="6"/>
  <c r="AE662" i="6"/>
  <c r="AE666" i="6"/>
  <c r="AE669" i="6"/>
  <c r="AE668" i="6"/>
  <c r="AE667" i="6"/>
  <c r="AE671" i="6"/>
  <c r="AE670" i="6"/>
  <c r="AE673" i="6"/>
  <c r="AE672" i="6"/>
  <c r="AE677" i="6"/>
  <c r="AE674" i="6"/>
  <c r="AE675" i="6"/>
  <c r="AE676" i="6"/>
  <c r="AE680" i="6"/>
  <c r="AE679" i="6"/>
  <c r="AE681" i="6"/>
  <c r="AE678" i="6"/>
  <c r="AE683" i="6"/>
  <c r="AE685" i="6"/>
  <c r="AE682" i="6"/>
  <c r="AE684" i="6"/>
  <c r="AE687" i="6"/>
  <c r="AE689" i="6"/>
  <c r="AE686" i="6"/>
  <c r="AE688" i="6"/>
  <c r="AE693" i="6"/>
  <c r="AE691" i="6"/>
  <c r="AE694" i="6"/>
  <c r="AE695" i="6"/>
  <c r="AE699" i="6"/>
  <c r="AE698" i="6"/>
  <c r="AE704" i="6"/>
  <c r="AE703" i="6"/>
  <c r="AE702" i="6"/>
  <c r="AE708" i="6"/>
  <c r="AE706" i="6"/>
  <c r="AE707" i="6"/>
  <c r="AE712" i="6"/>
  <c r="AE711" i="6"/>
  <c r="AE710" i="6"/>
  <c r="AE716" i="6"/>
  <c r="AE715" i="6"/>
  <c r="AE714" i="6"/>
  <c r="AE718" i="6"/>
  <c r="AE717" i="6"/>
  <c r="AE720" i="6"/>
  <c r="AE719" i="6"/>
  <c r="AE722" i="6"/>
  <c r="AE721" i="6"/>
  <c r="AE723" i="6"/>
  <c r="AE724" i="6"/>
  <c r="AE726" i="6"/>
  <c r="AE727" i="6"/>
  <c r="AE728" i="6"/>
  <c r="AE730" i="6"/>
  <c r="AE731" i="6"/>
  <c r="AE729" i="6"/>
  <c r="AE732" i="6"/>
  <c r="AE734" i="6"/>
  <c r="AE733" i="6"/>
  <c r="AE735" i="6"/>
  <c r="AE736" i="6"/>
  <c r="AE738" i="6"/>
  <c r="AE739" i="6"/>
  <c r="AE741" i="6"/>
  <c r="AE742" i="6"/>
  <c r="AE745" i="6"/>
  <c r="AE744" i="6"/>
  <c r="AE749" i="6"/>
  <c r="AE748" i="6"/>
  <c r="AE253" i="6"/>
  <c r="AE256" i="6"/>
  <c r="AE255" i="6"/>
  <c r="AE254" i="6"/>
  <c r="AE257" i="6"/>
  <c r="AE259" i="6"/>
  <c r="AE258" i="6"/>
  <c r="AE260" i="6"/>
  <c r="AE264" i="6"/>
  <c r="AE263" i="6"/>
  <c r="AE261" i="6"/>
  <c r="AE262" i="6"/>
  <c r="AE265" i="6"/>
  <c r="AE268" i="6"/>
  <c r="AE267" i="6"/>
  <c r="AE266" i="6"/>
  <c r="AE271" i="6"/>
  <c r="AE270" i="6"/>
  <c r="AE272" i="6"/>
  <c r="AE269" i="6"/>
  <c r="AE276" i="6"/>
  <c r="AE274" i="6"/>
  <c r="AE275" i="6"/>
  <c r="AE273" i="6"/>
  <c r="AE278" i="6"/>
  <c r="AE277" i="6"/>
  <c r="AE282" i="6"/>
  <c r="AE281" i="6"/>
  <c r="AE285" i="6"/>
  <c r="AE284" i="6"/>
  <c r="AE288" i="6"/>
  <c r="AE287" i="6"/>
  <c r="AE291" i="6"/>
  <c r="AE290" i="6"/>
  <c r="AE294" i="6"/>
  <c r="AE293" i="6"/>
  <c r="AE297" i="6"/>
  <c r="AE296" i="6"/>
  <c r="AE299" i="6"/>
  <c r="AE298" i="6"/>
  <c r="AE280" i="6"/>
  <c r="AE301" i="6"/>
  <c r="AE303" i="6"/>
  <c r="AE302" i="6"/>
  <c r="AE305" i="6"/>
  <c r="AE307" i="6"/>
  <c r="AE306" i="6"/>
  <c r="AE310" i="6"/>
  <c r="AE309" i="6"/>
  <c r="AE311" i="6"/>
  <c r="AE313" i="6"/>
  <c r="AE315" i="6"/>
  <c r="AE314" i="6"/>
  <c r="AE317" i="6"/>
  <c r="AE318" i="6"/>
  <c r="AE319" i="6"/>
  <c r="AE321" i="6"/>
  <c r="AE322" i="6"/>
  <c r="AE323" i="6"/>
  <c r="AE326" i="6"/>
  <c r="AE325" i="6"/>
  <c r="AE327" i="6"/>
  <c r="AE330" i="6"/>
  <c r="AE331" i="6"/>
  <c r="AE332" i="6"/>
  <c r="AE329" i="6"/>
  <c r="AE335" i="6"/>
  <c r="AE334" i="6"/>
  <c r="AE336" i="6"/>
  <c r="AE333" i="6"/>
  <c r="AE339" i="6"/>
  <c r="AE340" i="6"/>
  <c r="AE338" i="6"/>
  <c r="AE337" i="6"/>
  <c r="AE344" i="6"/>
  <c r="AE341" i="6"/>
  <c r="AE342" i="6"/>
  <c r="AE343" i="6"/>
  <c r="AE348" i="6"/>
  <c r="AE345" i="6"/>
  <c r="AE346" i="6"/>
  <c r="AE347" i="6"/>
  <c r="AE352" i="6"/>
  <c r="AE349" i="6"/>
  <c r="AE350" i="6"/>
  <c r="AE351" i="6"/>
  <c r="AE354" i="6"/>
  <c r="AE355" i="6"/>
  <c r="AE353" i="6"/>
  <c r="AE366" i="6"/>
  <c r="AE367" i="6"/>
  <c r="AE368" i="6"/>
  <c r="AE370" i="6"/>
  <c r="AE356" i="6"/>
  <c r="AE372" i="6"/>
  <c r="AE371" i="6"/>
  <c r="AE373" i="6"/>
  <c r="AE375" i="6"/>
  <c r="AE374" i="6"/>
  <c r="AE378" i="6"/>
  <c r="AE376" i="6"/>
  <c r="AE380" i="6"/>
  <c r="AE379" i="6"/>
  <c r="AE382" i="6"/>
  <c r="AE381" i="6"/>
  <c r="AE385" i="6"/>
  <c r="AE384" i="6"/>
  <c r="AE388" i="6"/>
  <c r="AE387" i="6"/>
  <c r="AE391" i="6"/>
  <c r="AE390" i="6"/>
  <c r="AE393" i="6"/>
  <c r="AE394" i="6"/>
  <c r="AE397" i="6"/>
  <c r="AE398" i="6"/>
  <c r="AE400" i="6"/>
  <c r="AE401" i="6"/>
  <c r="AE403" i="6"/>
  <c r="AE404" i="6"/>
  <c r="AE406" i="6"/>
  <c r="AE407" i="6"/>
  <c r="AE410" i="6"/>
  <c r="AE411" i="6"/>
  <c r="AE416" i="6"/>
  <c r="AE417" i="6"/>
  <c r="AE420" i="6"/>
  <c r="AE419" i="6"/>
  <c r="AE423" i="6"/>
  <c r="AE421" i="6"/>
  <c r="AE422" i="6"/>
  <c r="AE426" i="6"/>
  <c r="AE427" i="6"/>
  <c r="AE425" i="6"/>
  <c r="AE431" i="6"/>
  <c r="AE430" i="6"/>
  <c r="AE429" i="6"/>
  <c r="AE435" i="6"/>
  <c r="AE433" i="6"/>
  <c r="AE434" i="6"/>
  <c r="AE437" i="6"/>
  <c r="AE438" i="6"/>
  <c r="AE439" i="6"/>
  <c r="AE443" i="6"/>
  <c r="AE442" i="6"/>
  <c r="AE441" i="6"/>
  <c r="AE447" i="6"/>
  <c r="AE446" i="6"/>
  <c r="AE445" i="6"/>
  <c r="AE451" i="6"/>
  <c r="AE450" i="6"/>
  <c r="AE449" i="6"/>
  <c r="AE453" i="6"/>
  <c r="AE454" i="6"/>
  <c r="AE455" i="6"/>
  <c r="AE457" i="6"/>
  <c r="AE458" i="6"/>
  <c r="AE459" i="6"/>
  <c r="AE462" i="6"/>
  <c r="AE463" i="6"/>
  <c r="AE461" i="6"/>
  <c r="AE466" i="6"/>
  <c r="AE467" i="6"/>
  <c r="AE465" i="6"/>
  <c r="AE471" i="6"/>
  <c r="AE470" i="6"/>
  <c r="AE469" i="6"/>
  <c r="AE473" i="6"/>
  <c r="AE475" i="6"/>
  <c r="AE474" i="6"/>
  <c r="AE478" i="6"/>
  <c r="AE479" i="6"/>
  <c r="AE477" i="6"/>
  <c r="AE482" i="6"/>
  <c r="AE481" i="6"/>
  <c r="AE483" i="6"/>
  <c r="AE486" i="6"/>
  <c r="AE485" i="6"/>
  <c r="AE487" i="6"/>
  <c r="AE490" i="6"/>
  <c r="AE489" i="6"/>
  <c r="AE491" i="6"/>
  <c r="AE493" i="6"/>
  <c r="AE494" i="6"/>
  <c r="AE497" i="6"/>
  <c r="AE498" i="6"/>
  <c r="AE4" i="6"/>
  <c r="AE3" i="6"/>
  <c r="AE6" i="6"/>
  <c r="AE5" i="6"/>
  <c r="AE7" i="6"/>
  <c r="AE8" i="6"/>
  <c r="AE10" i="6"/>
  <c r="AE9" i="6"/>
  <c r="AE11" i="6"/>
  <c r="AE12" i="6"/>
  <c r="AE14" i="6"/>
  <c r="AE15" i="6"/>
  <c r="AE18" i="6"/>
  <c r="AE17" i="6"/>
  <c r="AE22" i="6"/>
  <c r="AE21" i="6"/>
  <c r="AE20" i="6"/>
  <c r="AE24" i="6"/>
  <c r="AE23" i="6"/>
  <c r="AE25" i="6"/>
  <c r="AE26" i="6"/>
  <c r="AE27" i="6"/>
  <c r="AE28" i="6"/>
  <c r="AE29" i="6"/>
  <c r="AE32" i="6"/>
  <c r="AE31" i="6"/>
  <c r="AE30" i="6"/>
  <c r="AE34" i="6"/>
  <c r="AE35" i="6"/>
  <c r="AE33" i="6"/>
  <c r="AE40" i="6"/>
  <c r="AE38" i="6"/>
  <c r="AE39" i="6"/>
  <c r="AE37" i="6"/>
  <c r="AE43" i="6"/>
  <c r="AE44" i="6"/>
  <c r="AE42" i="6"/>
  <c r="AE48" i="6"/>
  <c r="AE46" i="6"/>
  <c r="AE47" i="6"/>
  <c r="AE52" i="6"/>
  <c r="AE50" i="6"/>
  <c r="AE51" i="6"/>
  <c r="AE53" i="6"/>
  <c r="AE54" i="6"/>
  <c r="AE56" i="6"/>
  <c r="AE55" i="6"/>
  <c r="AE57" i="6"/>
  <c r="AE58" i="6"/>
  <c r="AE60" i="6"/>
  <c r="AE59" i="6"/>
  <c r="AE61" i="6"/>
  <c r="AE62" i="6"/>
  <c r="AE64" i="6"/>
  <c r="AE63" i="6"/>
  <c r="AE65" i="6"/>
  <c r="AE66" i="6"/>
  <c r="AE68" i="6"/>
  <c r="AE67" i="6"/>
  <c r="AE73" i="6"/>
  <c r="AE72" i="6"/>
  <c r="AE71" i="6"/>
  <c r="AE77" i="6"/>
  <c r="AE75" i="6"/>
  <c r="AE76" i="6"/>
  <c r="AE81" i="6"/>
  <c r="AE79" i="6"/>
  <c r="AE80" i="6"/>
  <c r="AE85" i="6"/>
  <c r="AE84" i="6"/>
  <c r="AE83" i="6"/>
  <c r="AE89" i="6"/>
  <c r="AE87" i="6"/>
  <c r="AE88" i="6"/>
  <c r="AE93" i="6"/>
  <c r="AE92" i="6"/>
  <c r="AE91" i="6"/>
  <c r="AE95" i="6"/>
  <c r="AE96" i="6"/>
  <c r="AE97" i="6"/>
  <c r="AE99" i="6"/>
  <c r="AE101" i="6"/>
  <c r="AE100" i="6"/>
  <c r="AE104" i="6"/>
  <c r="AE103" i="6"/>
  <c r="AE105" i="6"/>
  <c r="AE109" i="6"/>
  <c r="AE108" i="6"/>
  <c r="AE107" i="6"/>
  <c r="AE112" i="6"/>
  <c r="AE113" i="6"/>
  <c r="AE111" i="6"/>
  <c r="AE118" i="6"/>
  <c r="AE116" i="6"/>
  <c r="AE115" i="6"/>
  <c r="AE117" i="6"/>
  <c r="AE119" i="6"/>
  <c r="AE121" i="6"/>
  <c r="AE120" i="6"/>
  <c r="AE123" i="6"/>
  <c r="AE124" i="6"/>
  <c r="AE126" i="6"/>
  <c r="AE125" i="6"/>
  <c r="AE127" i="6"/>
  <c r="AE128" i="6"/>
  <c r="AE129" i="6"/>
  <c r="AE131" i="6"/>
  <c r="AE133" i="6"/>
  <c r="AE132" i="6"/>
  <c r="AE137" i="6"/>
  <c r="AE138" i="6"/>
  <c r="AE136" i="6"/>
  <c r="AE141" i="6"/>
  <c r="AE142" i="6"/>
  <c r="AE140" i="6"/>
  <c r="AE144" i="6"/>
  <c r="AE146" i="6"/>
  <c r="AE145" i="6"/>
  <c r="AE148" i="6"/>
  <c r="AE149" i="6"/>
  <c r="AE150" i="6"/>
  <c r="AE152" i="6"/>
  <c r="AE153" i="6"/>
  <c r="AE154" i="6"/>
  <c r="AE158" i="6"/>
  <c r="AE156" i="6"/>
  <c r="AE157" i="6"/>
  <c r="AE162" i="6"/>
  <c r="AE160" i="6"/>
  <c r="AE161" i="6"/>
  <c r="AE165" i="6"/>
  <c r="AE166" i="6"/>
  <c r="AE164" i="6"/>
  <c r="AE170" i="6"/>
  <c r="AE169" i="6"/>
  <c r="AE168" i="6"/>
  <c r="AE174" i="6"/>
  <c r="AE173" i="6"/>
  <c r="AE172" i="6"/>
  <c r="AE178" i="6"/>
  <c r="AE177" i="6"/>
  <c r="AE176" i="6"/>
  <c r="AE182" i="6"/>
  <c r="AE181" i="6"/>
  <c r="AE187" i="6"/>
  <c r="AE185" i="6"/>
  <c r="AE186" i="6"/>
  <c r="AE191" i="6"/>
  <c r="AE189" i="6"/>
  <c r="AE190" i="6"/>
  <c r="AE193" i="6"/>
  <c r="AE194" i="6"/>
  <c r="AE195" i="6"/>
  <c r="AE197" i="6"/>
  <c r="AE198" i="6"/>
  <c r="AE199" i="6"/>
  <c r="AE202" i="6"/>
  <c r="AE201" i="6"/>
  <c r="AE203" i="6"/>
  <c r="AE205" i="6"/>
  <c r="AE207" i="6"/>
  <c r="AE206" i="6"/>
  <c r="AE211" i="6"/>
  <c r="AE209" i="6"/>
  <c r="AE210" i="6"/>
  <c r="AE215" i="6"/>
  <c r="AE213" i="6"/>
  <c r="AE219" i="6"/>
  <c r="AE220" i="6"/>
  <c r="AE218" i="6"/>
  <c r="AE223" i="6"/>
  <c r="AE222" i="6"/>
  <c r="AE221" i="6"/>
  <c r="AE226" i="6"/>
  <c r="AE224" i="6"/>
  <c r="AE225" i="6"/>
  <c r="AE227" i="6"/>
  <c r="AE228" i="6"/>
  <c r="AE229" i="6"/>
  <c r="AE230" i="6"/>
  <c r="AE231" i="6"/>
  <c r="AE234" i="6"/>
  <c r="AE233" i="6"/>
  <c r="AE236" i="6"/>
  <c r="AE237" i="6"/>
  <c r="AE239" i="6"/>
  <c r="AE240" i="6"/>
  <c r="AE242" i="6"/>
  <c r="AE243" i="6"/>
  <c r="AE245" i="6"/>
  <c r="AE246" i="6"/>
  <c r="AE248" i="6"/>
  <c r="AE249" i="6"/>
  <c r="T31" i="6"/>
  <c r="T32" i="6"/>
  <c r="T33" i="6"/>
  <c r="T35" i="6"/>
  <c r="T18" i="6"/>
  <c r="T19" i="6"/>
  <c r="T20" i="6"/>
  <c r="T21" i="6"/>
  <c r="T22" i="6"/>
  <c r="T23" i="6"/>
  <c r="T5" i="6"/>
  <c r="T6" i="6"/>
  <c r="T7" i="6"/>
  <c r="T8" i="6"/>
  <c r="T9" i="6"/>
  <c r="T10" i="6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D290" i="3"/>
  <c r="E290" i="3" s="1"/>
  <c r="D101" i="3"/>
  <c r="E101" i="3" s="1"/>
  <c r="D289" i="3"/>
  <c r="E289" i="3" s="1"/>
  <c r="D104" i="3"/>
  <c r="E104" i="3" s="1"/>
  <c r="D288" i="3"/>
  <c r="E288" i="3" s="1"/>
  <c r="D287" i="3"/>
  <c r="E287" i="3" s="1"/>
  <c r="D107" i="3"/>
  <c r="E107" i="3" s="1"/>
  <c r="D286" i="3"/>
  <c r="E286" i="3" s="1"/>
  <c r="D109" i="3"/>
  <c r="E109" i="3" s="1"/>
  <c r="D285" i="3"/>
  <c r="E285" i="3" s="1"/>
  <c r="D284" i="3"/>
  <c r="E284" i="3" s="1"/>
  <c r="D113" i="3"/>
  <c r="E113" i="3" s="1"/>
  <c r="D283" i="3"/>
  <c r="E283" i="3" s="1"/>
  <c r="D114" i="3"/>
  <c r="E114" i="3" s="1"/>
  <c r="D282" i="3"/>
  <c r="E282" i="3" s="1"/>
  <c r="D281" i="3"/>
  <c r="E281" i="3" s="1"/>
  <c r="D118" i="3"/>
  <c r="E118" i="3" s="1"/>
  <c r="D280" i="3"/>
  <c r="E280" i="3" s="1"/>
  <c r="D279" i="3"/>
  <c r="E279" i="3" s="1"/>
  <c r="D120" i="3"/>
  <c r="E120" i="3" s="1"/>
  <c r="D278" i="3"/>
  <c r="E278" i="3" s="1"/>
  <c r="D277" i="3"/>
  <c r="E277" i="3" s="1"/>
  <c r="D123" i="3"/>
  <c r="E123" i="3" s="1"/>
  <c r="D124" i="3"/>
  <c r="E124" i="3" s="1"/>
  <c r="D276" i="3"/>
  <c r="E276" i="3" s="1"/>
  <c r="D126" i="3"/>
  <c r="E126" i="3" s="1"/>
  <c r="D131" i="3"/>
  <c r="E131" i="3" s="1"/>
  <c r="D275" i="3"/>
  <c r="E275" i="3" s="1"/>
  <c r="D132" i="3"/>
  <c r="E132" i="3" s="1"/>
  <c r="D133" i="3"/>
  <c r="E133" i="3" s="1"/>
  <c r="D274" i="3"/>
  <c r="E274" i="3" s="1"/>
  <c r="D135" i="3"/>
  <c r="E135" i="3" s="1"/>
  <c r="D137" i="3"/>
  <c r="E137" i="3" s="1"/>
  <c r="D273" i="3"/>
  <c r="E273" i="3" s="1"/>
  <c r="D139" i="3"/>
  <c r="E139" i="3" s="1"/>
  <c r="D143" i="3"/>
  <c r="E143" i="3" s="1"/>
  <c r="D272" i="3"/>
  <c r="E272" i="3" s="1"/>
  <c r="D145" i="3"/>
  <c r="E145" i="3" s="1"/>
  <c r="D146" i="3"/>
  <c r="E146" i="3" s="1"/>
  <c r="D271" i="3"/>
  <c r="E271" i="3" s="1"/>
  <c r="D148" i="3"/>
  <c r="E148" i="3" s="1"/>
  <c r="D149" i="3"/>
  <c r="E149" i="3" s="1"/>
  <c r="D270" i="3"/>
  <c r="E270" i="3" s="1"/>
  <c r="D150" i="3"/>
  <c r="E150" i="3" s="1"/>
  <c r="D152" i="3"/>
  <c r="E152" i="3" s="1"/>
  <c r="D269" i="3"/>
  <c r="E269" i="3" s="1"/>
  <c r="D154" i="3"/>
  <c r="E154" i="3" s="1"/>
  <c r="D163" i="3"/>
  <c r="E163" i="3" s="1"/>
  <c r="D268" i="3"/>
  <c r="E268" i="3" s="1"/>
  <c r="D164" i="3"/>
  <c r="E164" i="3" s="1"/>
  <c r="D165" i="3"/>
  <c r="E165" i="3" s="1"/>
  <c r="D267" i="3"/>
  <c r="E267" i="3" s="1"/>
  <c r="D168" i="3"/>
  <c r="E168" i="3" s="1"/>
  <c r="D170" i="3"/>
  <c r="E170" i="3" s="1"/>
  <c r="D266" i="3"/>
  <c r="E266" i="3" s="1"/>
  <c r="D171" i="3"/>
  <c r="E171" i="3" s="1"/>
  <c r="D172" i="3"/>
  <c r="E172" i="3" s="1"/>
  <c r="D265" i="3"/>
  <c r="E265" i="3" s="1"/>
  <c r="D173" i="3"/>
  <c r="E173" i="3" s="1"/>
  <c r="D174" i="3"/>
  <c r="E174" i="3" s="1"/>
  <c r="D264" i="3"/>
  <c r="E264" i="3" s="1"/>
  <c r="D178" i="3"/>
  <c r="E178" i="3" s="1"/>
  <c r="D181" i="3"/>
  <c r="E181" i="3" s="1"/>
  <c r="D263" i="3"/>
  <c r="E263" i="3" s="1"/>
  <c r="D182" i="3"/>
  <c r="E182" i="3" s="1"/>
  <c r="D183" i="3"/>
  <c r="E183" i="3" s="1"/>
  <c r="D262" i="3"/>
  <c r="E262" i="3" s="1"/>
  <c r="D189" i="3"/>
  <c r="E189" i="3" s="1"/>
  <c r="D190" i="3"/>
  <c r="E190" i="3" s="1"/>
  <c r="D261" i="3"/>
  <c r="E261" i="3" s="1"/>
  <c r="D191" i="3"/>
  <c r="E191" i="3" s="1"/>
  <c r="D192" i="3"/>
  <c r="E192" i="3" s="1"/>
  <c r="D260" i="3"/>
  <c r="E260" i="3" s="1"/>
  <c r="D195" i="3"/>
  <c r="E195" i="3" s="1"/>
  <c r="D196" i="3"/>
  <c r="E196" i="3" s="1"/>
  <c r="D259" i="3"/>
  <c r="E259" i="3" s="1"/>
  <c r="D198" i="3"/>
  <c r="E198" i="3" s="1"/>
  <c r="D199" i="3"/>
  <c r="E199" i="3" s="1"/>
  <c r="D258" i="3"/>
  <c r="E258" i="3" s="1"/>
  <c r="D200" i="3"/>
  <c r="E200" i="3" s="1"/>
  <c r="D202" i="3"/>
  <c r="E202" i="3" s="1"/>
  <c r="D257" i="3"/>
  <c r="E257" i="3" s="1"/>
  <c r="D203" i="3"/>
  <c r="E203" i="3" s="1"/>
  <c r="D204" i="3"/>
  <c r="E204" i="3" s="1"/>
  <c r="D256" i="3"/>
  <c r="E256" i="3" s="1"/>
  <c r="D205" i="3"/>
  <c r="E205" i="3" s="1"/>
  <c r="D206" i="3"/>
  <c r="E206" i="3" s="1"/>
  <c r="D255" i="3"/>
  <c r="E255" i="3" s="1"/>
  <c r="D208" i="3"/>
  <c r="E208" i="3" s="1"/>
  <c r="D209" i="3"/>
  <c r="E209" i="3" s="1"/>
  <c r="D254" i="3"/>
  <c r="E254" i="3" s="1"/>
  <c r="D211" i="3"/>
  <c r="E211" i="3" s="1"/>
  <c r="D213" i="3"/>
  <c r="E213" i="3" s="1"/>
  <c r="D253" i="3"/>
  <c r="E253" i="3" s="1"/>
  <c r="D216" i="3"/>
  <c r="E216" i="3" s="1"/>
  <c r="D217" i="3"/>
  <c r="E217" i="3" s="1"/>
  <c r="D252" i="3"/>
  <c r="E252" i="3" s="1"/>
  <c r="D218" i="3"/>
  <c r="E218" i="3" s="1"/>
  <c r="D220" i="3"/>
  <c r="E220" i="3" s="1"/>
  <c r="D251" i="3"/>
  <c r="E251" i="3" s="1"/>
  <c r="D221" i="3"/>
  <c r="E221" i="3" s="1"/>
  <c r="D222" i="3"/>
  <c r="E222" i="3" s="1"/>
  <c r="D250" i="3"/>
  <c r="E250" i="3" s="1"/>
  <c r="D223" i="3"/>
  <c r="E223" i="3" s="1"/>
  <c r="D224" i="3"/>
  <c r="E224" i="3" s="1"/>
  <c r="D249" i="3"/>
  <c r="E249" i="3" s="1"/>
  <c r="D226" i="3"/>
  <c r="E226" i="3" s="1"/>
  <c r="D231" i="3"/>
  <c r="E231" i="3" s="1"/>
  <c r="D248" i="3"/>
  <c r="E248" i="3" s="1"/>
  <c r="D235" i="3"/>
  <c r="E235" i="3" s="1"/>
  <c r="D236" i="3"/>
  <c r="E236" i="3" s="1"/>
  <c r="D247" i="3"/>
  <c r="E247" i="3" s="1"/>
  <c r="D238" i="3"/>
  <c r="E238" i="3" s="1"/>
  <c r="D239" i="3"/>
  <c r="E239" i="3" s="1"/>
  <c r="D246" i="3"/>
  <c r="E246" i="3" s="1"/>
  <c r="D377" i="3"/>
  <c r="E377" i="3" s="1"/>
  <c r="D378" i="3"/>
  <c r="E378" i="3" s="1"/>
  <c r="D245" i="3"/>
  <c r="E245" i="3" s="1"/>
  <c r="D379" i="3"/>
  <c r="E379" i="3" s="1"/>
  <c r="D380" i="3"/>
  <c r="E380" i="3" s="1"/>
  <c r="D244" i="3"/>
  <c r="E244" i="3" s="1"/>
  <c r="D381" i="3"/>
  <c r="E381" i="3" s="1"/>
  <c r="D382" i="3"/>
  <c r="E382" i="3" s="1"/>
  <c r="D243" i="3"/>
  <c r="E243" i="3" s="1"/>
  <c r="D383" i="3"/>
  <c r="E383" i="3" s="1"/>
  <c r="D384" i="3"/>
  <c r="E384" i="3" s="1"/>
  <c r="D242" i="3"/>
  <c r="E242" i="3" s="1"/>
  <c r="D385" i="3"/>
  <c r="E385" i="3" s="1"/>
  <c r="D241" i="3"/>
  <c r="E241" i="3" s="1"/>
  <c r="D240" i="3"/>
  <c r="E240" i="3" s="1"/>
  <c r="D386" i="3"/>
  <c r="E386" i="3" s="1"/>
  <c r="D387" i="3"/>
  <c r="E387" i="3" s="1"/>
  <c r="D388" i="3"/>
  <c r="E388" i="3" s="1"/>
  <c r="D389" i="3"/>
  <c r="E389" i="3" s="1"/>
  <c r="D237" i="3"/>
  <c r="E237" i="3" s="1"/>
  <c r="D390" i="3"/>
  <c r="E390" i="3" s="1"/>
  <c r="D391" i="3"/>
  <c r="E391" i="3" s="1"/>
  <c r="D392" i="3"/>
  <c r="E392" i="3" s="1"/>
  <c r="D393" i="3"/>
  <c r="E393" i="3" s="1"/>
  <c r="D234" i="3"/>
  <c r="E234" i="3" s="1"/>
  <c r="D394" i="3"/>
  <c r="E394" i="3" s="1"/>
  <c r="D233" i="3"/>
  <c r="E233" i="3" s="1"/>
  <c r="D395" i="3"/>
  <c r="E395" i="3" s="1"/>
  <c r="D232" i="3"/>
  <c r="E232" i="3" s="1"/>
  <c r="D396" i="3"/>
  <c r="E396" i="3" s="1"/>
  <c r="D397" i="3"/>
  <c r="E397" i="3" s="1"/>
  <c r="D230" i="3"/>
  <c r="E230" i="3" s="1"/>
  <c r="D398" i="3"/>
  <c r="E398" i="3" s="1"/>
  <c r="D229" i="3"/>
  <c r="E229" i="3" s="1"/>
  <c r="D399" i="3"/>
  <c r="E399" i="3" s="1"/>
  <c r="D228" i="3"/>
  <c r="E228" i="3" s="1"/>
  <c r="D400" i="3"/>
  <c r="E400" i="3" s="1"/>
  <c r="D227" i="3"/>
  <c r="E227" i="3" s="1"/>
  <c r="D401" i="3"/>
  <c r="E401" i="3" s="1"/>
  <c r="D225" i="3"/>
  <c r="E225" i="3" s="1"/>
  <c r="D402" i="3"/>
  <c r="E402" i="3" s="1"/>
  <c r="D403" i="3"/>
  <c r="E403" i="3" s="1"/>
  <c r="D404" i="3"/>
  <c r="E404" i="3" s="1"/>
  <c r="D405" i="3"/>
  <c r="E405" i="3" s="1"/>
  <c r="D406" i="3"/>
  <c r="E406" i="3" s="1"/>
  <c r="D219" i="3"/>
  <c r="E219" i="3" s="1"/>
  <c r="D407" i="3"/>
  <c r="E407" i="3" s="1"/>
  <c r="D408" i="3"/>
  <c r="E408" i="3" s="1"/>
  <c r="D409" i="3"/>
  <c r="E409" i="3" s="1"/>
  <c r="D410" i="3"/>
  <c r="E410" i="3" s="1"/>
  <c r="D215" i="3"/>
  <c r="E215" i="3" s="1"/>
  <c r="D411" i="3"/>
  <c r="E411" i="3" s="1"/>
  <c r="D214" i="3"/>
  <c r="E214" i="3" s="1"/>
  <c r="D412" i="3"/>
  <c r="E412" i="3" s="1"/>
  <c r="D413" i="3"/>
  <c r="E413" i="3" s="1"/>
  <c r="D212" i="3"/>
  <c r="E212" i="3" s="1"/>
  <c r="D414" i="3"/>
  <c r="E414" i="3" s="1"/>
  <c r="D210" i="3"/>
  <c r="E210" i="3" s="1"/>
  <c r="D415" i="3"/>
  <c r="E415" i="3" s="1"/>
  <c r="D416" i="3"/>
  <c r="E416" i="3" s="1"/>
  <c r="D417" i="3"/>
  <c r="E417" i="3" s="1"/>
  <c r="D418" i="3"/>
  <c r="E418" i="3" s="1"/>
  <c r="D207" i="3"/>
  <c r="E207" i="3" s="1"/>
  <c r="D419" i="3"/>
  <c r="E419" i="3" s="1"/>
  <c r="D420" i="3"/>
  <c r="E420" i="3" s="1"/>
  <c r="D421" i="3"/>
  <c r="E421" i="3" s="1"/>
  <c r="D422" i="3"/>
  <c r="E422" i="3" s="1"/>
  <c r="D423" i="3"/>
  <c r="E423" i="3" s="1"/>
  <c r="D424" i="3"/>
  <c r="E424" i="3" s="1"/>
  <c r="D425" i="3"/>
  <c r="E425" i="3" s="1"/>
  <c r="D426" i="3"/>
  <c r="E426" i="3" s="1"/>
  <c r="D427" i="3"/>
  <c r="E427" i="3" s="1"/>
  <c r="D201" i="3"/>
  <c r="E201" i="3" s="1"/>
  <c r="D428" i="3"/>
  <c r="E428" i="3" s="1"/>
  <c r="D429" i="3"/>
  <c r="E429" i="3" s="1"/>
  <c r="D430" i="3"/>
  <c r="E430" i="3" s="1"/>
  <c r="D431" i="3"/>
  <c r="E431" i="3" s="1"/>
  <c r="D432" i="3"/>
  <c r="E432" i="3" s="1"/>
  <c r="D197" i="3"/>
  <c r="E197" i="3" s="1"/>
  <c r="D433" i="3"/>
  <c r="E433" i="3" s="1"/>
  <c r="D434" i="3"/>
  <c r="E434" i="3" s="1"/>
  <c r="D435" i="3"/>
  <c r="E435" i="3" s="1"/>
  <c r="D194" i="3"/>
  <c r="E194" i="3" s="1"/>
  <c r="D436" i="3"/>
  <c r="E436" i="3" s="1"/>
  <c r="D193" i="3"/>
  <c r="E193" i="3" s="1"/>
  <c r="D437" i="3"/>
  <c r="E437" i="3" s="1"/>
  <c r="D438" i="3"/>
  <c r="E438" i="3" s="1"/>
  <c r="D439" i="3"/>
  <c r="E439" i="3" s="1"/>
  <c r="D440" i="3"/>
  <c r="E440" i="3" s="1"/>
  <c r="D188" i="3"/>
  <c r="E188" i="3" s="1"/>
  <c r="D441" i="3"/>
  <c r="E441" i="3" s="1"/>
  <c r="D187" i="3"/>
  <c r="E187" i="3" s="1"/>
  <c r="D442" i="3"/>
  <c r="E442" i="3" s="1"/>
  <c r="D186" i="3"/>
  <c r="E186" i="3" s="1"/>
  <c r="D443" i="3"/>
  <c r="E443" i="3" s="1"/>
  <c r="D185" i="3"/>
  <c r="E185" i="3" s="1"/>
  <c r="D444" i="3"/>
  <c r="E444" i="3" s="1"/>
  <c r="D184" i="3"/>
  <c r="E184" i="3" s="1"/>
  <c r="D445" i="3"/>
  <c r="E445" i="3" s="1"/>
  <c r="D446" i="3"/>
  <c r="E446" i="3" s="1"/>
  <c r="D447" i="3"/>
  <c r="E447" i="3" s="1"/>
  <c r="D448" i="3"/>
  <c r="E448" i="3" s="1"/>
  <c r="D449" i="3"/>
  <c r="E449" i="3" s="1"/>
  <c r="D450" i="3"/>
  <c r="E450" i="3" s="1"/>
  <c r="D180" i="3"/>
  <c r="E180" i="3" s="1"/>
  <c r="D451" i="3"/>
  <c r="E451" i="3" s="1"/>
  <c r="D179" i="3"/>
  <c r="E179" i="3" s="1"/>
  <c r="D452" i="3"/>
  <c r="E452" i="3" s="1"/>
  <c r="D453" i="3"/>
  <c r="E453" i="3" s="1"/>
  <c r="D177" i="3"/>
  <c r="E177" i="3" s="1"/>
  <c r="D454" i="3"/>
  <c r="E454" i="3" s="1"/>
  <c r="D176" i="3"/>
  <c r="E176" i="3" s="1"/>
  <c r="D455" i="3"/>
  <c r="E455" i="3" s="1"/>
  <c r="D175" i="3"/>
  <c r="E175" i="3" s="1"/>
  <c r="D456" i="3"/>
  <c r="E456" i="3" s="1"/>
  <c r="D457" i="3"/>
  <c r="E457" i="3" s="1"/>
  <c r="D458" i="3"/>
  <c r="E458" i="3" s="1"/>
  <c r="D459" i="3"/>
  <c r="E459" i="3" s="1"/>
  <c r="D460" i="3"/>
  <c r="E460" i="3" s="1"/>
  <c r="D461" i="3"/>
  <c r="E461" i="3" s="1"/>
  <c r="D462" i="3"/>
  <c r="E462" i="3" s="1"/>
  <c r="D463" i="3"/>
  <c r="E463" i="3" s="1"/>
  <c r="D464" i="3"/>
  <c r="E464" i="3" s="1"/>
  <c r="D465" i="3"/>
  <c r="E465" i="3" s="1"/>
  <c r="D169" i="3"/>
  <c r="E169" i="3" s="1"/>
  <c r="D466" i="3"/>
  <c r="E466" i="3" s="1"/>
  <c r="D467" i="3"/>
  <c r="E467" i="3" s="1"/>
  <c r="D167" i="3"/>
  <c r="E167" i="3" s="1"/>
  <c r="D468" i="3"/>
  <c r="E468" i="3" s="1"/>
  <c r="D166" i="3"/>
  <c r="E166" i="3" s="1"/>
  <c r="D469" i="3"/>
  <c r="E469" i="3" s="1"/>
  <c r="D470" i="3"/>
  <c r="E470" i="3" s="1"/>
  <c r="D471" i="3"/>
  <c r="E471" i="3" s="1"/>
  <c r="D472" i="3"/>
  <c r="E472" i="3" s="1"/>
  <c r="D473" i="3"/>
  <c r="E473" i="3" s="1"/>
  <c r="D474" i="3"/>
  <c r="E474" i="3" s="1"/>
  <c r="D162" i="3"/>
  <c r="E162" i="3" s="1"/>
  <c r="D475" i="3"/>
  <c r="E475" i="3" s="1"/>
  <c r="D161" i="3"/>
  <c r="E161" i="3" s="1"/>
  <c r="D476" i="3"/>
  <c r="E476" i="3" s="1"/>
  <c r="D160" i="3"/>
  <c r="E160" i="3" s="1"/>
  <c r="D477" i="3"/>
  <c r="E477" i="3" s="1"/>
  <c r="D159" i="3"/>
  <c r="E159" i="3" s="1"/>
  <c r="D478" i="3"/>
  <c r="E478" i="3" s="1"/>
  <c r="D158" i="3"/>
  <c r="E158" i="3" s="1"/>
  <c r="D479" i="3"/>
  <c r="E479" i="3" s="1"/>
  <c r="D157" i="3"/>
  <c r="E157" i="3" s="1"/>
  <c r="D156" i="3"/>
  <c r="E156" i="3" s="1"/>
  <c r="D155" i="3"/>
  <c r="E155" i="3" s="1"/>
  <c r="D480" i="3"/>
  <c r="E480" i="3" s="1"/>
  <c r="D153" i="3"/>
  <c r="E153" i="3" s="1"/>
  <c r="D481" i="3"/>
  <c r="E481" i="3" s="1"/>
  <c r="D482" i="3"/>
  <c r="E482" i="3" s="1"/>
  <c r="D483" i="3"/>
  <c r="E483" i="3" s="1"/>
  <c r="D151" i="3"/>
  <c r="E151" i="3" s="1"/>
  <c r="D484" i="3"/>
  <c r="E484" i="3" s="1"/>
  <c r="D485" i="3"/>
  <c r="E485" i="3" s="1"/>
  <c r="D486" i="3"/>
  <c r="E486" i="3" s="1"/>
  <c r="D487" i="3"/>
  <c r="E487" i="3" s="1"/>
  <c r="D488" i="3"/>
  <c r="E488" i="3" s="1"/>
  <c r="D489" i="3"/>
  <c r="E489" i="3" s="1"/>
  <c r="D147" i="3"/>
  <c r="E147" i="3" s="1"/>
  <c r="D490" i="3"/>
  <c r="E490" i="3" s="1"/>
  <c r="D491" i="3"/>
  <c r="E491" i="3" s="1"/>
  <c r="D492" i="3"/>
  <c r="E492" i="3" s="1"/>
  <c r="D144" i="3"/>
  <c r="E144" i="3" s="1"/>
  <c r="D493" i="3"/>
  <c r="E493" i="3" s="1"/>
  <c r="D494" i="3"/>
  <c r="E494" i="3" s="1"/>
  <c r="D142" i="3"/>
  <c r="E142" i="3" s="1"/>
  <c r="D495" i="3"/>
  <c r="E495" i="3" s="1"/>
  <c r="D141" i="3"/>
  <c r="E141" i="3" s="1"/>
  <c r="D496" i="3"/>
  <c r="E496" i="3" s="1"/>
  <c r="D140" i="3"/>
  <c r="E140" i="3" s="1"/>
  <c r="D497" i="3"/>
  <c r="E497" i="3" s="1"/>
  <c r="D498" i="3"/>
  <c r="E498" i="3" s="1"/>
  <c r="D138" i="3"/>
  <c r="E138" i="3" s="1"/>
  <c r="D499" i="3"/>
  <c r="E499" i="3" s="1"/>
  <c r="D500" i="3"/>
  <c r="E500" i="3" s="1"/>
  <c r="D136" i="3"/>
  <c r="E136" i="3" s="1"/>
  <c r="D501" i="3"/>
  <c r="E501" i="3" s="1"/>
  <c r="D367" i="3"/>
  <c r="E367" i="3" s="1"/>
  <c r="D134" i="3"/>
  <c r="E134" i="3" s="1"/>
  <c r="D368" i="3"/>
  <c r="E368" i="3" s="1"/>
  <c r="D365" i="3"/>
  <c r="E365" i="3" s="1"/>
  <c r="D369" i="3"/>
  <c r="E369" i="3" s="1"/>
  <c r="D370" i="3"/>
  <c r="E370" i="3" s="1"/>
  <c r="D364" i="3"/>
  <c r="E364" i="3" s="1"/>
  <c r="D130" i="3"/>
  <c r="E130" i="3" s="1"/>
  <c r="D371" i="3"/>
  <c r="E371" i="3" s="1"/>
  <c r="D129" i="3"/>
  <c r="E129" i="3" s="1"/>
  <c r="D128" i="3"/>
  <c r="E128" i="3" s="1"/>
  <c r="D372" i="3"/>
  <c r="E372" i="3" s="1"/>
  <c r="D127" i="3"/>
  <c r="E127" i="3" s="1"/>
  <c r="D363" i="3"/>
  <c r="E363" i="3" s="1"/>
  <c r="D373" i="3"/>
  <c r="E373" i="3" s="1"/>
  <c r="D125" i="3"/>
  <c r="E125" i="3" s="1"/>
  <c r="D374" i="3"/>
  <c r="E374" i="3" s="1"/>
  <c r="D375" i="3"/>
  <c r="E375" i="3" s="1"/>
  <c r="D362" i="3"/>
  <c r="E362" i="3" s="1"/>
  <c r="D376" i="3"/>
  <c r="E376" i="3" s="1"/>
  <c r="D361" i="3"/>
  <c r="E361" i="3" s="1"/>
  <c r="C5" i="3"/>
  <c r="D121" i="3"/>
  <c r="E121" i="3" s="1"/>
  <c r="D6" i="3"/>
  <c r="E6" i="3" s="1"/>
  <c r="D360" i="3"/>
  <c r="E360" i="3" s="1"/>
  <c r="D119" i="3"/>
  <c r="E119" i="3" s="1"/>
  <c r="D359" i="3"/>
  <c r="E359" i="3" s="1"/>
  <c r="D358" i="3"/>
  <c r="E358" i="3" s="1"/>
  <c r="D117" i="3"/>
  <c r="E117" i="3" s="1"/>
  <c r="D10" i="3"/>
  <c r="E10" i="3" s="1"/>
  <c r="D116" i="3"/>
  <c r="E116" i="3" s="1"/>
  <c r="D357" i="3"/>
  <c r="E357" i="3" s="1"/>
  <c r="D115" i="3"/>
  <c r="E115" i="3" s="1"/>
  <c r="D11" i="3"/>
  <c r="E11" i="3" s="1"/>
  <c r="D356" i="3"/>
  <c r="E356" i="3" s="1"/>
  <c r="D355" i="3"/>
  <c r="E355" i="3" s="1"/>
  <c r="D15" i="3"/>
  <c r="E15" i="3" s="1"/>
  <c r="D112" i="3"/>
  <c r="E112" i="3" s="1"/>
  <c r="D354" i="3"/>
  <c r="E354" i="3" s="1"/>
  <c r="D111" i="3"/>
  <c r="E111" i="3" s="1"/>
  <c r="D353" i="3"/>
  <c r="E353" i="3" s="1"/>
  <c r="D110" i="3"/>
  <c r="E110" i="3" s="1"/>
  <c r="D352" i="3"/>
  <c r="E352" i="3" s="1"/>
  <c r="D18" i="3"/>
  <c r="E18" i="3" s="1"/>
  <c r="D108" i="3"/>
  <c r="E108" i="3" s="1"/>
  <c r="D351" i="3"/>
  <c r="E351" i="3" s="1"/>
  <c r="D350" i="3"/>
  <c r="E350" i="3" s="1"/>
  <c r="D106" i="3"/>
  <c r="E106" i="3" s="1"/>
  <c r="D349" i="3"/>
  <c r="E349" i="3" s="1"/>
  <c r="D105" i="3"/>
  <c r="E105" i="3" s="1"/>
  <c r="D24" i="3"/>
  <c r="E24" i="3" s="1"/>
  <c r="D25" i="3"/>
  <c r="E25" i="3" s="1"/>
  <c r="D348" i="3"/>
  <c r="E348" i="3" s="1"/>
  <c r="D103" i="3"/>
  <c r="E103" i="3" s="1"/>
  <c r="D26" i="3"/>
  <c r="E26" i="3" s="1"/>
  <c r="D102" i="3"/>
  <c r="E102" i="3" s="1"/>
  <c r="D347" i="3"/>
  <c r="E347" i="3" s="1"/>
  <c r="D27" i="3"/>
  <c r="E27" i="3" s="1"/>
  <c r="D346" i="3"/>
  <c r="E346" i="3" s="1"/>
  <c r="D32" i="3"/>
  <c r="E32" i="3" s="1"/>
  <c r="D345" i="3"/>
  <c r="E345" i="3" s="1"/>
  <c r="D344" i="3"/>
  <c r="E344" i="3" s="1"/>
  <c r="D343" i="3"/>
  <c r="E343" i="3" s="1"/>
  <c r="D36" i="3"/>
  <c r="E36" i="3" s="1"/>
  <c r="D37" i="3"/>
  <c r="E37" i="3" s="1"/>
  <c r="D342" i="3"/>
  <c r="E342" i="3" s="1"/>
  <c r="D95" i="3"/>
  <c r="E95" i="3" s="1"/>
  <c r="D341" i="3"/>
  <c r="E341" i="3" s="1"/>
  <c r="D340" i="3"/>
  <c r="E340" i="3" s="1"/>
  <c r="D93" i="3"/>
  <c r="E93" i="3" s="1"/>
  <c r="D40" i="3"/>
  <c r="E40" i="3" s="1"/>
  <c r="D339" i="3"/>
  <c r="E339" i="3" s="1"/>
  <c r="D91" i="3"/>
  <c r="E91" i="3" s="1"/>
  <c r="D41" i="3"/>
  <c r="E41" i="3" s="1"/>
  <c r="D338" i="3"/>
  <c r="E338" i="3" s="1"/>
  <c r="D42" i="3"/>
  <c r="E42" i="3" s="1"/>
  <c r="D88" i="3"/>
  <c r="E88" i="3" s="1"/>
  <c r="D337" i="3"/>
  <c r="E337" i="3" s="1"/>
  <c r="D87" i="3"/>
  <c r="E87" i="3" s="1"/>
  <c r="D336" i="3"/>
  <c r="E336" i="3" s="1"/>
  <c r="D44" i="3"/>
  <c r="E44" i="3" s="1"/>
  <c r="D335" i="3"/>
  <c r="E335" i="3" s="1"/>
  <c r="D85" i="3"/>
  <c r="E85" i="3" s="1"/>
  <c r="D46" i="3"/>
  <c r="E46" i="3" s="1"/>
  <c r="D334" i="3"/>
  <c r="E334" i="3" s="1"/>
  <c r="D83" i="3"/>
  <c r="E83" i="3" s="1"/>
  <c r="D333" i="3"/>
  <c r="E333" i="3" s="1"/>
  <c r="D82" i="3"/>
  <c r="E82" i="3" s="1"/>
  <c r="D81" i="3"/>
  <c r="E81" i="3" s="1"/>
  <c r="D80" i="3"/>
  <c r="E80" i="3" s="1"/>
  <c r="D49" i="3"/>
  <c r="E49" i="3" s="1"/>
  <c r="D332" i="3"/>
  <c r="E332" i="3" s="1"/>
  <c r="D50" i="3"/>
  <c r="E50" i="3" s="1"/>
  <c r="D77" i="3"/>
  <c r="E77" i="3" s="1"/>
  <c r="D331" i="3"/>
  <c r="E331" i="3" s="1"/>
  <c r="D330" i="3"/>
  <c r="E330" i="3" s="1"/>
  <c r="D74" i="3"/>
  <c r="E74" i="3" s="1"/>
  <c r="D329" i="3"/>
  <c r="E329" i="3" s="1"/>
  <c r="D328" i="3"/>
  <c r="E328" i="3" s="1"/>
  <c r="D72" i="3"/>
  <c r="E72" i="3" s="1"/>
  <c r="D54" i="3"/>
  <c r="E54" i="3" s="1"/>
  <c r="D71" i="3"/>
  <c r="E71" i="3" s="1"/>
  <c r="D327" i="3"/>
  <c r="E327" i="3" s="1"/>
  <c r="D326" i="3"/>
  <c r="E326" i="3" s="1"/>
  <c r="D69" i="3"/>
  <c r="E69" i="3" s="1"/>
  <c r="D325" i="3"/>
  <c r="E325" i="3" s="1"/>
  <c r="D60" i="3"/>
  <c r="E60" i="3" s="1"/>
  <c r="D324" i="3"/>
  <c r="E324" i="3" s="1"/>
  <c r="D61" i="3"/>
  <c r="E61" i="3" s="1"/>
  <c r="D66" i="3"/>
  <c r="E66" i="3" s="1"/>
  <c r="D323" i="3"/>
  <c r="E323" i="3" s="1"/>
  <c r="D122" i="3"/>
  <c r="E122" i="3" s="1"/>
  <c r="D62" i="3"/>
  <c r="E62" i="3" s="1"/>
  <c r="D322" i="3"/>
  <c r="E322" i="3" s="1"/>
  <c r="D59" i="3"/>
  <c r="E59" i="3" s="1"/>
  <c r="D321" i="3"/>
  <c r="E321" i="3" s="1"/>
  <c r="D58" i="3"/>
  <c r="E58" i="3" s="1"/>
  <c r="D63" i="3"/>
  <c r="E63" i="3" s="1"/>
  <c r="D57" i="3"/>
  <c r="E57" i="3" s="1"/>
  <c r="D320" i="3"/>
  <c r="E320" i="3" s="1"/>
  <c r="D56" i="3"/>
  <c r="E56" i="3" s="1"/>
  <c r="D64" i="3"/>
  <c r="E64" i="3" s="1"/>
  <c r="D55" i="3"/>
  <c r="E55" i="3" s="1"/>
  <c r="D319" i="3"/>
  <c r="E319" i="3" s="1"/>
  <c r="D53" i="3"/>
  <c r="E53" i="3" s="1"/>
  <c r="D52" i="3"/>
  <c r="E52" i="3" s="1"/>
  <c r="D318" i="3"/>
  <c r="E318" i="3" s="1"/>
  <c r="D51" i="3"/>
  <c r="E51" i="3" s="1"/>
  <c r="D65" i="3"/>
  <c r="E65" i="3" s="1"/>
  <c r="D317" i="3"/>
  <c r="E317" i="3" s="1"/>
  <c r="D67" i="3"/>
  <c r="E67" i="3" s="1"/>
  <c r="D48" i="3"/>
  <c r="E48" i="3" s="1"/>
  <c r="D316" i="3"/>
  <c r="E316" i="3" s="1"/>
  <c r="D47" i="3"/>
  <c r="E47" i="3" s="1"/>
  <c r="D68" i="3"/>
  <c r="E68" i="3" s="1"/>
  <c r="D315" i="3"/>
  <c r="E315" i="3" s="1"/>
  <c r="D45" i="3"/>
  <c r="E45" i="3" s="1"/>
  <c r="D70" i="3"/>
  <c r="E70" i="3" s="1"/>
  <c r="D314" i="3"/>
  <c r="E314" i="3" s="1"/>
  <c r="D43" i="3"/>
  <c r="E43" i="3" s="1"/>
  <c r="D313" i="3"/>
  <c r="E313" i="3" s="1"/>
  <c r="D73" i="3"/>
  <c r="E73" i="3" s="1"/>
  <c r="D312" i="3"/>
  <c r="E312" i="3" s="1"/>
  <c r="D39" i="3"/>
  <c r="E39" i="3" s="1"/>
  <c r="D38" i="3"/>
  <c r="E38" i="3" s="1"/>
  <c r="D311" i="3"/>
  <c r="E311" i="3" s="1"/>
  <c r="D75" i="3"/>
  <c r="E75" i="3" s="1"/>
  <c r="D310" i="3"/>
  <c r="E310" i="3" s="1"/>
  <c r="D76" i="3"/>
  <c r="E76" i="3" s="1"/>
  <c r="D35" i="3"/>
  <c r="E35" i="3" s="1"/>
  <c r="D309" i="3"/>
  <c r="E309" i="3" s="1"/>
  <c r="D34" i="3"/>
  <c r="E34" i="3" s="1"/>
  <c r="D33" i="3"/>
  <c r="E33" i="3" s="1"/>
  <c r="D308" i="3"/>
  <c r="E308" i="3" s="1"/>
  <c r="D31" i="3"/>
  <c r="E31" i="3" s="1"/>
  <c r="D78" i="3"/>
  <c r="E78" i="3" s="1"/>
  <c r="D307" i="3"/>
  <c r="E307" i="3" s="1"/>
  <c r="D30" i="3"/>
  <c r="E30" i="3" s="1"/>
  <c r="D79" i="3"/>
  <c r="E79" i="3" s="1"/>
  <c r="D306" i="3"/>
  <c r="E306" i="3" s="1"/>
  <c r="D29" i="3"/>
  <c r="E29" i="3" s="1"/>
  <c r="D305" i="3"/>
  <c r="E305" i="3" s="1"/>
  <c r="D366" i="3"/>
  <c r="E366" i="3" s="1"/>
  <c r="D28" i="3"/>
  <c r="E28" i="3" s="1"/>
  <c r="D304" i="3"/>
  <c r="E304" i="3" s="1"/>
  <c r="D303" i="3"/>
  <c r="E303" i="3" s="1"/>
  <c r="D84" i="3"/>
  <c r="E84" i="3" s="1"/>
  <c r="D302" i="3"/>
  <c r="E302" i="3" s="1"/>
  <c r="D301" i="3"/>
  <c r="E301" i="3" s="1"/>
  <c r="D23" i="3"/>
  <c r="E23" i="3" s="1"/>
  <c r="D22" i="3"/>
  <c r="E22" i="3" s="1"/>
  <c r="D21" i="3"/>
  <c r="E21" i="3" s="1"/>
  <c r="D20" i="3"/>
  <c r="E20" i="3" s="1"/>
  <c r="D19" i="3"/>
  <c r="E19" i="3" s="1"/>
  <c r="D86" i="3"/>
  <c r="E86" i="3" s="1"/>
  <c r="D300" i="3"/>
  <c r="E300" i="3" s="1"/>
  <c r="D89" i="3"/>
  <c r="E89" i="3" s="1"/>
  <c r="D16" i="3"/>
  <c r="E16" i="3" s="1"/>
  <c r="D299" i="3"/>
  <c r="E299" i="3" s="1"/>
  <c r="D90" i="3"/>
  <c r="E90" i="3" s="1"/>
  <c r="D14" i="3"/>
  <c r="E14" i="3" s="1"/>
  <c r="D298" i="3"/>
  <c r="E298" i="3" s="1"/>
  <c r="D13" i="3"/>
  <c r="E13" i="3" s="1"/>
  <c r="D12" i="3"/>
  <c r="E12" i="3" s="1"/>
  <c r="D297" i="3"/>
  <c r="E297" i="3" s="1"/>
  <c r="D92" i="3"/>
  <c r="E92" i="3" s="1"/>
  <c r="D296" i="3"/>
  <c r="E296" i="3" s="1"/>
  <c r="D94" i="3"/>
  <c r="E94" i="3" s="1"/>
  <c r="D8" i="3"/>
  <c r="E8" i="3" s="1"/>
  <c r="D7" i="3"/>
  <c r="E7" i="3" s="1"/>
  <c r="D295" i="3"/>
  <c r="E295" i="3" s="1"/>
  <c r="D294" i="3"/>
  <c r="E294" i="3" s="1"/>
  <c r="E5" i="3"/>
  <c r="D96" i="3"/>
  <c r="E96" i="3" s="1"/>
  <c r="D97" i="3"/>
  <c r="E97" i="3" s="1"/>
  <c r="D293" i="3"/>
  <c r="E293" i="3" s="1"/>
  <c r="D98" i="3"/>
  <c r="E98" i="3" s="1"/>
  <c r="D292" i="3"/>
  <c r="E292" i="3" s="1"/>
  <c r="D99" i="3"/>
  <c r="E99" i="3" s="1"/>
  <c r="D291" i="3"/>
  <c r="E291" i="3" s="1"/>
  <c r="D17" i="3"/>
  <c r="E17" i="3" s="1"/>
  <c r="D100" i="3"/>
  <c r="E100" i="3" s="1"/>
  <c r="D9" i="3"/>
  <c r="E9" i="3" s="1"/>
  <c r="BC35" i="6" l="1"/>
  <c r="I143" i="8"/>
  <c r="I145" i="8" s="1"/>
  <c r="BJ16" i="6"/>
  <c r="BD27" i="6"/>
  <c r="BD29" i="6" s="1"/>
  <c r="BJ15" i="6"/>
  <c r="BJ13" i="6"/>
  <c r="BJ14" i="6"/>
  <c r="BC17" i="6"/>
  <c r="BJ12" i="6"/>
  <c r="BC37" i="6" l="1"/>
  <c r="G153" i="8"/>
  <c r="BK16" i="6"/>
  <c r="C148" i="8"/>
  <c r="BK15" i="6"/>
  <c r="C147" i="8"/>
  <c r="BK13" i="6"/>
  <c r="C145" i="8"/>
  <c r="BK14" i="6"/>
  <c r="C146" i="8"/>
  <c r="BK12" i="6"/>
  <c r="C144" i="8"/>
  <c r="I146" i="8" l="1"/>
  <c r="E153" i="8"/>
  <c r="BM14" i="6"/>
  <c r="F153" i="8" s="1"/>
  <c r="BD30" i="6"/>
  <c r="D148" i="8"/>
  <c r="BM16" i="6"/>
  <c r="BN16" i="6" s="1"/>
  <c r="D147" i="8"/>
  <c r="BM15" i="6"/>
  <c r="BN15" i="6" s="1"/>
  <c r="D145" i="8"/>
  <c r="BM13" i="6"/>
  <c r="BN13" i="6" s="1"/>
  <c r="D146" i="8"/>
  <c r="BC38" i="6"/>
  <c r="D144" i="8"/>
  <c r="BM12" i="6"/>
  <c r="BN12" i="6" s="1"/>
  <c r="BN14" i="6" l="1"/>
  <c r="BC39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<sst xmlns="http://schemas.openxmlformats.org/spreadsheetml/2006/main" count="3817" uniqueCount="2722">
  <si>
    <t>Ativo</t>
  </si>
  <si>
    <t>Data</t>
  </si>
  <si>
    <t>Abertura</t>
  </si>
  <si>
    <t>Máximo</t>
  </si>
  <si>
    <t>Mínimo</t>
  </si>
  <si>
    <t>Fechamento</t>
  </si>
  <si>
    <t>Volume</t>
  </si>
  <si>
    <t>Quantidade</t>
  </si>
  <si>
    <t>CCMFUT</t>
  </si>
  <si>
    <t>ANÁLISE DIÁRIA</t>
  </si>
  <si>
    <t>Var %</t>
  </si>
  <si>
    <t>Máximo Acum</t>
  </si>
  <si>
    <t>Drawdown %</t>
  </si>
  <si>
    <t>ANÁLISE SEMANAL</t>
  </si>
  <si>
    <t>Semana</t>
  </si>
  <si>
    <t>Fech. Semana</t>
  </si>
  <si>
    <t>2024-S29</t>
  </si>
  <si>
    <t>2024-S30</t>
  </si>
  <si>
    <t>2024-S31</t>
  </si>
  <si>
    <t>2024-S32</t>
  </si>
  <si>
    <t>2024-S33</t>
  </si>
  <si>
    <t>2024-S34</t>
  </si>
  <si>
    <t>2024-S35</t>
  </si>
  <si>
    <t>2024-S36</t>
  </si>
  <si>
    <t>2024-S37</t>
  </si>
  <si>
    <t>2024-S38</t>
  </si>
  <si>
    <t>2024-S39</t>
  </si>
  <si>
    <t>2024-S40</t>
  </si>
  <si>
    <t>2024-S41</t>
  </si>
  <si>
    <t>2024-S42</t>
  </si>
  <si>
    <t>2024-S43</t>
  </si>
  <si>
    <t>2024-S44</t>
  </si>
  <si>
    <t>2024-S45</t>
  </si>
  <si>
    <t>2024-S46</t>
  </si>
  <si>
    <t>2024-S47</t>
  </si>
  <si>
    <t>2024-S48</t>
  </si>
  <si>
    <t>2024-S49</t>
  </si>
  <si>
    <t>2024-S50</t>
  </si>
  <si>
    <t>2024-S51</t>
  </si>
  <si>
    <t>2024-S52</t>
  </si>
  <si>
    <t>2024-S53</t>
  </si>
  <si>
    <t>2025-S01</t>
  </si>
  <si>
    <t>2025-S02</t>
  </si>
  <si>
    <t>2025-S03</t>
  </si>
  <si>
    <t>2025-S04</t>
  </si>
  <si>
    <t>2025-S05</t>
  </si>
  <si>
    <t>2025-S06</t>
  </si>
  <si>
    <t>2025-S07</t>
  </si>
  <si>
    <t>2025-S08</t>
  </si>
  <si>
    <t>2025-S09</t>
  </si>
  <si>
    <t>2025-S10</t>
  </si>
  <si>
    <t>2025-S11</t>
  </si>
  <si>
    <t>2025-S12</t>
  </si>
  <si>
    <t>2025-S13</t>
  </si>
  <si>
    <t>2025-S14</t>
  </si>
  <si>
    <t>2025-S15</t>
  </si>
  <si>
    <t>2025-S16</t>
  </si>
  <si>
    <t>2025-S17</t>
  </si>
  <si>
    <t>2025-S18</t>
  </si>
  <si>
    <t>2025-S19</t>
  </si>
  <si>
    <t>2025-S20</t>
  </si>
  <si>
    <t>2025-S21</t>
  </si>
  <si>
    <t>2025-S22</t>
  </si>
  <si>
    <t>2025-S23</t>
  </si>
  <si>
    <t>2025-S24</t>
  </si>
  <si>
    <t>2025-S25</t>
  </si>
  <si>
    <t>2025-S26</t>
  </si>
  <si>
    <t>2025-S27</t>
  </si>
  <si>
    <t>2025-S28</t>
  </si>
  <si>
    <t>2025-S29</t>
  </si>
  <si>
    <t>2025-S30</t>
  </si>
  <si>
    <t>2025-S31</t>
  </si>
  <si>
    <t>2025-S32</t>
  </si>
  <si>
    <t>2025-S33</t>
  </si>
  <si>
    <t>2025-S34</t>
  </si>
  <si>
    <t>2025-S35</t>
  </si>
  <si>
    <t>2025-S36</t>
  </si>
  <si>
    <t>2025-S37</t>
  </si>
  <si>
    <t>2025-S38</t>
  </si>
  <si>
    <t>2025-S39</t>
  </si>
  <si>
    <t>2025-S40</t>
  </si>
  <si>
    <t>2025-S41</t>
  </si>
  <si>
    <t>2025-S42</t>
  </si>
  <si>
    <t>2025-S43</t>
  </si>
  <si>
    <t>2025-S44</t>
  </si>
  <si>
    <t>2025-S45</t>
  </si>
  <si>
    <t>2025-S46</t>
  </si>
  <si>
    <t>2025-S47</t>
  </si>
  <si>
    <t>2025-S48</t>
  </si>
  <si>
    <t>2025-S49</t>
  </si>
  <si>
    <t>2025-S50</t>
  </si>
  <si>
    <t>2025-S51</t>
  </si>
  <si>
    <t>2025-S52</t>
  </si>
  <si>
    <t>2025-S53</t>
  </si>
  <si>
    <t>2026-S01</t>
  </si>
  <si>
    <t>2026-S02</t>
  </si>
  <si>
    <t>2026-S03</t>
  </si>
  <si>
    <t>2026-S04</t>
  </si>
  <si>
    <t>2026-S05</t>
  </si>
  <si>
    <t>2026-S06</t>
  </si>
  <si>
    <t>2026-S07</t>
  </si>
  <si>
    <t>2026-S08</t>
  </si>
  <si>
    <t>2026-S09</t>
  </si>
  <si>
    <t>2026-S10</t>
  </si>
  <si>
    <t>2026-S11</t>
  </si>
  <si>
    <t>2026-S12</t>
  </si>
  <si>
    <t>2026-S13</t>
  </si>
  <si>
    <t>2026-S14</t>
  </si>
  <si>
    <t>2026-S15</t>
  </si>
  <si>
    <t>2026-S16</t>
  </si>
  <si>
    <t>2026-S17</t>
  </si>
  <si>
    <t>2026-S18</t>
  </si>
  <si>
    <t>2026-S19</t>
  </si>
  <si>
    <t>2026-S20</t>
  </si>
  <si>
    <t>2026-S21</t>
  </si>
  <si>
    <t>2026-S22</t>
  </si>
  <si>
    <t>2026-S23</t>
  </si>
  <si>
    <t>2026-S24</t>
  </si>
  <si>
    <t>2026-S25</t>
  </si>
  <si>
    <t>2026-S26</t>
  </si>
  <si>
    <t>2026-S27</t>
  </si>
  <si>
    <t>2026-S28</t>
  </si>
  <si>
    <t>2026-S29</t>
  </si>
  <si>
    <t>ANÁLISE MENSAL</t>
  </si>
  <si>
    <t>Mês</t>
  </si>
  <si>
    <t>Fech. Mês</t>
  </si>
  <si>
    <t>Ago/2024</t>
  </si>
  <si>
    <t>Set/2024</t>
  </si>
  <si>
    <t>Out/2024</t>
  </si>
  <si>
    <t>Dez/2024</t>
  </si>
  <si>
    <t>Fev/2025</t>
  </si>
  <si>
    <t>Abr/2025</t>
  </si>
  <si>
    <t>Mai/2025</t>
  </si>
  <si>
    <t>Ago/2025</t>
  </si>
  <si>
    <t>Set/2025</t>
  </si>
  <si>
    <t>Out/2025</t>
  </si>
  <si>
    <t>Dez/2025</t>
  </si>
  <si>
    <t>Fev/2026</t>
  </si>
  <si>
    <t>Abr/2026</t>
  </si>
  <si>
    <t>Mai/2026</t>
  </si>
  <si>
    <t>RESUMO ESTATÍSTICO - DIÁRIO</t>
  </si>
  <si>
    <t>Métrica</t>
  </si>
  <si>
    <t>Média Variação</t>
  </si>
  <si>
    <t>Desvio Padrão (σ)</t>
  </si>
  <si>
    <t>Média - 1σ</t>
  </si>
  <si>
    <t>Média + 1σ</t>
  </si>
  <si>
    <t>Média - 2σ</t>
  </si>
  <si>
    <t>Média + 2σ</t>
  </si>
  <si>
    <t>Média - 3σ</t>
  </si>
  <si>
    <t>Média + 3σ</t>
  </si>
  <si>
    <t>Drawdown Máximo</t>
  </si>
  <si>
    <t>Drawdown Médio</t>
  </si>
  <si>
    <t>Valor</t>
  </si>
  <si>
    <t>RESUMO ESTATÍSTICO - SEMANAL</t>
  </si>
  <si>
    <t>RESUMO ESTATÍSTICO - MENSAL</t>
  </si>
  <si>
    <t>COMPARATIVO DE BANDAS DE DESVIO PADRÃO</t>
  </si>
  <si>
    <t>Banda</t>
  </si>
  <si>
    <t>Diário</t>
  </si>
  <si>
    <t>Semanal</t>
  </si>
  <si>
    <t>Mensal</t>
  </si>
  <si>
    <t>Média</t>
  </si>
  <si>
    <t>COMPARATIVO DE DRAWDOWN</t>
  </si>
  <si>
    <t>DASHBOARD DE ANÁLISE - CCMFUT</t>
  </si>
  <si>
    <t>Análise de Variação e Drawdown | Período: Jul/2024 a Jul/2026</t>
  </si>
  <si>
    <t>📊 DIÁRIO</t>
  </si>
  <si>
    <t>Desvio Padrão</t>
  </si>
  <si>
    <t>Drawdown Máx</t>
  </si>
  <si>
    <t>Observações</t>
  </si>
  <si>
    <t>📈 SEMANAL</t>
  </si>
  <si>
    <t>Semanas</t>
  </si>
  <si>
    <t>📅 MENSAL</t>
  </si>
  <si>
    <t>Meses</t>
  </si>
  <si>
    <t>BANDAS DE DESVIO PADRÃO (σ)</t>
  </si>
  <si>
    <t>Descrição</t>
  </si>
  <si>
    <t>Evento raro (0.3%)</t>
  </si>
  <si>
    <t>Outlier (5%)</t>
  </si>
  <si>
    <t>Abaixo normal (16%)</t>
  </si>
  <si>
    <t>Centro da distribuição</t>
  </si>
  <si>
    <t>Acima normal (16%)</t>
  </si>
  <si>
    <t>ANÁLISE DE DRAWDOWN</t>
  </si>
  <si>
    <t>Interpretação</t>
  </si>
  <si>
    <t>Maior perda acumulada do pico</t>
  </si>
  <si>
    <t>Perda média durante quedas</t>
  </si>
  <si>
    <t>INDICADORES DE RISCO</t>
  </si>
  <si>
    <t>Volatilidade Anualizada</t>
  </si>
  <si>
    <t>Sharpe Ratio (aprox.)</t>
  </si>
  <si>
    <t>Var 95% Diário</t>
  </si>
  <si>
    <t>anual</t>
  </si>
  <si>
    <t>Risco total no ano</t>
  </si>
  <si>
    <t>ratio</t>
  </si>
  <si>
    <t>Retorno/Risco</t>
  </si>
  <si>
    <t>diário</t>
  </si>
  <si>
    <t>Perda máxima 95% confiança</t>
  </si>
  <si>
    <t>-3σ</t>
  </si>
  <si>
    <t>-2σ</t>
  </si>
  <si>
    <t>-1σ</t>
  </si>
  <si>
    <t>+1σ</t>
  </si>
  <si>
    <t>+2σ</t>
  </si>
  <si>
    <t>+3σ</t>
  </si>
  <si>
    <t>Tipo</t>
  </si>
  <si>
    <t>DD Máximo</t>
  </si>
  <si>
    <t>DD Médio</t>
  </si>
  <si>
    <t>Dashboard gerado automaticamente | Dados: CCMFUT_F_0_Diário | Atualizado: 18/07/2026</t>
  </si>
  <si>
    <t>À vista R$</t>
  </si>
  <si>
    <t>03/01/2022</t>
  </si>
  <si>
    <t>92,01</t>
  </si>
  <si>
    <t>04/01/2022</t>
  </si>
  <si>
    <t>92,72</t>
  </si>
  <si>
    <t>05/01/2022</t>
  </si>
  <si>
    <t>92,81</t>
  </si>
  <si>
    <t>06/01/2022</t>
  </si>
  <si>
    <t>93,28</t>
  </si>
  <si>
    <t>07/01/2022</t>
  </si>
  <si>
    <t>93,52</t>
  </si>
  <si>
    <t>10/01/2022</t>
  </si>
  <si>
    <t>94,43</t>
  </si>
  <si>
    <t>11/01/2022</t>
  </si>
  <si>
    <t>95,13</t>
  </si>
  <si>
    <t>12/01/2022</t>
  </si>
  <si>
    <t>95,27</t>
  </si>
  <si>
    <t>13/01/2022</t>
  </si>
  <si>
    <t>96,50</t>
  </si>
  <si>
    <t>14/01/2022</t>
  </si>
  <si>
    <t>96,77</t>
  </si>
  <si>
    <t>17/01/2022</t>
  </si>
  <si>
    <t>97,16</t>
  </si>
  <si>
    <t>18/01/2022</t>
  </si>
  <si>
    <t>97,39</t>
  </si>
  <si>
    <t>19/01/2022</t>
  </si>
  <si>
    <t>97,70</t>
  </si>
  <si>
    <t>20/01/2022</t>
  </si>
  <si>
    <t>98,13</t>
  </si>
  <si>
    <t>21/01/2022</t>
  </si>
  <si>
    <t>98,33</t>
  </si>
  <si>
    <t>24/01/2022</t>
  </si>
  <si>
    <t>97,93</t>
  </si>
  <si>
    <t>25/01/2022</t>
  </si>
  <si>
    <t>97,76</t>
  </si>
  <si>
    <t>26/01/2022</t>
  </si>
  <si>
    <t>97,90</t>
  </si>
  <si>
    <t>27/01/2022</t>
  </si>
  <si>
    <t>97,37</t>
  </si>
  <si>
    <t>28/01/2022</t>
  </si>
  <si>
    <t>97,40</t>
  </si>
  <si>
    <t>31/01/2022</t>
  </si>
  <si>
    <t>97,42</t>
  </si>
  <si>
    <t>01/02/2022</t>
  </si>
  <si>
    <t>02/02/2022</t>
  </si>
  <si>
    <t>97,14</t>
  </si>
  <si>
    <t>03/02/2022</t>
  </si>
  <si>
    <t>96,82</t>
  </si>
  <si>
    <t>04/02/2022</t>
  </si>
  <si>
    <t>97,13</t>
  </si>
  <si>
    <t>07/02/2022</t>
  </si>
  <si>
    <t>96,97</t>
  </si>
  <si>
    <t>08/02/2022</t>
  </si>
  <si>
    <t>09/02/2022</t>
  </si>
  <si>
    <t>96,93</t>
  </si>
  <si>
    <t>10/02/2022</t>
  </si>
  <si>
    <t>97,08</t>
  </si>
  <si>
    <t>11/02/2022</t>
  </si>
  <si>
    <t>97,05</t>
  </si>
  <si>
    <t>14/02/2022</t>
  </si>
  <si>
    <t>95,98</t>
  </si>
  <si>
    <t>15/02/2022</t>
  </si>
  <si>
    <t>96,55</t>
  </si>
  <si>
    <t>16/02/2022</t>
  </si>
  <si>
    <t>96,53</t>
  </si>
  <si>
    <t>17/02/2022</t>
  </si>
  <si>
    <t>96,51</t>
  </si>
  <si>
    <t>18/02/2022</t>
  </si>
  <si>
    <t>96,49</t>
  </si>
  <si>
    <t>21/02/2022</t>
  </si>
  <si>
    <t>96,52</t>
  </si>
  <si>
    <t>22/02/2022</t>
  </si>
  <si>
    <t>96,80</t>
  </si>
  <si>
    <t>23/02/2022</t>
  </si>
  <si>
    <t>96,85</t>
  </si>
  <si>
    <t>24/02/2022</t>
  </si>
  <si>
    <t>96,89</t>
  </si>
  <si>
    <t>25/02/2022</t>
  </si>
  <si>
    <t>97,34</t>
  </si>
  <si>
    <t>02/03/2022</t>
  </si>
  <si>
    <t>97,20</t>
  </si>
  <si>
    <t>03/03/2022</t>
  </si>
  <si>
    <t>97,72</t>
  </si>
  <si>
    <t>04/03/2022</t>
  </si>
  <si>
    <t>98,15</t>
  </si>
  <si>
    <t>07/03/2022</t>
  </si>
  <si>
    <t>100,19</t>
  </si>
  <si>
    <t>08/03/2022</t>
  </si>
  <si>
    <t>101,36</t>
  </si>
  <si>
    <t>09/03/2022</t>
  </si>
  <si>
    <t>101,25</t>
  </si>
  <si>
    <t>10/03/2022</t>
  </si>
  <si>
    <t>101,42</t>
  </si>
  <si>
    <t>11/03/2022</t>
  </si>
  <si>
    <t>103,57</t>
  </si>
  <si>
    <t>14/03/2022</t>
  </si>
  <si>
    <t>103,90</t>
  </si>
  <si>
    <t>15/03/2022</t>
  </si>
  <si>
    <t>103,87</t>
  </si>
  <si>
    <t>16/03/2022</t>
  </si>
  <si>
    <t>103,74</t>
  </si>
  <si>
    <t>17/03/2022</t>
  </si>
  <si>
    <t>18/03/2022</t>
  </si>
  <si>
    <t>102,59</t>
  </si>
  <si>
    <t>21/03/2022</t>
  </si>
  <si>
    <t>102,63</t>
  </si>
  <si>
    <t>22/03/2022</t>
  </si>
  <si>
    <t>101,29</t>
  </si>
  <si>
    <t>23/03/2022</t>
  </si>
  <si>
    <t>99,93</t>
  </si>
  <si>
    <t>24/03/2022</t>
  </si>
  <si>
    <t>99,20</t>
  </si>
  <si>
    <t>25/03/2022</t>
  </si>
  <si>
    <t>96,98</t>
  </si>
  <si>
    <t>28/03/2022</t>
  </si>
  <si>
    <t>96,16</t>
  </si>
  <si>
    <t>29/03/2022</t>
  </si>
  <si>
    <t>92,77</t>
  </si>
  <si>
    <t>30/03/2022</t>
  </si>
  <si>
    <t>92,70</t>
  </si>
  <si>
    <t>31/03/2022</t>
  </si>
  <si>
    <t>93,09</t>
  </si>
  <si>
    <t>01/04/2022</t>
  </si>
  <si>
    <t>92,04</t>
  </si>
  <si>
    <t>04/04/2022</t>
  </si>
  <si>
    <t>91,55</t>
  </si>
  <si>
    <t>05/04/2022</t>
  </si>
  <si>
    <t>90,19</t>
  </si>
  <si>
    <t>06/04/2022</t>
  </si>
  <si>
    <t>89,46</t>
  </si>
  <si>
    <t>07/04/2022</t>
  </si>
  <si>
    <t>89,06</t>
  </si>
  <si>
    <t>08/04/2022</t>
  </si>
  <si>
    <t>89,02</t>
  </si>
  <si>
    <t>11/04/2022</t>
  </si>
  <si>
    <t>88,90</t>
  </si>
  <si>
    <t>12/04/2022</t>
  </si>
  <si>
    <t>88,17</t>
  </si>
  <si>
    <t>13/04/2022</t>
  </si>
  <si>
    <t>87,56</t>
  </si>
  <si>
    <t>14/04/2022</t>
  </si>
  <si>
    <t>87,30</t>
  </si>
  <si>
    <t>18/04/2022</t>
  </si>
  <si>
    <t>87,63</t>
  </si>
  <si>
    <t>19/04/2022</t>
  </si>
  <si>
    <t>88,03</t>
  </si>
  <si>
    <t>20/04/2022</t>
  </si>
  <si>
    <t>87,87</t>
  </si>
  <si>
    <t>22/04/2022</t>
  </si>
  <si>
    <t>87,93</t>
  </si>
  <si>
    <t>25/04/2022</t>
  </si>
  <si>
    <t>88,71</t>
  </si>
  <si>
    <t>26/04/2022</t>
  </si>
  <si>
    <t>88,51</t>
  </si>
  <si>
    <t>27/04/2022</t>
  </si>
  <si>
    <t>88,21</t>
  </si>
  <si>
    <t>28/04/2022</t>
  </si>
  <si>
    <t>88,38</t>
  </si>
  <si>
    <t>29/04/2022</t>
  </si>
  <si>
    <t>88,25</t>
  </si>
  <si>
    <t>02/05/2022</t>
  </si>
  <si>
    <t>03/05/2022</t>
  </si>
  <si>
    <t>87,60</t>
  </si>
  <si>
    <t>04/05/2022</t>
  </si>
  <si>
    <t>87,55</t>
  </si>
  <si>
    <t>05/05/2022</t>
  </si>
  <si>
    <t>87,41</t>
  </si>
  <si>
    <t>06/05/2022</t>
  </si>
  <si>
    <t>86,63</t>
  </si>
  <si>
    <t>09/05/2022</t>
  </si>
  <si>
    <t>86,15</t>
  </si>
  <si>
    <t>10/05/2022</t>
  </si>
  <si>
    <t>85,83</t>
  </si>
  <si>
    <t>11/05/2022</t>
  </si>
  <si>
    <t>86,08</t>
  </si>
  <si>
    <t>12/05/2022</t>
  </si>
  <si>
    <t>86,40</t>
  </si>
  <si>
    <t>13/05/2022</t>
  </si>
  <si>
    <t>86,54</t>
  </si>
  <si>
    <t>16/05/2022</t>
  </si>
  <si>
    <t>87,97</t>
  </si>
  <si>
    <t>17/05/2022</t>
  </si>
  <si>
    <t>89,09</t>
  </si>
  <si>
    <t>18/05/2022</t>
  </si>
  <si>
    <t>89,28</t>
  </si>
  <si>
    <t>19/05/2022</t>
  </si>
  <si>
    <t>89,23</t>
  </si>
  <si>
    <t>20/05/2022</t>
  </si>
  <si>
    <t>88,48</t>
  </si>
  <si>
    <t>23/05/2022</t>
  </si>
  <si>
    <t>24/05/2022</t>
  </si>
  <si>
    <t>87,43</t>
  </si>
  <si>
    <t>25/05/2022</t>
  </si>
  <si>
    <t>87,33</t>
  </si>
  <si>
    <t>26/05/2022</t>
  </si>
  <si>
    <t>86,99</t>
  </si>
  <si>
    <t>27/05/2022</t>
  </si>
  <si>
    <t>86,90</t>
  </si>
  <si>
    <t>30/05/2022</t>
  </si>
  <si>
    <t>86,84</t>
  </si>
  <si>
    <t>31/05/2022</t>
  </si>
  <si>
    <t>86,25</t>
  </si>
  <si>
    <t>01/06/2022</t>
  </si>
  <si>
    <t>85,80</t>
  </si>
  <si>
    <t>02/06/2022</t>
  </si>
  <si>
    <t>85,52</t>
  </si>
  <si>
    <t>03/06/2022</t>
  </si>
  <si>
    <t>85,07</t>
  </si>
  <si>
    <t>06/06/2022</t>
  </si>
  <si>
    <t>84,80</t>
  </si>
  <si>
    <t>07/06/2022</t>
  </si>
  <si>
    <t>85,56</t>
  </si>
  <si>
    <t>08/06/2022</t>
  </si>
  <si>
    <t>85,86</t>
  </si>
  <si>
    <t>09/06/2022</t>
  </si>
  <si>
    <t>85,85</t>
  </si>
  <si>
    <t>10/06/2022</t>
  </si>
  <si>
    <t>85,42</t>
  </si>
  <si>
    <t>13/06/2022</t>
  </si>
  <si>
    <t>85,41</t>
  </si>
  <si>
    <t>14/06/2022</t>
  </si>
  <si>
    <t>86,42</t>
  </si>
  <si>
    <t>15/06/2022</t>
  </si>
  <si>
    <t>17/06/2022</t>
  </si>
  <si>
    <t>86,32</t>
  </si>
  <si>
    <t>20/06/2022</t>
  </si>
  <si>
    <t>87,42</t>
  </si>
  <si>
    <t>21/06/2022</t>
  </si>
  <si>
    <t>87,15</t>
  </si>
  <si>
    <t>22/06/2022</t>
  </si>
  <si>
    <t>87,04</t>
  </si>
  <si>
    <t>23/06/2022</t>
  </si>
  <si>
    <t>85,92</t>
  </si>
  <si>
    <t>24/06/2022</t>
  </si>
  <si>
    <t>85,65</t>
  </si>
  <si>
    <t>27/06/2022</t>
  </si>
  <si>
    <t>84,75</t>
  </si>
  <si>
    <t>28/06/2022</t>
  </si>
  <si>
    <t>83,90</t>
  </si>
  <si>
    <t>29/06/2022</t>
  </si>
  <si>
    <t>84,85</t>
  </si>
  <si>
    <t>30/06/2022</t>
  </si>
  <si>
    <t>83,55</t>
  </si>
  <si>
    <t>01/07/2022</t>
  </si>
  <si>
    <t>83,16</t>
  </si>
  <si>
    <t>04/07/2022</t>
  </si>
  <si>
    <t>83,24</t>
  </si>
  <si>
    <t>05/07/2022</t>
  </si>
  <si>
    <t>82,60</t>
  </si>
  <si>
    <t>06/07/2022</t>
  </si>
  <si>
    <t>82,19</t>
  </si>
  <si>
    <t>07/07/2022</t>
  </si>
  <si>
    <t>81,68</t>
  </si>
  <si>
    <t>08/07/2022</t>
  </si>
  <si>
    <t>81,50</t>
  </si>
  <si>
    <t>11/07/2022</t>
  </si>
  <si>
    <t>82,36</t>
  </si>
  <si>
    <t>12/07/2022</t>
  </si>
  <si>
    <t>83,12</t>
  </si>
  <si>
    <t>13/07/2022</t>
  </si>
  <si>
    <t>82,73</t>
  </si>
  <si>
    <t>14/07/2022</t>
  </si>
  <si>
    <t>82,58</t>
  </si>
  <si>
    <t>15/07/2022</t>
  </si>
  <si>
    <t>82,46</t>
  </si>
  <si>
    <t>18/07/2022</t>
  </si>
  <si>
    <t>19/07/2022</t>
  </si>
  <si>
    <t>81,67</t>
  </si>
  <si>
    <t>20/07/2022</t>
  </si>
  <si>
    <t>81,41</t>
  </si>
  <si>
    <t>21/07/2022</t>
  </si>
  <si>
    <t>80,85</t>
  </si>
  <si>
    <t>22/07/2022</t>
  </si>
  <si>
    <t>80,06</t>
  </si>
  <si>
    <t>25/07/2022</t>
  </si>
  <si>
    <t>80,20</t>
  </si>
  <si>
    <t>26/07/2022</t>
  </si>
  <si>
    <t>81,27</t>
  </si>
  <si>
    <t>27/07/2022</t>
  </si>
  <si>
    <t>81,40</t>
  </si>
  <si>
    <t>28/07/2022</t>
  </si>
  <si>
    <t>81,78</t>
  </si>
  <si>
    <t>29/07/2022</t>
  </si>
  <si>
    <t>82,93</t>
  </si>
  <si>
    <t>01/08/2022</t>
  </si>
  <si>
    <t>82,64</t>
  </si>
  <si>
    <t>02/08/2022</t>
  </si>
  <si>
    <t>03/08/2022</t>
  </si>
  <si>
    <t>82,41</t>
  </si>
  <si>
    <t>04/08/2022</t>
  </si>
  <si>
    <t>82,24</t>
  </si>
  <si>
    <t>05/08/2022</t>
  </si>
  <si>
    <t>81,91</t>
  </si>
  <si>
    <t>08/08/2022</t>
  </si>
  <si>
    <t>82,05</t>
  </si>
  <si>
    <t>09/08/2022</t>
  </si>
  <si>
    <t>81,63</t>
  </si>
  <si>
    <t>10/08/2022</t>
  </si>
  <si>
    <t>82,76</t>
  </si>
  <si>
    <t>11/08/2022</t>
  </si>
  <si>
    <t>81,94</t>
  </si>
  <si>
    <t>12/08/2022</t>
  </si>
  <si>
    <t>81,55</t>
  </si>
  <si>
    <t>15/08/2022</t>
  </si>
  <si>
    <t>16/08/2022</t>
  </si>
  <si>
    <t>82,11</t>
  </si>
  <si>
    <t>17/08/2022</t>
  </si>
  <si>
    <t>82,77</t>
  </si>
  <si>
    <t>18/08/2022</t>
  </si>
  <si>
    <t>82,10</t>
  </si>
  <si>
    <t>19/08/2022</t>
  </si>
  <si>
    <t>82,16</t>
  </si>
  <si>
    <t>22/08/2022</t>
  </si>
  <si>
    <t>81,90</t>
  </si>
  <si>
    <t>23/08/2022</t>
  </si>
  <si>
    <t>82,69</t>
  </si>
  <si>
    <t>24/08/2022</t>
  </si>
  <si>
    <t>25/08/2022</t>
  </si>
  <si>
    <t>83,31</t>
  </si>
  <si>
    <t>26/08/2022</t>
  </si>
  <si>
    <t>83,60</t>
  </si>
  <si>
    <t>29/08/2022</t>
  </si>
  <si>
    <t>83,80</t>
  </si>
  <si>
    <t>30/08/2022</t>
  </si>
  <si>
    <t>83,73</t>
  </si>
  <si>
    <t>31/08/2022</t>
  </si>
  <si>
    <t>83,94</t>
  </si>
  <si>
    <t>01/09/2022</t>
  </si>
  <si>
    <t>83,66</t>
  </si>
  <si>
    <t>02/09/2022</t>
  </si>
  <si>
    <t>83,39</t>
  </si>
  <si>
    <t>05/09/2022</t>
  </si>
  <si>
    <t>83,26</t>
  </si>
  <si>
    <t>06/09/2022</t>
  </si>
  <si>
    <t>83,54</t>
  </si>
  <si>
    <t>08/09/2022</t>
  </si>
  <si>
    <t>83,25</t>
  </si>
  <si>
    <t>09/09/2022</t>
  </si>
  <si>
    <t>83,43</t>
  </si>
  <si>
    <t>12/09/2022</t>
  </si>
  <si>
    <t>83,95</t>
  </si>
  <si>
    <t>13/09/2022</t>
  </si>
  <si>
    <t>83,72</t>
  </si>
  <si>
    <t>14/09/2022</t>
  </si>
  <si>
    <t>84,28</t>
  </si>
  <si>
    <t>15/09/2022</t>
  </si>
  <si>
    <t>84,55</t>
  </si>
  <si>
    <t>16/09/2022</t>
  </si>
  <si>
    <t>84,35</t>
  </si>
  <si>
    <t>19/09/2022</t>
  </si>
  <si>
    <t>84,02</t>
  </si>
  <si>
    <t>20/09/2022</t>
  </si>
  <si>
    <t>84,21</t>
  </si>
  <si>
    <t>21/09/2022</t>
  </si>
  <si>
    <t>84,24</t>
  </si>
  <si>
    <t>22/09/2022</t>
  </si>
  <si>
    <t>84,56</t>
  </si>
  <si>
    <t>23/09/2022</t>
  </si>
  <si>
    <t>84,54</t>
  </si>
  <si>
    <t>26/09/2022</t>
  </si>
  <si>
    <t>84,58</t>
  </si>
  <si>
    <t>27/09/2022</t>
  </si>
  <si>
    <t>84,72</t>
  </si>
  <si>
    <t>28/09/2022</t>
  </si>
  <si>
    <t>84,25</t>
  </si>
  <si>
    <t>29/09/2022</t>
  </si>
  <si>
    <t>30/09/2022</t>
  </si>
  <si>
    <t>84,42</t>
  </si>
  <si>
    <t>03/10/2022</t>
  </si>
  <si>
    <t>84,14</t>
  </si>
  <si>
    <t>04/10/2022</t>
  </si>
  <si>
    <t>83,27</t>
  </si>
  <si>
    <t>05/10/2022</t>
  </si>
  <si>
    <t>82,91</t>
  </si>
  <si>
    <t>06/10/2022</t>
  </si>
  <si>
    <t>83,04</t>
  </si>
  <si>
    <t>07/10/2022</t>
  </si>
  <si>
    <t>83,05</t>
  </si>
  <si>
    <t>10/10/2022</t>
  </si>
  <si>
    <t>83,50</t>
  </si>
  <si>
    <t>11/10/2022</t>
  </si>
  <si>
    <t>83,86</t>
  </si>
  <si>
    <t>13/10/2022</t>
  </si>
  <si>
    <t>14/10/2022</t>
  </si>
  <si>
    <t>84,67</t>
  </si>
  <si>
    <t>17/10/2022</t>
  </si>
  <si>
    <t>84,86</t>
  </si>
  <si>
    <t>18/10/2022</t>
  </si>
  <si>
    <t>85,38</t>
  </si>
  <si>
    <t>19/10/2022</t>
  </si>
  <si>
    <t>20/10/2022</t>
  </si>
  <si>
    <t>85,21</t>
  </si>
  <si>
    <t>21/10/2022</t>
  </si>
  <si>
    <t>85,28</t>
  </si>
  <si>
    <t>24/10/2022</t>
  </si>
  <si>
    <t>85,08</t>
  </si>
  <si>
    <t>25/10/2022</t>
  </si>
  <si>
    <t>84,91</t>
  </si>
  <si>
    <t>26/10/2022</t>
  </si>
  <si>
    <t>85,12</t>
  </si>
  <si>
    <t>27/10/2022</t>
  </si>
  <si>
    <t>85,35</t>
  </si>
  <si>
    <t>28/10/2022</t>
  </si>
  <si>
    <t>85,69</t>
  </si>
  <si>
    <t>31/10/2022</t>
  </si>
  <si>
    <t>01/11/2022</t>
  </si>
  <si>
    <t>85,11</t>
  </si>
  <si>
    <t>03/11/2022</t>
  </si>
  <si>
    <t>84,76</t>
  </si>
  <si>
    <t>04/11/2022</t>
  </si>
  <si>
    <t>84,95</t>
  </si>
  <si>
    <t>07/11/2022</t>
  </si>
  <si>
    <t>85,19</t>
  </si>
  <si>
    <t>08/11/2022</t>
  </si>
  <si>
    <t>85,30</t>
  </si>
  <si>
    <t>09/11/2022</t>
  </si>
  <si>
    <t>10/11/2022</t>
  </si>
  <si>
    <t>84,48</t>
  </si>
  <si>
    <t>11/11/2022</t>
  </si>
  <si>
    <t>83,74</t>
  </si>
  <si>
    <t>14/11/2022</t>
  </si>
  <si>
    <t>84,00</t>
  </si>
  <si>
    <t>16/11/2022</t>
  </si>
  <si>
    <t>83,69</t>
  </si>
  <si>
    <t>17/11/2022</t>
  </si>
  <si>
    <t>84,06</t>
  </si>
  <si>
    <t>18/11/2022</t>
  </si>
  <si>
    <t>84,77</t>
  </si>
  <si>
    <t>21/11/2022</t>
  </si>
  <si>
    <t>22/11/2022</t>
  </si>
  <si>
    <t>23/11/2022</t>
  </si>
  <si>
    <t>85,51</t>
  </si>
  <si>
    <t>24/11/2022</t>
  </si>
  <si>
    <t>85,87</t>
  </si>
  <si>
    <t>25/11/2022</t>
  </si>
  <si>
    <t>85,48</t>
  </si>
  <si>
    <t>28/11/2022</t>
  </si>
  <si>
    <t>85,96</t>
  </si>
  <si>
    <t>29/11/2022</t>
  </si>
  <si>
    <t>85,76</t>
  </si>
  <si>
    <t>30/11/2022</t>
  </si>
  <si>
    <t>86,20</t>
  </si>
  <si>
    <t>01/12/2022</t>
  </si>
  <si>
    <t>86,00</t>
  </si>
  <si>
    <t>02/12/2022</t>
  </si>
  <si>
    <t>86,03</t>
  </si>
  <si>
    <t>05/12/2022</t>
  </si>
  <si>
    <t>85,54</t>
  </si>
  <si>
    <t>06/12/2022</t>
  </si>
  <si>
    <t>86,10</t>
  </si>
  <si>
    <t>07/12/2022</t>
  </si>
  <si>
    <t>86,19</t>
  </si>
  <si>
    <t>08/12/2022</t>
  </si>
  <si>
    <t>85,90</t>
  </si>
  <si>
    <t>09/12/2022</t>
  </si>
  <si>
    <t>12/12/2022</t>
  </si>
  <si>
    <t>13/12/2022</t>
  </si>
  <si>
    <t>14/12/2022</t>
  </si>
  <si>
    <t>85,79</t>
  </si>
  <si>
    <t>15/12/2022</t>
  </si>
  <si>
    <t>85,91</t>
  </si>
  <si>
    <t>16/12/2022</t>
  </si>
  <si>
    <t>86,44</t>
  </si>
  <si>
    <t>19/12/2022</t>
  </si>
  <si>
    <t>86,05</t>
  </si>
  <si>
    <t>20/12/2022</t>
  </si>
  <si>
    <t>85,98</t>
  </si>
  <si>
    <t>21/12/2022</t>
  </si>
  <si>
    <t>85,82</t>
  </si>
  <si>
    <t>22/12/2022</t>
  </si>
  <si>
    <t>85,58</t>
  </si>
  <si>
    <t>23/12/2022</t>
  </si>
  <si>
    <t>26/12/2022</t>
  </si>
  <si>
    <t>27/12/2022</t>
  </si>
  <si>
    <t>86,61</t>
  </si>
  <si>
    <t>28/12/2022</t>
  </si>
  <si>
    <t>29/12/2022</t>
  </si>
  <si>
    <t>86,07</t>
  </si>
  <si>
    <t>02/01/2023</t>
  </si>
  <si>
    <t>86,09</t>
  </si>
  <si>
    <t>03/01/2023</t>
  </si>
  <si>
    <t>04/01/2023</t>
  </si>
  <si>
    <t>86,35</t>
  </si>
  <si>
    <t>05/01/2023</t>
  </si>
  <si>
    <t>87,72</t>
  </si>
  <si>
    <t>06/01/2023</t>
  </si>
  <si>
    <t>87,50</t>
  </si>
  <si>
    <t>09/01/2023</t>
  </si>
  <si>
    <t>87,27</t>
  </si>
  <si>
    <t>10/01/2023</t>
  </si>
  <si>
    <t>11/01/2023</t>
  </si>
  <si>
    <t>87,19</t>
  </si>
  <si>
    <t>12/01/2023</t>
  </si>
  <si>
    <t>86,86</t>
  </si>
  <si>
    <t>13/01/2023</t>
  </si>
  <si>
    <t>86,87</t>
  </si>
  <si>
    <t>16/01/2023</t>
  </si>
  <si>
    <t>86,39</t>
  </si>
  <si>
    <t>17/01/2023</t>
  </si>
  <si>
    <t>18/01/2023</t>
  </si>
  <si>
    <t>19/01/2023</t>
  </si>
  <si>
    <t>20/01/2023</t>
  </si>
  <si>
    <t>85,33</t>
  </si>
  <si>
    <t>23/01/2023</t>
  </si>
  <si>
    <t>85,43</t>
  </si>
  <si>
    <t>24/01/2023</t>
  </si>
  <si>
    <t>85,17</t>
  </si>
  <si>
    <t>25/01/2023</t>
  </si>
  <si>
    <t>85,22</t>
  </si>
  <si>
    <t>26/01/2023</t>
  </si>
  <si>
    <t>84,88</t>
  </si>
  <si>
    <t>27/01/2023</t>
  </si>
  <si>
    <t>84,74</t>
  </si>
  <si>
    <t>30/01/2023</t>
  </si>
  <si>
    <t>31/01/2023</t>
  </si>
  <si>
    <t>85,49</t>
  </si>
  <si>
    <t>01/02/2023</t>
  </si>
  <si>
    <t>02/02/2023</t>
  </si>
  <si>
    <t>85,04</t>
  </si>
  <si>
    <t>03/02/2023</t>
  </si>
  <si>
    <t>84,98</t>
  </si>
  <si>
    <t>06/02/2023</t>
  </si>
  <si>
    <t>07/02/2023</t>
  </si>
  <si>
    <t>84,87</t>
  </si>
  <si>
    <t>08/02/2023</t>
  </si>
  <si>
    <t>84,90</t>
  </si>
  <si>
    <t>09/02/2023</t>
  </si>
  <si>
    <t>10/02/2023</t>
  </si>
  <si>
    <t>13/02/2023</t>
  </si>
  <si>
    <t>14/02/2023</t>
  </si>
  <si>
    <t>86,26</t>
  </si>
  <si>
    <t>15/02/2023</t>
  </si>
  <si>
    <t>86,06</t>
  </si>
  <si>
    <t>16/02/2023</t>
  </si>
  <si>
    <t>86,24</t>
  </si>
  <si>
    <t>17/02/2023</t>
  </si>
  <si>
    <t>85,73</t>
  </si>
  <si>
    <t>22/02/2023</t>
  </si>
  <si>
    <t>23/02/2023</t>
  </si>
  <si>
    <t>86,22</t>
  </si>
  <si>
    <t>24/02/2023</t>
  </si>
  <si>
    <t>27/02/2023</t>
  </si>
  <si>
    <t>28/02/2023</t>
  </si>
  <si>
    <t>01/03/2023</t>
  </si>
  <si>
    <t>86,11</t>
  </si>
  <si>
    <t>02/03/2023</t>
  </si>
  <si>
    <t>86,36</t>
  </si>
  <si>
    <t>03/03/2023</t>
  </si>
  <si>
    <t>06/03/2023</t>
  </si>
  <si>
    <t>07/03/2023</t>
  </si>
  <si>
    <t>85,84</t>
  </si>
  <si>
    <t>08/03/2023</t>
  </si>
  <si>
    <t>09/03/2023</t>
  </si>
  <si>
    <t>85,47</t>
  </si>
  <si>
    <t>10/03/2023</t>
  </si>
  <si>
    <t>85,32</t>
  </si>
  <si>
    <t>13/03/2023</t>
  </si>
  <si>
    <t>85,61</t>
  </si>
  <si>
    <t>14/03/2023</t>
  </si>
  <si>
    <t>15/03/2023</t>
  </si>
  <si>
    <t>16/03/2023</t>
  </si>
  <si>
    <t>85,37</t>
  </si>
  <si>
    <t>17/03/2023</t>
  </si>
  <si>
    <t>85,24</t>
  </si>
  <si>
    <t>20/03/2023</t>
  </si>
  <si>
    <t>84,66</t>
  </si>
  <si>
    <t>21/03/2023</t>
  </si>
  <si>
    <t>84,46</t>
  </si>
  <si>
    <t>22/03/2023</t>
  </si>
  <si>
    <t>84,36</t>
  </si>
  <si>
    <t>23/03/2023</t>
  </si>
  <si>
    <t>83,91</t>
  </si>
  <si>
    <t>24/03/2023</t>
  </si>
  <si>
    <t>84,18</t>
  </si>
  <si>
    <t>27/03/2023</t>
  </si>
  <si>
    <t>28/03/2023</t>
  </si>
  <si>
    <t>29/03/2023</t>
  </si>
  <si>
    <t>83,17</t>
  </si>
  <si>
    <t>30/03/2023</t>
  </si>
  <si>
    <t>82,90</t>
  </si>
  <si>
    <t>31/03/2023</t>
  </si>
  <si>
    <t>03/04/2023</t>
  </si>
  <si>
    <t>82,40</t>
  </si>
  <si>
    <t>04/04/2023</t>
  </si>
  <si>
    <t>81,12</t>
  </si>
  <si>
    <t>05/04/2023</t>
  </si>
  <si>
    <t>80,89</t>
  </si>
  <si>
    <t>06/04/2023</t>
  </si>
  <si>
    <t>80,24</t>
  </si>
  <si>
    <t>10/04/2023</t>
  </si>
  <si>
    <t>79,39</t>
  </si>
  <si>
    <t>11/04/2023</t>
  </si>
  <si>
    <t>78,34</t>
  </si>
  <si>
    <t>12/04/2023</t>
  </si>
  <si>
    <t>77,66</t>
  </si>
  <si>
    <t>13/04/2023</t>
  </si>
  <si>
    <t>76,88</t>
  </si>
  <si>
    <t>14/04/2023</t>
  </si>
  <si>
    <t>75,99</t>
  </si>
  <si>
    <t>17/04/2023</t>
  </si>
  <si>
    <t>75,29</t>
  </si>
  <si>
    <t>18/04/2023</t>
  </si>
  <si>
    <t>73,92</t>
  </si>
  <si>
    <t>19/04/2023</t>
  </si>
  <si>
    <t>72,76</t>
  </si>
  <si>
    <t>20/04/2023</t>
  </si>
  <si>
    <t>70,60</t>
  </si>
  <si>
    <t>24/04/2023</t>
  </si>
  <si>
    <t>70,11</t>
  </si>
  <si>
    <t>25/04/2023</t>
  </si>
  <si>
    <t>69,75</t>
  </si>
  <si>
    <t>26/04/2023</t>
  </si>
  <si>
    <t>68,68</t>
  </si>
  <si>
    <t>27/04/2023</t>
  </si>
  <si>
    <t>67,71</t>
  </si>
  <si>
    <t>28/04/2023</t>
  </si>
  <si>
    <t>65,61</t>
  </si>
  <si>
    <t>02/05/2023</t>
  </si>
  <si>
    <t>64,50</t>
  </si>
  <si>
    <t>03/05/2023</t>
  </si>
  <si>
    <t>64,15</t>
  </si>
  <si>
    <t>04/05/2023</t>
  </si>
  <si>
    <t>62,85</t>
  </si>
  <si>
    <t>05/05/2023</t>
  </si>
  <si>
    <t>62,32</t>
  </si>
  <si>
    <t>08/05/2023</t>
  </si>
  <si>
    <t>61,75</t>
  </si>
  <si>
    <t>09/05/2023</t>
  </si>
  <si>
    <t>60,46</t>
  </si>
  <si>
    <t>10/05/2023</t>
  </si>
  <si>
    <t>60,13</t>
  </si>
  <si>
    <t>11/05/2023</t>
  </si>
  <si>
    <t>58,69</t>
  </si>
  <si>
    <t>12/05/2023</t>
  </si>
  <si>
    <t>58,79</t>
  </si>
  <si>
    <t>15/05/2023</t>
  </si>
  <si>
    <t>58,83</t>
  </si>
  <si>
    <t>16/05/2023</t>
  </si>
  <si>
    <t>58,84</t>
  </si>
  <si>
    <t>17/05/2023</t>
  </si>
  <si>
    <t>57,43</t>
  </si>
  <si>
    <t>18/05/2023</t>
  </si>
  <si>
    <t>56,51</t>
  </si>
  <si>
    <t>19/05/2023</t>
  </si>
  <si>
    <t>56,04</t>
  </si>
  <si>
    <t>22/05/2023</t>
  </si>
  <si>
    <t>55,83</t>
  </si>
  <si>
    <t>23/05/2023</t>
  </si>
  <si>
    <t>55,16</t>
  </si>
  <si>
    <t>24/05/2023</t>
  </si>
  <si>
    <t>54,56</t>
  </si>
  <si>
    <t>25/05/2023</t>
  </si>
  <si>
    <t>55,00</t>
  </si>
  <si>
    <t>26/05/2023</t>
  </si>
  <si>
    <t>54,82</t>
  </si>
  <si>
    <t>29/05/2023</t>
  </si>
  <si>
    <t>54,83</t>
  </si>
  <si>
    <t>30/05/2023</t>
  </si>
  <si>
    <t>54,27</t>
  </si>
  <si>
    <t>31/05/2023</t>
  </si>
  <si>
    <t>53,77</t>
  </si>
  <si>
    <t>01/06/2023</t>
  </si>
  <si>
    <t>53,90</t>
  </si>
  <si>
    <t>02/06/2023</t>
  </si>
  <si>
    <t>53,72</t>
  </si>
  <si>
    <t>05/06/2023</t>
  </si>
  <si>
    <t>53,63</t>
  </si>
  <si>
    <t>06/06/2023</t>
  </si>
  <si>
    <t>54,07</t>
  </si>
  <si>
    <t>07/06/2023</t>
  </si>
  <si>
    <t>09/06/2023</t>
  </si>
  <si>
    <t>53,73</t>
  </si>
  <si>
    <t>12/06/2023</t>
  </si>
  <si>
    <t>13/06/2023</t>
  </si>
  <si>
    <t>14/06/2023</t>
  </si>
  <si>
    <t>54,33</t>
  </si>
  <si>
    <t>15/06/2023</t>
  </si>
  <si>
    <t>54,35</t>
  </si>
  <si>
    <t>16/06/2023</t>
  </si>
  <si>
    <t>54,36</t>
  </si>
  <si>
    <t>19/06/2023</t>
  </si>
  <si>
    <t>54,47</t>
  </si>
  <si>
    <t>20/06/2023</t>
  </si>
  <si>
    <t>21/06/2023</t>
  </si>
  <si>
    <t>55,52</t>
  </si>
  <si>
    <t>22/06/2023</t>
  </si>
  <si>
    <t>57,07</t>
  </si>
  <si>
    <t>23/06/2023</t>
  </si>
  <si>
    <t>57,36</t>
  </si>
  <si>
    <t>26/06/2023</t>
  </si>
  <si>
    <t>57,41</t>
  </si>
  <si>
    <t>27/06/2023</t>
  </si>
  <si>
    <t>57,67</t>
  </si>
  <si>
    <t>28/06/2023</t>
  </si>
  <si>
    <t>56,36</t>
  </si>
  <si>
    <t>29/06/2023</t>
  </si>
  <si>
    <t>56,12</t>
  </si>
  <si>
    <t>30/06/2023</t>
  </si>
  <si>
    <t>55,36</t>
  </si>
  <si>
    <t>03/07/2023</t>
  </si>
  <si>
    <t>55,53</t>
  </si>
  <si>
    <t>04/07/2023</t>
  </si>
  <si>
    <t>55,68</t>
  </si>
  <si>
    <t>05/07/2023</t>
  </si>
  <si>
    <t>06/07/2023</t>
  </si>
  <si>
    <t>55,35</t>
  </si>
  <si>
    <t>07/07/2023</t>
  </si>
  <si>
    <t>55,88</t>
  </si>
  <si>
    <t>10/07/2023</t>
  </si>
  <si>
    <t>55,79</t>
  </si>
  <si>
    <t>11/07/2023</t>
  </si>
  <si>
    <t>55,24</t>
  </si>
  <si>
    <t>12/07/2023</t>
  </si>
  <si>
    <t>55,29</t>
  </si>
  <si>
    <t>13/07/2023</t>
  </si>
  <si>
    <t>54,06</t>
  </si>
  <si>
    <t>14/07/2023</t>
  </si>
  <si>
    <t>54,28</t>
  </si>
  <si>
    <t>17/07/2023</t>
  </si>
  <si>
    <t>54,52</t>
  </si>
  <si>
    <t>18/07/2023</t>
  </si>
  <si>
    <t>54,57</t>
  </si>
  <si>
    <t>19/07/2023</t>
  </si>
  <si>
    <t>55,04</t>
  </si>
  <si>
    <t>20/07/2023</t>
  </si>
  <si>
    <t>54,68</t>
  </si>
  <si>
    <t>21/07/2023</t>
  </si>
  <si>
    <t>53,74</t>
  </si>
  <si>
    <t>24/07/2023</t>
  </si>
  <si>
    <t>55,06</t>
  </si>
  <si>
    <t>25/07/2023</t>
  </si>
  <si>
    <t>55,28</t>
  </si>
  <si>
    <t>26/07/2023</t>
  </si>
  <si>
    <t>55,12</t>
  </si>
  <si>
    <t>27/07/2023</t>
  </si>
  <si>
    <t>54,71</t>
  </si>
  <si>
    <t>28/07/2023</t>
  </si>
  <si>
    <t>54,92</t>
  </si>
  <si>
    <t>31/07/2023</t>
  </si>
  <si>
    <t>53,62</t>
  </si>
  <si>
    <t>01/08/2023</t>
  </si>
  <si>
    <t>53,75</t>
  </si>
  <si>
    <t>02/08/2023</t>
  </si>
  <si>
    <t>53,22</t>
  </si>
  <si>
    <t>03/08/2023</t>
  </si>
  <si>
    <t>53,47</t>
  </si>
  <si>
    <t>04/08/2023</t>
  </si>
  <si>
    <t>53,19</t>
  </si>
  <si>
    <t>07/08/2023</t>
  </si>
  <si>
    <t>53,13</t>
  </si>
  <si>
    <t>08/08/2023</t>
  </si>
  <si>
    <t>52,96</t>
  </si>
  <si>
    <t>09/08/2023</t>
  </si>
  <si>
    <t>52,97</t>
  </si>
  <si>
    <t>10/08/2023</t>
  </si>
  <si>
    <t>52,65</t>
  </si>
  <si>
    <t>11/08/2023</t>
  </si>
  <si>
    <t>52,84</t>
  </si>
  <si>
    <t>14/08/2023</t>
  </si>
  <si>
    <t>53,26</t>
  </si>
  <si>
    <t>15/08/2023</t>
  </si>
  <si>
    <t>53,33</t>
  </si>
  <si>
    <t>16/08/2023</t>
  </si>
  <si>
    <t>17/08/2023</t>
  </si>
  <si>
    <t>18/08/2023</t>
  </si>
  <si>
    <t>53,55</t>
  </si>
  <si>
    <t>21/08/2023</t>
  </si>
  <si>
    <t>53,65</t>
  </si>
  <si>
    <t>22/08/2023</t>
  </si>
  <si>
    <t>23/08/2023</t>
  </si>
  <si>
    <t>53,96</t>
  </si>
  <si>
    <t>24/08/2023</t>
  </si>
  <si>
    <t>53,56</t>
  </si>
  <si>
    <t>25/08/2023</t>
  </si>
  <si>
    <t>53,38</t>
  </si>
  <si>
    <t>28/08/2023</t>
  </si>
  <si>
    <t>53,44</t>
  </si>
  <si>
    <t>29/08/2023</t>
  </si>
  <si>
    <t>53,50</t>
  </si>
  <si>
    <t>30/08/2023</t>
  </si>
  <si>
    <t>53,70</t>
  </si>
  <si>
    <t>31/08/2023</t>
  </si>
  <si>
    <t>53,54</t>
  </si>
  <si>
    <t>01/09/2023</t>
  </si>
  <si>
    <t>53,88</t>
  </si>
  <si>
    <t>04/09/2023</t>
  </si>
  <si>
    <t>53,82</t>
  </si>
  <si>
    <t>05/09/2023</t>
  </si>
  <si>
    <t>54,00</t>
  </si>
  <si>
    <t>06/09/2023</t>
  </si>
  <si>
    <t>53,86</t>
  </si>
  <si>
    <t>08/09/2023</t>
  </si>
  <si>
    <t>11/09/2023</t>
  </si>
  <si>
    <t>12/09/2023</t>
  </si>
  <si>
    <t>53,28</t>
  </si>
  <si>
    <t>13/09/2023</t>
  </si>
  <si>
    <t>53,06</t>
  </si>
  <si>
    <t>14/09/2023</t>
  </si>
  <si>
    <t>53,99</t>
  </si>
  <si>
    <t>15/09/2023</t>
  </si>
  <si>
    <t>53,87</t>
  </si>
  <si>
    <t>18/09/2023</t>
  </si>
  <si>
    <t>19/09/2023</t>
  </si>
  <si>
    <t>54,29</t>
  </si>
  <si>
    <t>20/09/2023</t>
  </si>
  <si>
    <t>54,34</t>
  </si>
  <si>
    <t>21/09/2023</t>
  </si>
  <si>
    <t>54,43</t>
  </si>
  <si>
    <t>22/09/2023</t>
  </si>
  <si>
    <t>54,90</t>
  </si>
  <si>
    <t>25/09/2023</t>
  </si>
  <si>
    <t>55,73</t>
  </si>
  <si>
    <t>26/09/2023</t>
  </si>
  <si>
    <t>55,97</t>
  </si>
  <si>
    <t>27/09/2023</t>
  </si>
  <si>
    <t>56,39</t>
  </si>
  <si>
    <t>28/09/2023</t>
  </si>
  <si>
    <t>57,02</t>
  </si>
  <si>
    <t>29/09/2023</t>
  </si>
  <si>
    <t>57,47</t>
  </si>
  <si>
    <t>02/10/2023</t>
  </si>
  <si>
    <t>58,08</t>
  </si>
  <si>
    <t>03/10/2023</t>
  </si>
  <si>
    <t>57,81</t>
  </si>
  <si>
    <t>04/10/2023</t>
  </si>
  <si>
    <t>58,47</t>
  </si>
  <si>
    <t>05/10/2023</t>
  </si>
  <si>
    <t>59,19</t>
  </si>
  <si>
    <t>06/10/2023</t>
  </si>
  <si>
    <t>59,72</t>
  </si>
  <si>
    <t>09/10/2023</t>
  </si>
  <si>
    <t>59,96</t>
  </si>
  <si>
    <t>10/10/2023</t>
  </si>
  <si>
    <t>60,52</t>
  </si>
  <si>
    <t>11/10/2023</t>
  </si>
  <si>
    <t>60,34</t>
  </si>
  <si>
    <t>13/10/2023</t>
  </si>
  <si>
    <t>59,74</t>
  </si>
  <si>
    <t>16/10/2023</t>
  </si>
  <si>
    <t>59,42</t>
  </si>
  <si>
    <t>17/10/2023</t>
  </si>
  <si>
    <t>58,81</t>
  </si>
  <si>
    <t>18/10/2023</t>
  </si>
  <si>
    <t>58,48</t>
  </si>
  <si>
    <t>19/10/2023</t>
  </si>
  <si>
    <t>58,53</t>
  </si>
  <si>
    <t>20/10/2023</t>
  </si>
  <si>
    <t>23/10/2023</t>
  </si>
  <si>
    <t>59,00</t>
  </si>
  <si>
    <t>24/10/2023</t>
  </si>
  <si>
    <t>58,92</t>
  </si>
  <si>
    <t>25/10/2023</t>
  </si>
  <si>
    <t>58,91</t>
  </si>
  <si>
    <t>26/10/2023</t>
  </si>
  <si>
    <t>27/10/2023</t>
  </si>
  <si>
    <t>58,98</t>
  </si>
  <si>
    <t>30/10/2023</t>
  </si>
  <si>
    <t>59,25</t>
  </si>
  <si>
    <t>31/10/2023</t>
  </si>
  <si>
    <t>60,02</t>
  </si>
  <si>
    <t>01/11/2023</t>
  </si>
  <si>
    <t>60,03</t>
  </si>
  <si>
    <t>03/11/2023</t>
  </si>
  <si>
    <t>59,99</t>
  </si>
  <si>
    <t>06/11/2023</t>
  </si>
  <si>
    <t>60,05</t>
  </si>
  <si>
    <t>07/11/2023</t>
  </si>
  <si>
    <t>59,46</t>
  </si>
  <si>
    <t>08/11/2023</t>
  </si>
  <si>
    <t>59,36</t>
  </si>
  <si>
    <t>09/11/2023</t>
  </si>
  <si>
    <t>59,51</t>
  </si>
  <si>
    <t>10/11/2023</t>
  </si>
  <si>
    <t>59,87</t>
  </si>
  <si>
    <t>13/11/2023</t>
  </si>
  <si>
    <t>59,67</t>
  </si>
  <si>
    <t>14/11/2023</t>
  </si>
  <si>
    <t>60,15</t>
  </si>
  <si>
    <t>16/11/2023</t>
  </si>
  <si>
    <t>61,14</t>
  </si>
  <si>
    <t>17/11/2023</t>
  </si>
  <si>
    <t>60,74</t>
  </si>
  <si>
    <t>20/11/2023</t>
  </si>
  <si>
    <t>60,76</t>
  </si>
  <si>
    <t>21/11/2023</t>
  </si>
  <si>
    <t>61,11</t>
  </si>
  <si>
    <t>22/11/2023</t>
  </si>
  <si>
    <t>61,16</t>
  </si>
  <si>
    <t>23/11/2023</t>
  </si>
  <si>
    <t>61,18</t>
  </si>
  <si>
    <t>24/11/2023</t>
  </si>
  <si>
    <t>60,96</t>
  </si>
  <si>
    <t>27/11/2023</t>
  </si>
  <si>
    <t>61,51</t>
  </si>
  <si>
    <t>28/11/2023</t>
  </si>
  <si>
    <t>61,92</t>
  </si>
  <si>
    <t>29/11/2023</t>
  </si>
  <si>
    <t>61,63</t>
  </si>
  <si>
    <t>30/11/2023</t>
  </si>
  <si>
    <t>62,74</t>
  </si>
  <si>
    <t>01/12/2023</t>
  </si>
  <si>
    <t>62,63</t>
  </si>
  <si>
    <t>04/12/2023</t>
  </si>
  <si>
    <t>63,29</t>
  </si>
  <si>
    <t>05/12/2023</t>
  </si>
  <si>
    <t>64,67</t>
  </si>
  <si>
    <t>06/12/2023</t>
  </si>
  <si>
    <t>64,91</t>
  </si>
  <si>
    <t>07/12/2023</t>
  </si>
  <si>
    <t>65,79</t>
  </si>
  <si>
    <t>08/12/2023</t>
  </si>
  <si>
    <t>65,94</t>
  </si>
  <si>
    <t>11/12/2023</t>
  </si>
  <si>
    <t>67,26</t>
  </si>
  <si>
    <t>12/12/2023</t>
  </si>
  <si>
    <t>67,50</t>
  </si>
  <si>
    <t>13/12/2023</t>
  </si>
  <si>
    <t>68,13</t>
  </si>
  <si>
    <t>14/12/2023</t>
  </si>
  <si>
    <t>68,21</t>
  </si>
  <si>
    <t>15/12/2023</t>
  </si>
  <si>
    <t>67,57</t>
  </si>
  <si>
    <t>18/12/2023</t>
  </si>
  <si>
    <t>67,56</t>
  </si>
  <si>
    <t>19/12/2023</t>
  </si>
  <si>
    <t>67,42</t>
  </si>
  <si>
    <t>20/12/2023</t>
  </si>
  <si>
    <t>67,55</t>
  </si>
  <si>
    <t>21/12/2023</t>
  </si>
  <si>
    <t>67,59</t>
  </si>
  <si>
    <t>22/12/2023</t>
  </si>
  <si>
    <t>26/12/2023</t>
  </si>
  <si>
    <t>67,84</t>
  </si>
  <si>
    <t>27/12/2023</t>
  </si>
  <si>
    <t>68,02</t>
  </si>
  <si>
    <t>28/12/2023</t>
  </si>
  <si>
    <t>69,21</t>
  </si>
  <si>
    <t>02/01/2024</t>
  </si>
  <si>
    <t>03/01/2024</t>
  </si>
  <si>
    <t>69,77</t>
  </si>
  <si>
    <t>04/01/2024</t>
  </si>
  <si>
    <t>71,32</t>
  </si>
  <si>
    <t>05/01/2024</t>
  </si>
  <si>
    <t>70,47</t>
  </si>
  <si>
    <t>08/01/2024</t>
  </si>
  <si>
    <t>70,12</t>
  </si>
  <si>
    <t>09/01/2024</t>
  </si>
  <si>
    <t>70,24</t>
  </si>
  <si>
    <t>10/01/2024</t>
  </si>
  <si>
    <t>69,30</t>
  </si>
  <si>
    <t>11/01/2024</t>
  </si>
  <si>
    <t>68,00</t>
  </si>
  <si>
    <t>12/01/2024</t>
  </si>
  <si>
    <t>67,24</t>
  </si>
  <si>
    <t>15/01/2024</t>
  </si>
  <si>
    <t>66,08</t>
  </si>
  <si>
    <t>16/01/2024</t>
  </si>
  <si>
    <t>65,53</t>
  </si>
  <si>
    <t>17/01/2024</t>
  </si>
  <si>
    <t>64,80</t>
  </si>
  <si>
    <t>18/01/2024</t>
  </si>
  <si>
    <t>64,09</t>
  </si>
  <si>
    <t>19/01/2024</t>
  </si>
  <si>
    <t>63,00</t>
  </si>
  <si>
    <t>22/01/2024</t>
  </si>
  <si>
    <t>62,28</t>
  </si>
  <si>
    <t>23/01/2024</t>
  </si>
  <si>
    <t>62,11</t>
  </si>
  <si>
    <t>24/01/2024</t>
  </si>
  <si>
    <t>62,64</t>
  </si>
  <si>
    <t>25/01/2024</t>
  </si>
  <si>
    <t>62,24</t>
  </si>
  <si>
    <t>26/01/2024</t>
  </si>
  <si>
    <t>61,95</t>
  </si>
  <si>
    <t>29/01/2024</t>
  </si>
  <si>
    <t>62,15</t>
  </si>
  <si>
    <t>30/01/2024</t>
  </si>
  <si>
    <t>62,81</t>
  </si>
  <si>
    <t>31/01/2024</t>
  </si>
  <si>
    <t>62,34</t>
  </si>
  <si>
    <t>01/02/2024</t>
  </si>
  <si>
    <t>61,45</t>
  </si>
  <si>
    <t>02/02/2024</t>
  </si>
  <si>
    <t>62,13</t>
  </si>
  <si>
    <t>05/02/2024</t>
  </si>
  <si>
    <t>62,72</t>
  </si>
  <si>
    <t>06/02/2024</t>
  </si>
  <si>
    <t>62,82</t>
  </si>
  <si>
    <t>07/02/2024</t>
  </si>
  <si>
    <t>63,28</t>
  </si>
  <si>
    <t>08/02/2024</t>
  </si>
  <si>
    <t>62,71</t>
  </si>
  <si>
    <t>09/02/2024</t>
  </si>
  <si>
    <t>62,17</t>
  </si>
  <si>
    <t>14/02/2024</t>
  </si>
  <si>
    <t>15/02/2024</t>
  </si>
  <si>
    <t>62,12</t>
  </si>
  <si>
    <t>16/02/2024</t>
  </si>
  <si>
    <t>62,47</t>
  </si>
  <si>
    <t>19/02/2024</t>
  </si>
  <si>
    <t>62,57</t>
  </si>
  <si>
    <t>20/02/2024</t>
  </si>
  <si>
    <t>21/02/2024</t>
  </si>
  <si>
    <t>63,11</t>
  </si>
  <si>
    <t>22/02/2024</t>
  </si>
  <si>
    <t>62,87</t>
  </si>
  <si>
    <t>23/02/2024</t>
  </si>
  <si>
    <t>63,06</t>
  </si>
  <si>
    <t>26/02/2024</t>
  </si>
  <si>
    <t>27/02/2024</t>
  </si>
  <si>
    <t>62,91</t>
  </si>
  <si>
    <t>28/02/2024</t>
  </si>
  <si>
    <t>62,30</t>
  </si>
  <si>
    <t>29/02/2024</t>
  </si>
  <si>
    <t>62,23</t>
  </si>
  <si>
    <t>01/03/2024</t>
  </si>
  <si>
    <t>04/03/2024</t>
  </si>
  <si>
    <t>63,01</t>
  </si>
  <si>
    <t>05/03/2024</t>
  </si>
  <si>
    <t>62,77</t>
  </si>
  <si>
    <t>06/03/2024</t>
  </si>
  <si>
    <t>62,75</t>
  </si>
  <si>
    <t>07/03/2024</t>
  </si>
  <si>
    <t>62,84</t>
  </si>
  <si>
    <t>08/03/2024</t>
  </si>
  <si>
    <t>11/03/2024</t>
  </si>
  <si>
    <t>62,90</t>
  </si>
  <si>
    <t>12/03/2024</t>
  </si>
  <si>
    <t>63,07</t>
  </si>
  <si>
    <t>13/03/2024</t>
  </si>
  <si>
    <t>14/03/2024</t>
  </si>
  <si>
    <t>63,24</t>
  </si>
  <si>
    <t>15/03/2024</t>
  </si>
  <si>
    <t>63,17</t>
  </si>
  <si>
    <t>18/03/2024</t>
  </si>
  <si>
    <t>19/03/2024</t>
  </si>
  <si>
    <t>62,86</t>
  </si>
  <si>
    <t>20/03/2024</t>
  </si>
  <si>
    <t>21/03/2024</t>
  </si>
  <si>
    <t>62,62</t>
  </si>
  <si>
    <t>22/03/2024</t>
  </si>
  <si>
    <t>62,45</t>
  </si>
  <si>
    <t>25/03/2024</t>
  </si>
  <si>
    <t>62,60</t>
  </si>
  <si>
    <t>26/03/2024</t>
  </si>
  <si>
    <t>27/03/2024</t>
  </si>
  <si>
    <t>61,82</t>
  </si>
  <si>
    <t>28/03/2024</t>
  </si>
  <si>
    <t>61,78</t>
  </si>
  <si>
    <t>01/04/2024</t>
  </si>
  <si>
    <t>61,71</t>
  </si>
  <si>
    <t>02/04/2024</t>
  </si>
  <si>
    <t>61,57</t>
  </si>
  <si>
    <t>03/04/2024</t>
  </si>
  <si>
    <t>61,49</t>
  </si>
  <si>
    <t>04/04/2024</t>
  </si>
  <si>
    <t>61,48</t>
  </si>
  <si>
    <t>05/04/2024</t>
  </si>
  <si>
    <t>60,99</t>
  </si>
  <si>
    <t>08/04/2024</t>
  </si>
  <si>
    <t>60,62</t>
  </si>
  <si>
    <t>09/04/2024</t>
  </si>
  <si>
    <t>60,14</t>
  </si>
  <si>
    <t>10/04/2024</t>
  </si>
  <si>
    <t>59,83</t>
  </si>
  <si>
    <t>11/04/2024</t>
  </si>
  <si>
    <t>59,53</t>
  </si>
  <si>
    <t>12/04/2024</t>
  </si>
  <si>
    <t>59,62</t>
  </si>
  <si>
    <t>15/04/2024</t>
  </si>
  <si>
    <t>59,70</t>
  </si>
  <si>
    <t>16/04/2024</t>
  </si>
  <si>
    <t>17/04/2024</t>
  </si>
  <si>
    <t>59,41</t>
  </si>
  <si>
    <t>18/04/2024</t>
  </si>
  <si>
    <t>59,29</t>
  </si>
  <si>
    <t>19/04/2024</t>
  </si>
  <si>
    <t>59,11</t>
  </si>
  <si>
    <t>22/04/2024</t>
  </si>
  <si>
    <t>58,76</t>
  </si>
  <si>
    <t>23/04/2024</t>
  </si>
  <si>
    <t>58,49</t>
  </si>
  <si>
    <t>24/04/2024</t>
  </si>
  <si>
    <t>58,27</t>
  </si>
  <si>
    <t>25/04/2024</t>
  </si>
  <si>
    <t>58,01</t>
  </si>
  <si>
    <t>26/04/2024</t>
  </si>
  <si>
    <t>58,09</t>
  </si>
  <si>
    <t>29/04/2024</t>
  </si>
  <si>
    <t>58,11</t>
  </si>
  <si>
    <t>30/04/2024</t>
  </si>
  <si>
    <t>57,93</t>
  </si>
  <si>
    <t>02/05/2024</t>
  </si>
  <si>
    <t>57,56</t>
  </si>
  <si>
    <t>03/05/2024</t>
  </si>
  <si>
    <t>58,10</t>
  </si>
  <si>
    <t>06/05/2024</t>
  </si>
  <si>
    <t>58,20</t>
  </si>
  <si>
    <t>07/05/2024</t>
  </si>
  <si>
    <t>58,16</t>
  </si>
  <si>
    <t>08/05/2024</t>
  </si>
  <si>
    <t>09/05/2024</t>
  </si>
  <si>
    <t>58,19</t>
  </si>
  <si>
    <t>10/05/2024</t>
  </si>
  <si>
    <t>58,88</t>
  </si>
  <si>
    <t>13/05/2024</t>
  </si>
  <si>
    <t>14/05/2024</t>
  </si>
  <si>
    <t>58,67</t>
  </si>
  <si>
    <t>15/05/2024</t>
  </si>
  <si>
    <t>58,96</t>
  </si>
  <si>
    <t>16/05/2024</t>
  </si>
  <si>
    <t>58,85</t>
  </si>
  <si>
    <t>17/05/2024</t>
  </si>
  <si>
    <t>59,13</t>
  </si>
  <si>
    <t>20/05/2024</t>
  </si>
  <si>
    <t>59,68</t>
  </si>
  <si>
    <t>21/05/2024</t>
  </si>
  <si>
    <t>59,48</t>
  </si>
  <si>
    <t>22/05/2024</t>
  </si>
  <si>
    <t>23/05/2024</t>
  </si>
  <si>
    <t>59,77</t>
  </si>
  <si>
    <t>24/05/2024</t>
  </si>
  <si>
    <t>27/05/2024</t>
  </si>
  <si>
    <t>28/05/2024</t>
  </si>
  <si>
    <t>59,43</t>
  </si>
  <si>
    <t>29/05/2024</t>
  </si>
  <si>
    <t>31/05/2024</t>
  </si>
  <si>
    <t>03/06/2024</t>
  </si>
  <si>
    <t>58,95</t>
  </si>
  <si>
    <t>04/06/2024</t>
  </si>
  <si>
    <t>58,58</t>
  </si>
  <si>
    <t>05/06/2024</t>
  </si>
  <si>
    <t>58,55</t>
  </si>
  <si>
    <t>06/06/2024</t>
  </si>
  <si>
    <t>07/06/2024</t>
  </si>
  <si>
    <t>57,85</t>
  </si>
  <si>
    <t>10/06/2024</t>
  </si>
  <si>
    <t>58,22</t>
  </si>
  <si>
    <t>11/06/2024</t>
  </si>
  <si>
    <t>57,94</t>
  </si>
  <si>
    <t>12/06/2024</t>
  </si>
  <si>
    <t>57,51</t>
  </si>
  <si>
    <t>13/06/2024</t>
  </si>
  <si>
    <t>57,53</t>
  </si>
  <si>
    <t>14/06/2024</t>
  </si>
  <si>
    <t>57,77</t>
  </si>
  <si>
    <t>17/06/2024</t>
  </si>
  <si>
    <t>57,72</t>
  </si>
  <si>
    <t>18/06/2024</t>
  </si>
  <si>
    <t>57,71</t>
  </si>
  <si>
    <t>19/06/2024</t>
  </si>
  <si>
    <t>58,06</t>
  </si>
  <si>
    <t>20/06/2024</t>
  </si>
  <si>
    <t>58,15</t>
  </si>
  <si>
    <t>21/06/2024</t>
  </si>
  <si>
    <t>58,13</t>
  </si>
  <si>
    <t>24/06/2024</t>
  </si>
  <si>
    <t>57,26</t>
  </si>
  <si>
    <t>25/06/2024</t>
  </si>
  <si>
    <t>56,88</t>
  </si>
  <si>
    <t>26/06/2024</t>
  </si>
  <si>
    <t>57,37</t>
  </si>
  <si>
    <t>27/06/2024</t>
  </si>
  <si>
    <t>57,54</t>
  </si>
  <si>
    <t>28/06/2024</t>
  </si>
  <si>
    <t>57,22</t>
  </si>
  <si>
    <t>01/07/2024</t>
  </si>
  <si>
    <t>57,32</t>
  </si>
  <si>
    <t>02/07/2024</t>
  </si>
  <si>
    <t>56,87</t>
  </si>
  <si>
    <t>03/07/2024</t>
  </si>
  <si>
    <t>56,40</t>
  </si>
  <si>
    <t>04/07/2024</t>
  </si>
  <si>
    <t>05/07/2024</t>
  </si>
  <si>
    <t>56,11</t>
  </si>
  <si>
    <t>08/07/2024</t>
  </si>
  <si>
    <t>56,14</t>
  </si>
  <si>
    <t>09/07/2024</t>
  </si>
  <si>
    <t>56,21</t>
  </si>
  <si>
    <t>10/07/2024</t>
  </si>
  <si>
    <t>55,84</t>
  </si>
  <si>
    <t>11/07/2024</t>
  </si>
  <si>
    <t>56,49</t>
  </si>
  <si>
    <t>12/07/2024</t>
  </si>
  <si>
    <t>56,70</t>
  </si>
  <si>
    <t>15/07/2024</t>
  </si>
  <si>
    <t>56,35</t>
  </si>
  <si>
    <t>16/07/2024</t>
  </si>
  <si>
    <t>56,33</t>
  </si>
  <si>
    <t>17/07/2024</t>
  </si>
  <si>
    <t>56,17</t>
  </si>
  <si>
    <t>18/07/2024</t>
  </si>
  <si>
    <t>57,24</t>
  </si>
  <si>
    <t>19/07/2024</t>
  </si>
  <si>
    <t>57,48</t>
  </si>
  <si>
    <t>22/07/2024</t>
  </si>
  <si>
    <t>23/07/2024</t>
  </si>
  <si>
    <t>58,41</t>
  </si>
  <si>
    <t>24/07/2024</t>
  </si>
  <si>
    <t>58,56</t>
  </si>
  <si>
    <t>25/07/2024</t>
  </si>
  <si>
    <t>26/07/2024</t>
  </si>
  <si>
    <t>29/07/2024</t>
  </si>
  <si>
    <t>58,45</t>
  </si>
  <si>
    <t>30/07/2024</t>
  </si>
  <si>
    <t>58,35</t>
  </si>
  <si>
    <t>31/07/2024</t>
  </si>
  <si>
    <t>59,20</t>
  </si>
  <si>
    <t>01/08/2024</t>
  </si>
  <si>
    <t>59,44</t>
  </si>
  <si>
    <t>02/08/2024</t>
  </si>
  <si>
    <t>59,34</t>
  </si>
  <si>
    <t>05/08/2024</t>
  </si>
  <si>
    <t>59,14</t>
  </si>
  <si>
    <t>06/08/2024</t>
  </si>
  <si>
    <t>07/08/2024</t>
  </si>
  <si>
    <t>08/08/2024</t>
  </si>
  <si>
    <t>59,02</t>
  </si>
  <si>
    <t>09/08/2024</t>
  </si>
  <si>
    <t>58,86</t>
  </si>
  <si>
    <t>12/08/2024</t>
  </si>
  <si>
    <t>59,07</t>
  </si>
  <si>
    <t>13/08/2024</t>
  </si>
  <si>
    <t>59,22</t>
  </si>
  <si>
    <t>14/08/2024</t>
  </si>
  <si>
    <t>59,39</t>
  </si>
  <si>
    <t>15/08/2024</t>
  </si>
  <si>
    <t>59,01</t>
  </si>
  <si>
    <t>16/08/2024</t>
  </si>
  <si>
    <t>59,75</t>
  </si>
  <si>
    <t>19/08/2024</t>
  </si>
  <si>
    <t>20/08/2024</t>
  </si>
  <si>
    <t>59,69</t>
  </si>
  <si>
    <t>21/08/2024</t>
  </si>
  <si>
    <t>59,89</t>
  </si>
  <si>
    <t>22/08/2024</t>
  </si>
  <si>
    <t>60,12</t>
  </si>
  <si>
    <t>23/08/2024</t>
  </si>
  <si>
    <t>26/08/2024</t>
  </si>
  <si>
    <t>27/08/2024</t>
  </si>
  <si>
    <t>59,98</t>
  </si>
  <si>
    <t>28/08/2024</t>
  </si>
  <si>
    <t>59,92</t>
  </si>
  <si>
    <t>29/08/2024</t>
  </si>
  <si>
    <t>60,27</t>
  </si>
  <si>
    <t>30/08/2024</t>
  </si>
  <si>
    <t>60,59</t>
  </si>
  <si>
    <t>02/09/2024</t>
  </si>
  <si>
    <t>60,70</t>
  </si>
  <si>
    <t>03/09/2024</t>
  </si>
  <si>
    <t>04/09/2024</t>
  </si>
  <si>
    <t>05/09/2024</t>
  </si>
  <si>
    <t>61,89</t>
  </si>
  <si>
    <t>06/09/2024</t>
  </si>
  <si>
    <t>09/09/2024</t>
  </si>
  <si>
    <t>62,33</t>
  </si>
  <si>
    <t>10/09/2024</t>
  </si>
  <si>
    <t>11/09/2024</t>
  </si>
  <si>
    <t>63,42</t>
  </si>
  <si>
    <t>12/09/2024</t>
  </si>
  <si>
    <t>63,50</t>
  </si>
  <si>
    <t>13/09/2024</t>
  </si>
  <si>
    <t>16/09/2024</t>
  </si>
  <si>
    <t>62,42</t>
  </si>
  <si>
    <t>17/09/2024</t>
  </si>
  <si>
    <t>62,02</t>
  </si>
  <si>
    <t>18/09/2024</t>
  </si>
  <si>
    <t>19/09/2024</t>
  </si>
  <si>
    <t>62,31</t>
  </si>
  <si>
    <t>20/09/2024</t>
  </si>
  <si>
    <t>62,20</t>
  </si>
  <si>
    <t>23/09/2024</t>
  </si>
  <si>
    <t>62,69</t>
  </si>
  <si>
    <t>24/09/2024</t>
  </si>
  <si>
    <t>25/09/2024</t>
  </si>
  <si>
    <t>63,34</t>
  </si>
  <si>
    <t>26/09/2024</t>
  </si>
  <si>
    <t>63,57</t>
  </si>
  <si>
    <t>27/09/2024</t>
  </si>
  <si>
    <t>63,88</t>
  </si>
  <si>
    <t>30/09/2024</t>
  </si>
  <si>
    <t>64,30</t>
  </si>
  <si>
    <t>01/10/2024</t>
  </si>
  <si>
    <t>65,04</t>
  </si>
  <si>
    <t>02/10/2024</t>
  </si>
  <si>
    <t>65,52</t>
  </si>
  <si>
    <t>03/10/2024</t>
  </si>
  <si>
    <t>65,71</t>
  </si>
  <si>
    <t>04/10/2024</t>
  </si>
  <si>
    <t>66,21</t>
  </si>
  <si>
    <t>07/10/2024</t>
  </si>
  <si>
    <t>66,05</t>
  </si>
  <si>
    <t>08/10/2024</t>
  </si>
  <si>
    <t>09/10/2024</t>
  </si>
  <si>
    <t>67,07</t>
  </si>
  <si>
    <t>10/10/2024</t>
  </si>
  <si>
    <t>67,69</t>
  </si>
  <si>
    <t>11/10/2024</t>
  </si>
  <si>
    <t>67,75</t>
  </si>
  <si>
    <t>14/10/2024</t>
  </si>
  <si>
    <t>67,81</t>
  </si>
  <si>
    <t>15/10/2024</t>
  </si>
  <si>
    <t>67,96</t>
  </si>
  <si>
    <t>16/10/2024</t>
  </si>
  <si>
    <t>68,44</t>
  </si>
  <si>
    <t>17/10/2024</t>
  </si>
  <si>
    <t>68,42</t>
  </si>
  <si>
    <t>18/10/2024</t>
  </si>
  <si>
    <t>68,77</t>
  </si>
  <si>
    <t>21/10/2024</t>
  </si>
  <si>
    <t>69,76</t>
  </si>
  <si>
    <t>22/10/2024</t>
  </si>
  <si>
    <t>69,94</t>
  </si>
  <si>
    <t>23/10/2024</t>
  </si>
  <si>
    <t>70,59</t>
  </si>
  <si>
    <t>24/10/2024</t>
  </si>
  <si>
    <t>71,36</t>
  </si>
  <si>
    <t>25/10/2024</t>
  </si>
  <si>
    <t>71,67</t>
  </si>
  <si>
    <t>28/10/2024</t>
  </si>
  <si>
    <t>72,17</t>
  </si>
  <si>
    <t>29/10/2024</t>
  </si>
  <si>
    <t>72,37</t>
  </si>
  <si>
    <t>30/10/2024</t>
  </si>
  <si>
    <t>72,67</t>
  </si>
  <si>
    <t>31/10/2024</t>
  </si>
  <si>
    <t>72,94</t>
  </si>
  <si>
    <t>01/11/2024</t>
  </si>
  <si>
    <t>73,11</t>
  </si>
  <si>
    <t>04/11/2024</t>
  </si>
  <si>
    <t>72,93</t>
  </si>
  <si>
    <t>05/11/2024</t>
  </si>
  <si>
    <t>73,07</t>
  </si>
  <si>
    <t>06/11/2024</t>
  </si>
  <si>
    <t>74,21</t>
  </si>
  <si>
    <t>07/11/2024</t>
  </si>
  <si>
    <t>74,41</t>
  </si>
  <si>
    <t>08/11/2024</t>
  </si>
  <si>
    <t>74,64</t>
  </si>
  <si>
    <t>11/11/2024</t>
  </si>
  <si>
    <t>74,55</t>
  </si>
  <si>
    <t>12/11/2024</t>
  </si>
  <si>
    <t>74,37</t>
  </si>
  <si>
    <t>13/11/2024</t>
  </si>
  <si>
    <t>74,45</t>
  </si>
  <si>
    <t>14/11/2024</t>
  </si>
  <si>
    <t>74,67</t>
  </si>
  <si>
    <t>18/11/2024</t>
  </si>
  <si>
    <t>74,66</t>
  </si>
  <si>
    <t>19/11/2024</t>
  </si>
  <si>
    <t>73,55</t>
  </si>
  <si>
    <t>21/11/2024</t>
  </si>
  <si>
    <t>73,46</t>
  </si>
  <si>
    <t>22/11/2024</t>
  </si>
  <si>
    <t>73,41</t>
  </si>
  <si>
    <t>25/11/2024</t>
  </si>
  <si>
    <t>73,48</t>
  </si>
  <si>
    <t>26/11/2024</t>
  </si>
  <si>
    <t>73,12</t>
  </si>
  <si>
    <t>27/11/2024</t>
  </si>
  <si>
    <t>72,51</t>
  </si>
  <si>
    <t>28/11/2024</t>
  </si>
  <si>
    <t>72,46</t>
  </si>
  <si>
    <t>29/11/2024</t>
  </si>
  <si>
    <t>72,77</t>
  </si>
  <si>
    <t>02/12/2024</t>
  </si>
  <si>
    <t>72,69</t>
  </si>
  <si>
    <t>03/12/2024</t>
  </si>
  <si>
    <t>72,57</t>
  </si>
  <si>
    <t>04/12/2024</t>
  </si>
  <si>
    <t>72,47</t>
  </si>
  <si>
    <t>05/12/2024</t>
  </si>
  <si>
    <t>73,09</t>
  </si>
  <si>
    <t>06/12/2024</t>
  </si>
  <si>
    <t>73,20</t>
  </si>
  <si>
    <t>09/12/2024</t>
  </si>
  <si>
    <t>73,54</t>
  </si>
  <si>
    <t>10/12/2024</t>
  </si>
  <si>
    <t>73,62</t>
  </si>
  <si>
    <t>11/12/2024</t>
  </si>
  <si>
    <t>73,67</t>
  </si>
  <si>
    <t>12/12/2024</t>
  </si>
  <si>
    <t>73,25</t>
  </si>
  <si>
    <t>13/12/2024</t>
  </si>
  <si>
    <t>16/12/2024</t>
  </si>
  <si>
    <t>72,89</t>
  </si>
  <si>
    <t>17/12/2024</t>
  </si>
  <si>
    <t>72,73</t>
  </si>
  <si>
    <t>18/12/2024</t>
  </si>
  <si>
    <t>72,74</t>
  </si>
  <si>
    <t>19/12/2024</t>
  </si>
  <si>
    <t>72,45</t>
  </si>
  <si>
    <t>20/12/2024</t>
  </si>
  <si>
    <t>23/12/2024</t>
  </si>
  <si>
    <t>72,84</t>
  </si>
  <si>
    <t>26/12/2024</t>
  </si>
  <si>
    <t>27/12/2024</t>
  </si>
  <si>
    <t>72,65</t>
  </si>
  <si>
    <t>30/12/2024</t>
  </si>
  <si>
    <t>02/01/2025</t>
  </si>
  <si>
    <t>03/01/2025</t>
  </si>
  <si>
    <t>72,99</t>
  </si>
  <si>
    <t>06/01/2025</t>
  </si>
  <si>
    <t>73,14</t>
  </si>
  <si>
    <t>07/01/2025</t>
  </si>
  <si>
    <t>73,98</t>
  </si>
  <si>
    <t>08/01/2025</t>
  </si>
  <si>
    <t>74,23</t>
  </si>
  <si>
    <t>09/01/2025</t>
  </si>
  <si>
    <t>74,32</t>
  </si>
  <si>
    <t>10/01/2025</t>
  </si>
  <si>
    <t>74,91</t>
  </si>
  <si>
    <t>13/01/2025</t>
  </si>
  <si>
    <t>74,92</t>
  </si>
  <si>
    <t>14/01/2025</t>
  </si>
  <si>
    <t>74,69</t>
  </si>
  <si>
    <t>15/01/2025</t>
  </si>
  <si>
    <t>74,97</t>
  </si>
  <si>
    <t>16/01/2025</t>
  </si>
  <si>
    <t>74,42</t>
  </si>
  <si>
    <t>17/01/2025</t>
  </si>
  <si>
    <t>74,25</t>
  </si>
  <si>
    <t>20/01/2025</t>
  </si>
  <si>
    <t>73,85</t>
  </si>
  <si>
    <t>21/01/2025</t>
  </si>
  <si>
    <t>74,02</t>
  </si>
  <si>
    <t>22/01/2025</t>
  </si>
  <si>
    <t>74,10</t>
  </si>
  <si>
    <t>23/01/2025</t>
  </si>
  <si>
    <t>73,88</t>
  </si>
  <si>
    <t>24/01/2025</t>
  </si>
  <si>
    <t>73,86</t>
  </si>
  <si>
    <t>27/01/2025</t>
  </si>
  <si>
    <t>74,04</t>
  </si>
  <si>
    <t>28/01/2025</t>
  </si>
  <si>
    <t>74,05</t>
  </si>
  <si>
    <t>29/01/2025</t>
  </si>
  <si>
    <t>74,49</t>
  </si>
  <si>
    <t>30/01/2025</t>
  </si>
  <si>
    <t>74,79</t>
  </si>
  <si>
    <t>31/01/2025</t>
  </si>
  <si>
    <t>74,99</t>
  </si>
  <si>
    <t>03/02/2025</t>
  </si>
  <si>
    <t>75,32</t>
  </si>
  <si>
    <t>04/02/2025</t>
  </si>
  <si>
    <t>75,60</t>
  </si>
  <si>
    <t>05/02/2025</t>
  </si>
  <si>
    <t>76,04</t>
  </si>
  <si>
    <t>06/02/2025</t>
  </si>
  <si>
    <t>76,42</t>
  </si>
  <si>
    <t>07/02/2025</t>
  </si>
  <si>
    <t>77,24</t>
  </si>
  <si>
    <t>10/02/2025</t>
  </si>
  <si>
    <t>77,26</t>
  </si>
  <si>
    <t>11/02/2025</t>
  </si>
  <si>
    <t>77,96</t>
  </si>
  <si>
    <t>12/02/2025</t>
  </si>
  <si>
    <t>79,00</t>
  </si>
  <si>
    <t>13/02/2025</t>
  </si>
  <si>
    <t>79,12</t>
  </si>
  <si>
    <t>14/02/2025</t>
  </si>
  <si>
    <t>79,86</t>
  </si>
  <si>
    <t>17/02/2025</t>
  </si>
  <si>
    <t>79,62</t>
  </si>
  <si>
    <t>18/02/2025</t>
  </si>
  <si>
    <t>78,91</t>
  </si>
  <si>
    <t>19/02/2025</t>
  </si>
  <si>
    <t>81,26</t>
  </si>
  <si>
    <t>20/02/2025</t>
  </si>
  <si>
    <t>83,62</t>
  </si>
  <si>
    <t>21/02/2025</t>
  </si>
  <si>
    <t>84,19</t>
  </si>
  <si>
    <t>24/02/2025</t>
  </si>
  <si>
    <t>25/02/2025</t>
  </si>
  <si>
    <t>86,67</t>
  </si>
  <si>
    <t>26/02/2025</t>
  </si>
  <si>
    <t>87,18</t>
  </si>
  <si>
    <t>27/02/2025</t>
  </si>
  <si>
    <t>87,68</t>
  </si>
  <si>
    <t>28/02/2025</t>
  </si>
  <si>
    <t>87,49</t>
  </si>
  <si>
    <t>05/03/2025</t>
  </si>
  <si>
    <t>87,67</t>
  </si>
  <si>
    <t>06/03/2025</t>
  </si>
  <si>
    <t>87,85</t>
  </si>
  <si>
    <t>07/03/2025</t>
  </si>
  <si>
    <t>10/03/2025</t>
  </si>
  <si>
    <t>88,52</t>
  </si>
  <si>
    <t>11/03/2025</t>
  </si>
  <si>
    <t>89,08</t>
  </si>
  <si>
    <t>12/03/2025</t>
  </si>
  <si>
    <t>89,39</t>
  </si>
  <si>
    <t>13/03/2025</t>
  </si>
  <si>
    <t>89,88</t>
  </si>
  <si>
    <t>14/03/2025</t>
  </si>
  <si>
    <t>89,83</t>
  </si>
  <si>
    <t>17/03/2025</t>
  </si>
  <si>
    <t>90,26</t>
  </si>
  <si>
    <t>18/03/2025</t>
  </si>
  <si>
    <t>90,33</t>
  </si>
  <si>
    <t>19/03/2025</t>
  </si>
  <si>
    <t>90,18</t>
  </si>
  <si>
    <t>20/03/2025</t>
  </si>
  <si>
    <t>90,08</t>
  </si>
  <si>
    <t>21/03/2025</t>
  </si>
  <si>
    <t>90,14</t>
  </si>
  <si>
    <t>24/03/2025</t>
  </si>
  <si>
    <t>89,74</t>
  </si>
  <si>
    <t>25/03/2025</t>
  </si>
  <si>
    <t>89,12</t>
  </si>
  <si>
    <t>26/03/2025</t>
  </si>
  <si>
    <t>88,94</t>
  </si>
  <si>
    <t>27/03/2025</t>
  </si>
  <si>
    <t>87,92</t>
  </si>
  <si>
    <t>28/03/2025</t>
  </si>
  <si>
    <t>31/03/2025</t>
  </si>
  <si>
    <t>87,71</t>
  </si>
  <si>
    <t>01/04/2025</t>
  </si>
  <si>
    <t>86,62</t>
  </si>
  <si>
    <t>02/04/2025</t>
  </si>
  <si>
    <t>85,97</t>
  </si>
  <si>
    <t>03/04/2025</t>
  </si>
  <si>
    <t>84,82</t>
  </si>
  <si>
    <t>04/04/2025</t>
  </si>
  <si>
    <t>84,63</t>
  </si>
  <si>
    <t>07/04/2025</t>
  </si>
  <si>
    <t>84,83</t>
  </si>
  <si>
    <t>08/04/2025</t>
  </si>
  <si>
    <t>85,25</t>
  </si>
  <si>
    <t>09/04/2025</t>
  </si>
  <si>
    <t>85,72</t>
  </si>
  <si>
    <t>10/04/2025</t>
  </si>
  <si>
    <t>85,57</t>
  </si>
  <si>
    <t>11/04/2025</t>
  </si>
  <si>
    <t>14/04/2025</t>
  </si>
  <si>
    <t>15/04/2025</t>
  </si>
  <si>
    <t>84,71</t>
  </si>
  <si>
    <t>16/04/2025</t>
  </si>
  <si>
    <t>83,78</t>
  </si>
  <si>
    <t>17/04/2025</t>
  </si>
  <si>
    <t>83,49</t>
  </si>
  <si>
    <t>22/04/2025</t>
  </si>
  <si>
    <t>82,57</t>
  </si>
  <si>
    <t>23/04/2025</t>
  </si>
  <si>
    <t>81,97</t>
  </si>
  <si>
    <t>24/04/2025</t>
  </si>
  <si>
    <t>81,60</t>
  </si>
  <si>
    <t>25/04/2025</t>
  </si>
  <si>
    <t>80,54</t>
  </si>
  <si>
    <t>28/04/2025</t>
  </si>
  <si>
    <t>80,49</t>
  </si>
  <si>
    <t>29/04/2025</t>
  </si>
  <si>
    <t>80,37</t>
  </si>
  <si>
    <t>30/04/2025</t>
  </si>
  <si>
    <t>80,13</t>
  </si>
  <si>
    <t>02/05/2025</t>
  </si>
  <si>
    <t>79,07</t>
  </si>
  <si>
    <t>05/05/2025</t>
  </si>
  <si>
    <t>79,05</t>
  </si>
  <si>
    <t>06/05/2025</t>
  </si>
  <si>
    <t>77,61</t>
  </si>
  <si>
    <t>07/05/2025</t>
  </si>
  <si>
    <t>76,38</t>
  </si>
  <si>
    <t>08/05/2025</t>
  </si>
  <si>
    <t>75,93</t>
  </si>
  <si>
    <t>09/05/2025</t>
  </si>
  <si>
    <t>75,07</t>
  </si>
  <si>
    <t>12/05/2025</t>
  </si>
  <si>
    <t>74,34</t>
  </si>
  <si>
    <t>13/05/2025</t>
  </si>
  <si>
    <t>73,57</t>
  </si>
  <si>
    <t>14/05/2025</t>
  </si>
  <si>
    <t>15/05/2025</t>
  </si>
  <si>
    <t>16/05/2025</t>
  </si>
  <si>
    <t>19/05/2025</t>
  </si>
  <si>
    <t>72,68</t>
  </si>
  <si>
    <t>20/05/2025</t>
  </si>
  <si>
    <t>72,59</t>
  </si>
  <si>
    <t>21/05/2025</t>
  </si>
  <si>
    <t>72,03</t>
  </si>
  <si>
    <t>22/05/2025</t>
  </si>
  <si>
    <t>71,22</t>
  </si>
  <si>
    <t>23/05/2025</t>
  </si>
  <si>
    <t>71,13</t>
  </si>
  <si>
    <t>26/05/2025</t>
  </si>
  <si>
    <t>71,24</t>
  </si>
  <si>
    <t>27/05/2025</t>
  </si>
  <si>
    <t>70,82</t>
  </si>
  <si>
    <t>28/05/2025</t>
  </si>
  <si>
    <t>69,42</t>
  </si>
  <si>
    <t>29/05/2025</t>
  </si>
  <si>
    <t>69,17</t>
  </si>
  <si>
    <t>30/05/2025</t>
  </si>
  <si>
    <t>68,95</t>
  </si>
  <si>
    <t>02/06/2025</t>
  </si>
  <si>
    <t>68,85</t>
  </si>
  <si>
    <t>03/06/2025</t>
  </si>
  <si>
    <t>68,89</t>
  </si>
  <si>
    <t>04/06/2025</t>
  </si>
  <si>
    <t>69,02</t>
  </si>
  <si>
    <t>05/06/2025</t>
  </si>
  <si>
    <t>68,96</t>
  </si>
  <si>
    <t>06/06/2025</t>
  </si>
  <si>
    <t>69,53</t>
  </si>
  <si>
    <t>09/06/2025</t>
  </si>
  <si>
    <t>68,79</t>
  </si>
  <si>
    <t>10/06/2025</t>
  </si>
  <si>
    <t>67,73</t>
  </si>
  <si>
    <t>11/06/2025</t>
  </si>
  <si>
    <t>67,97</t>
  </si>
  <si>
    <t>12/06/2025</t>
  </si>
  <si>
    <t>67,64</t>
  </si>
  <si>
    <t>13/06/2025</t>
  </si>
  <si>
    <t>67,61</t>
  </si>
  <si>
    <t>16/06/2025</t>
  </si>
  <si>
    <t>17/06/2025</t>
  </si>
  <si>
    <t>67,36</t>
  </si>
  <si>
    <t>18/06/2025</t>
  </si>
  <si>
    <t>68,07</t>
  </si>
  <si>
    <t>20/06/2025</t>
  </si>
  <si>
    <t>68,11</t>
  </si>
  <si>
    <t>23/06/2025</t>
  </si>
  <si>
    <t>68,43</t>
  </si>
  <si>
    <t>24/06/2025</t>
  </si>
  <si>
    <t>68,27</t>
  </si>
  <si>
    <t>25/06/2025</t>
  </si>
  <si>
    <t>68,04</t>
  </si>
  <si>
    <t>26/06/2025</t>
  </si>
  <si>
    <t>67,58</t>
  </si>
  <si>
    <t>27/06/2025</t>
  </si>
  <si>
    <t>67,65</t>
  </si>
  <si>
    <t>30/06/2025</t>
  </si>
  <si>
    <t>67,02</t>
  </si>
  <si>
    <t>01/07/2025</t>
  </si>
  <si>
    <t>65,68</t>
  </si>
  <si>
    <t>02/07/2025</t>
  </si>
  <si>
    <t>65,25</t>
  </si>
  <si>
    <t>03/07/2025</t>
  </si>
  <si>
    <t>04/07/2025</t>
  </si>
  <si>
    <t>64,05</t>
  </si>
  <si>
    <t>07/07/2025</t>
  </si>
  <si>
    <t>63,44</t>
  </si>
  <si>
    <t>08/07/2025</t>
  </si>
  <si>
    <t>63,35</t>
  </si>
  <si>
    <t>09/07/2025</t>
  </si>
  <si>
    <t>63,19</t>
  </si>
  <si>
    <t>10/07/2025</t>
  </si>
  <si>
    <t>62,98</t>
  </si>
  <si>
    <t>11/07/2025</t>
  </si>
  <si>
    <t>14/07/2025</t>
  </si>
  <si>
    <t>62,73</t>
  </si>
  <si>
    <t>15/07/2025</t>
  </si>
  <si>
    <t>62,78</t>
  </si>
  <si>
    <t>16/07/2025</t>
  </si>
  <si>
    <t>17/07/2025</t>
  </si>
  <si>
    <t>62,93</t>
  </si>
  <si>
    <t>18/07/2025</t>
  </si>
  <si>
    <t>63,39</t>
  </si>
  <si>
    <t>21/07/2025</t>
  </si>
  <si>
    <t>63,56</t>
  </si>
  <si>
    <t>22/07/2025</t>
  </si>
  <si>
    <t>64,02</t>
  </si>
  <si>
    <t>23/07/2025</t>
  </si>
  <si>
    <t>64,00</t>
  </si>
  <si>
    <t>24/07/2025</t>
  </si>
  <si>
    <t>64,11</t>
  </si>
  <si>
    <t>25/07/2025</t>
  </si>
  <si>
    <t>63,74</t>
  </si>
  <si>
    <t>28/07/2025</t>
  </si>
  <si>
    <t>63,70</t>
  </si>
  <si>
    <t>29/07/2025</t>
  </si>
  <si>
    <t>63,64</t>
  </si>
  <si>
    <t>30/07/2025</t>
  </si>
  <si>
    <t>63,51</t>
  </si>
  <si>
    <t>31/07/2025</t>
  </si>
  <si>
    <t>63,54</t>
  </si>
  <si>
    <t>01/08/2025</t>
  </si>
  <si>
    <t>63,71</t>
  </si>
  <si>
    <t>04/08/2025</t>
  </si>
  <si>
    <t>05/08/2025</t>
  </si>
  <si>
    <t>64,01</t>
  </si>
  <si>
    <t>06/08/2025</t>
  </si>
  <si>
    <t>63,67</t>
  </si>
  <si>
    <t>07/08/2025</t>
  </si>
  <si>
    <t>63,58</t>
  </si>
  <si>
    <t>08/08/2025</t>
  </si>
  <si>
    <t>63,61</t>
  </si>
  <si>
    <t>11/08/2025</t>
  </si>
  <si>
    <t>63,65</t>
  </si>
  <si>
    <t>12/08/2025</t>
  </si>
  <si>
    <t>63,89</t>
  </si>
  <si>
    <t>13/08/2025</t>
  </si>
  <si>
    <t>14/08/2025</t>
  </si>
  <si>
    <t>63,37</t>
  </si>
  <si>
    <t>15/08/2025</t>
  </si>
  <si>
    <t>63,26</t>
  </si>
  <si>
    <t>18/08/2025</t>
  </si>
  <si>
    <t>63,33</t>
  </si>
  <si>
    <t>19/08/2025</t>
  </si>
  <si>
    <t>63,83</t>
  </si>
  <si>
    <t>20/08/2025</t>
  </si>
  <si>
    <t>63,87</t>
  </si>
  <si>
    <t>21/08/2025</t>
  </si>
  <si>
    <t>64,03</t>
  </si>
  <si>
    <t>22/08/2025</t>
  </si>
  <si>
    <t>25/08/2025</t>
  </si>
  <si>
    <t>64,32</t>
  </si>
  <si>
    <t>26/08/2025</t>
  </si>
  <si>
    <t>64,34</t>
  </si>
  <si>
    <t>27/08/2025</t>
  </si>
  <si>
    <t>64,49</t>
  </si>
  <si>
    <t>28/08/2025</t>
  </si>
  <si>
    <t>64,26</t>
  </si>
  <si>
    <t>29/08/2025</t>
  </si>
  <si>
    <t>64,29</t>
  </si>
  <si>
    <t>01/09/2025</t>
  </si>
  <si>
    <t>02/09/2025</t>
  </si>
  <si>
    <t>64,53</t>
  </si>
  <si>
    <t>03/09/2025</t>
  </si>
  <si>
    <t>64,58</t>
  </si>
  <si>
    <t>04/09/2025</t>
  </si>
  <si>
    <t>64,70</t>
  </si>
  <si>
    <t>05/09/2025</t>
  </si>
  <si>
    <t>64,78</t>
  </si>
  <si>
    <t>08/09/2025</t>
  </si>
  <si>
    <t>64,82</t>
  </si>
  <si>
    <t>09/09/2025</t>
  </si>
  <si>
    <t>65,15</t>
  </si>
  <si>
    <t>10/09/2025</t>
  </si>
  <si>
    <t>65,07</t>
  </si>
  <si>
    <t>11/09/2025</t>
  </si>
  <si>
    <t>64,97</t>
  </si>
  <si>
    <t>12/09/2025</t>
  </si>
  <si>
    <t>65,03</t>
  </si>
  <si>
    <t>15/09/2025</t>
  </si>
  <si>
    <t>65,08</t>
  </si>
  <si>
    <t>16/09/2025</t>
  </si>
  <si>
    <t>65,19</t>
  </si>
  <si>
    <t>17/09/2025</t>
  </si>
  <si>
    <t>65,36</t>
  </si>
  <si>
    <t>18/09/2025</t>
  </si>
  <si>
    <t>65,33</t>
  </si>
  <si>
    <t>19/09/2025</t>
  </si>
  <si>
    <t>65,32</t>
  </si>
  <si>
    <t>22/09/2025</t>
  </si>
  <si>
    <t>64,75</t>
  </si>
  <si>
    <t>23/09/2025</t>
  </si>
  <si>
    <t>24/09/2025</t>
  </si>
  <si>
    <t>64,33</t>
  </si>
  <si>
    <t>25/09/2025</t>
  </si>
  <si>
    <t>64,36</t>
  </si>
  <si>
    <t>26/09/2025</t>
  </si>
  <si>
    <t>29/09/2025</t>
  </si>
  <si>
    <t>30/09/2025</t>
  </si>
  <si>
    <t>01/10/2025</t>
  </si>
  <si>
    <t>64,31</t>
  </si>
  <si>
    <t>02/10/2025</t>
  </si>
  <si>
    <t>64,57</t>
  </si>
  <si>
    <t>03/10/2025</t>
  </si>
  <si>
    <t>64,77</t>
  </si>
  <si>
    <t>06/10/2025</t>
  </si>
  <si>
    <t>64,93</t>
  </si>
  <si>
    <t>07/10/2025</t>
  </si>
  <si>
    <t>65,09</t>
  </si>
  <si>
    <t>08/10/2025</t>
  </si>
  <si>
    <t>65,30</t>
  </si>
  <si>
    <t>09/10/2025</t>
  </si>
  <si>
    <t>10/10/2025</t>
  </si>
  <si>
    <t>65,21</t>
  </si>
  <si>
    <t>13/10/2025</t>
  </si>
  <si>
    <t>14/10/2025</t>
  </si>
  <si>
    <t>64,98</t>
  </si>
  <si>
    <t>15/10/2025</t>
  </si>
  <si>
    <t>64,96</t>
  </si>
  <si>
    <t>16/10/2025</t>
  </si>
  <si>
    <t>65,12</t>
  </si>
  <si>
    <t>17/10/2025</t>
  </si>
  <si>
    <t>20/10/2025</t>
  </si>
  <si>
    <t>65,49</t>
  </si>
  <si>
    <t>21/10/2025</t>
  </si>
  <si>
    <t>22/10/2025</t>
  </si>
  <si>
    <t>65,47</t>
  </si>
  <si>
    <t>23/10/2025</t>
  </si>
  <si>
    <t>65,63</t>
  </si>
  <si>
    <t>24/10/2025</t>
  </si>
  <si>
    <t>65,66</t>
  </si>
  <si>
    <t>27/10/2025</t>
  </si>
  <si>
    <t>28/10/2025</t>
  </si>
  <si>
    <t>65,84</t>
  </si>
  <si>
    <t>29/10/2025</t>
  </si>
  <si>
    <t>66,03</t>
  </si>
  <si>
    <t>30/10/2025</t>
  </si>
  <si>
    <t>66,24</t>
  </si>
  <si>
    <t>31/10/2025</t>
  </si>
  <si>
    <t>66,15</t>
  </si>
  <si>
    <t>03/11/2025</t>
  </si>
  <si>
    <t>66,43</t>
  </si>
  <si>
    <t>04/11/2025</t>
  </si>
  <si>
    <t>66,69</t>
  </si>
  <si>
    <t>05/11/2025</t>
  </si>
  <si>
    <t>66,80</t>
  </si>
  <si>
    <t>06/11/2025</t>
  </si>
  <si>
    <t>66,85</t>
  </si>
  <si>
    <t>07/11/2025</t>
  </si>
  <si>
    <t>67,08</t>
  </si>
  <si>
    <t>10/11/2025</t>
  </si>
  <si>
    <t>67,31</t>
  </si>
  <si>
    <t>11/11/2025</t>
  </si>
  <si>
    <t>67,34</t>
  </si>
  <si>
    <t>12/11/2025</t>
  </si>
  <si>
    <t>13/11/2025</t>
  </si>
  <si>
    <t>67,46</t>
  </si>
  <si>
    <t>14/11/2025</t>
  </si>
  <si>
    <t>67,52</t>
  </si>
  <si>
    <t>17/11/2025</t>
  </si>
  <si>
    <t>67,62</t>
  </si>
  <si>
    <t>18/11/2025</t>
  </si>
  <si>
    <t>19/11/2025</t>
  </si>
  <si>
    <t>21/11/2025</t>
  </si>
  <si>
    <t>67,67</t>
  </si>
  <si>
    <t>24/11/2025</t>
  </si>
  <si>
    <t>67,82</t>
  </si>
  <si>
    <t>25/11/2025</t>
  </si>
  <si>
    <t>68,24</t>
  </si>
  <si>
    <t>26/11/2025</t>
  </si>
  <si>
    <t>68,40</t>
  </si>
  <si>
    <t>27/11/2025</t>
  </si>
  <si>
    <t>68,62</t>
  </si>
  <si>
    <t>28/11/2025</t>
  </si>
  <si>
    <t>68,76</t>
  </si>
  <si>
    <t>01/12/2025</t>
  </si>
  <si>
    <t>69,04</t>
  </si>
  <si>
    <t>02/12/2025</t>
  </si>
  <si>
    <t>69,54</t>
  </si>
  <si>
    <t>03/12/2025</t>
  </si>
  <si>
    <t>69,91</t>
  </si>
  <si>
    <t>04/12/2025</t>
  </si>
  <si>
    <t>69,97</t>
  </si>
  <si>
    <t>05/12/2025</t>
  </si>
  <si>
    <t>70,30</t>
  </si>
  <si>
    <t>08/12/2025</t>
  </si>
  <si>
    <t>70,15</t>
  </si>
  <si>
    <t>09/12/2025</t>
  </si>
  <si>
    <t>69,99</t>
  </si>
  <si>
    <t>10/12/2025</t>
  </si>
  <si>
    <t>11/12/2025</t>
  </si>
  <si>
    <t>69,62</t>
  </si>
  <si>
    <t>12/12/2025</t>
  </si>
  <si>
    <t>69,46</t>
  </si>
  <si>
    <t>15/12/2025</t>
  </si>
  <si>
    <t>69,71</t>
  </si>
  <si>
    <t>16/12/2025</t>
  </si>
  <si>
    <t>69,56</t>
  </si>
  <si>
    <t>17/12/2025</t>
  </si>
  <si>
    <t>69,19</t>
  </si>
  <si>
    <t>18/12/2025</t>
  </si>
  <si>
    <t>69,27</t>
  </si>
  <si>
    <t>19/12/2025</t>
  </si>
  <si>
    <t>22/12/2025</t>
  </si>
  <si>
    <t>69,47</t>
  </si>
  <si>
    <t>23/12/2025</t>
  </si>
  <si>
    <t>69,50</t>
  </si>
  <si>
    <t>26/12/2025</t>
  </si>
  <si>
    <t>69,48</t>
  </si>
  <si>
    <t>29/12/2025</t>
  </si>
  <si>
    <t>30/12/2025</t>
  </si>
  <si>
    <t>02/01/2026</t>
  </si>
  <si>
    <t>69,45</t>
  </si>
  <si>
    <t>05/01/2026</t>
  </si>
  <si>
    <t>69,38</t>
  </si>
  <si>
    <t>06/01/2026</t>
  </si>
  <si>
    <t>69,13</t>
  </si>
  <si>
    <t>07/01/2026</t>
  </si>
  <si>
    <t>69,00</t>
  </si>
  <si>
    <t>08/01/2026</t>
  </si>
  <si>
    <t>68,94</t>
  </si>
  <si>
    <t>09/01/2026</t>
  </si>
  <si>
    <t>12/01/2026</t>
  </si>
  <si>
    <t>68,84</t>
  </si>
  <si>
    <t>13/01/2026</t>
  </si>
  <si>
    <t>14/01/2026</t>
  </si>
  <si>
    <t>15/01/2026</t>
  </si>
  <si>
    <t>68,37</t>
  </si>
  <si>
    <t>16/01/2026</t>
  </si>
  <si>
    <t>68,41</t>
  </si>
  <si>
    <t>19/01/2026</t>
  </si>
  <si>
    <t>68,12</t>
  </si>
  <si>
    <t>20/01/2026</t>
  </si>
  <si>
    <t>21/01/2026</t>
  </si>
  <si>
    <t>67,04</t>
  </si>
  <si>
    <t>22/01/2026</t>
  </si>
  <si>
    <t>66,72</t>
  </si>
  <si>
    <t>23/01/2026</t>
  </si>
  <si>
    <t>66,63</t>
  </si>
  <si>
    <t>26/01/2026</t>
  </si>
  <si>
    <t>27/01/2026</t>
  </si>
  <si>
    <t>66,22</t>
  </si>
  <si>
    <t>28/01/2026</t>
  </si>
  <si>
    <t>65,87</t>
  </si>
  <si>
    <t>29/01/2026</t>
  </si>
  <si>
    <t>65,96</t>
  </si>
  <si>
    <t>30/01/2026</t>
  </si>
  <si>
    <t>66,10</t>
  </si>
  <si>
    <t>02/02/2026</t>
  </si>
  <si>
    <t>66,17</t>
  </si>
  <si>
    <t>03/02/2026</t>
  </si>
  <si>
    <t>66,28</t>
  </si>
  <si>
    <t>04/02/2026</t>
  </si>
  <si>
    <t>66,44</t>
  </si>
  <si>
    <t>05/02/2026</t>
  </si>
  <si>
    <t>66,49</t>
  </si>
  <si>
    <t>06/02/2026</t>
  </si>
  <si>
    <t>66,78</t>
  </si>
  <si>
    <t>09/02/2026</t>
  </si>
  <si>
    <t>67,09</t>
  </si>
  <si>
    <t>10/02/2026</t>
  </si>
  <si>
    <t>67,06</t>
  </si>
  <si>
    <t>11/02/2026</t>
  </si>
  <si>
    <t>67,21</t>
  </si>
  <si>
    <t>12/02/2026</t>
  </si>
  <si>
    <t>13/02/2026</t>
  </si>
  <si>
    <t>68,14</t>
  </si>
  <si>
    <t>18/02/2026</t>
  </si>
  <si>
    <t>68,39</t>
  </si>
  <si>
    <t>19/02/2026</t>
  </si>
  <si>
    <t>68,80</t>
  </si>
  <si>
    <t>20/02/2026</t>
  </si>
  <si>
    <t>68,74</t>
  </si>
  <si>
    <t>23/02/2026</t>
  </si>
  <si>
    <t>24/02/2026</t>
  </si>
  <si>
    <t>69,14</t>
  </si>
  <si>
    <t>25/02/2026</t>
  </si>
  <si>
    <t>69,28</t>
  </si>
  <si>
    <t>26/02/2026</t>
  </si>
  <si>
    <t>27/02/2026</t>
  </si>
  <si>
    <t>02/03/2026</t>
  </si>
  <si>
    <t>03/03/2026</t>
  </si>
  <si>
    <t>69,98</t>
  </si>
  <si>
    <t>04/03/2026</t>
  </si>
  <si>
    <t>70,23</t>
  </si>
  <si>
    <t>05/03/2026</t>
  </si>
  <si>
    <t>06/03/2026</t>
  </si>
  <si>
    <t>70,56</t>
  </si>
  <si>
    <t>09/03/2026</t>
  </si>
  <si>
    <t>70,63</t>
  </si>
  <si>
    <t>10/03/2026</t>
  </si>
  <si>
    <t>71,09</t>
  </si>
  <si>
    <t>11/03/2026</t>
  </si>
  <si>
    <t>12/03/2026</t>
  </si>
  <si>
    <t>71,56</t>
  </si>
  <si>
    <t>13/03/2026</t>
  </si>
  <si>
    <t>71,98</t>
  </si>
  <si>
    <t>16/03/2026</t>
  </si>
  <si>
    <t>72,10</t>
  </si>
  <si>
    <t>17/03/2026</t>
  </si>
  <si>
    <t>72,02</t>
  </si>
  <si>
    <t>18/03/2026</t>
  </si>
  <si>
    <t>71,20</t>
  </si>
  <si>
    <t>19/03/2026</t>
  </si>
  <si>
    <t>71,63</t>
  </si>
  <si>
    <t>20/03/2026</t>
  </si>
  <si>
    <t>71,37</t>
  </si>
  <si>
    <t>23/03/2026</t>
  </si>
  <si>
    <t>71,25</t>
  </si>
  <si>
    <t>24/03/2026</t>
  </si>
  <si>
    <t>71,01</t>
  </si>
  <si>
    <t>25/03/2026</t>
  </si>
  <si>
    <t>70,45</t>
  </si>
  <si>
    <t>26/03/2026</t>
  </si>
  <si>
    <t>70,33</t>
  </si>
  <si>
    <t>27/03/2026</t>
  </si>
  <si>
    <t>70,34</t>
  </si>
  <si>
    <t>30/03/2026</t>
  </si>
  <si>
    <t>70,29</t>
  </si>
  <si>
    <t>31/03/2026</t>
  </si>
  <si>
    <t>70,37</t>
  </si>
  <si>
    <t>01/04/2026</t>
  </si>
  <si>
    <t>70,32</t>
  </si>
  <si>
    <t>02/04/2026</t>
  </si>
  <si>
    <t>69,96</t>
  </si>
  <si>
    <t>06/04/2026</t>
  </si>
  <si>
    <t>69,88</t>
  </si>
  <si>
    <t>07/04/2026</t>
  </si>
  <si>
    <t>69,58</t>
  </si>
  <si>
    <t>08/04/2026</t>
  </si>
  <si>
    <t>69,79</t>
  </si>
  <si>
    <t>09/04/2026</t>
  </si>
  <si>
    <t>69,59</t>
  </si>
  <si>
    <t>10/04/2026</t>
  </si>
  <si>
    <t>69,07</t>
  </si>
  <si>
    <t>13/04/2026</t>
  </si>
  <si>
    <t>68,78</t>
  </si>
  <si>
    <t>14/04/2026</t>
  </si>
  <si>
    <t>15/04/2026</t>
  </si>
  <si>
    <t>67,48</t>
  </si>
  <si>
    <t>16/04/2026</t>
  </si>
  <si>
    <t>67,01</t>
  </si>
  <si>
    <t>17/04/2026</t>
  </si>
  <si>
    <t>66,81</t>
  </si>
  <si>
    <t>20/04/2026</t>
  </si>
  <si>
    <t>66,45</t>
  </si>
  <si>
    <t>22/04/2026</t>
  </si>
  <si>
    <t>66,34</t>
  </si>
  <si>
    <t>23/04/2026</t>
  </si>
  <si>
    <t>66,36</t>
  </si>
  <si>
    <t>24/04/2026</t>
  </si>
  <si>
    <t>27/04/2026</t>
  </si>
  <si>
    <t>66,67</t>
  </si>
  <si>
    <t>28/04/2026</t>
  </si>
  <si>
    <t>29/04/2026</t>
  </si>
  <si>
    <t>66,91</t>
  </si>
  <si>
    <t>30/04/2026</t>
  </si>
  <si>
    <t>04/05/2026</t>
  </si>
  <si>
    <t>67,05</t>
  </si>
  <si>
    <t>05/05/2026</t>
  </si>
  <si>
    <t>66,73</t>
  </si>
  <si>
    <t>06/05/2026</t>
  </si>
  <si>
    <t>66,41</t>
  </si>
  <si>
    <t>07/05/2026</t>
  </si>
  <si>
    <t>66,07</t>
  </si>
  <si>
    <t>08/05/2026</t>
  </si>
  <si>
    <t>65,98</t>
  </si>
  <si>
    <t>11/05/2026</t>
  </si>
  <si>
    <t>65,92</t>
  </si>
  <si>
    <t>12/05/2026</t>
  </si>
  <si>
    <t>65,51</t>
  </si>
  <si>
    <t>13/05/2026</t>
  </si>
  <si>
    <t>65,35</t>
  </si>
  <si>
    <t>14/05/2026</t>
  </si>
  <si>
    <t>65,42</t>
  </si>
  <si>
    <t>15/05/2026</t>
  </si>
  <si>
    <t>18/05/2026</t>
  </si>
  <si>
    <t>19/05/2026</t>
  </si>
  <si>
    <t>65,28</t>
  </si>
  <si>
    <t>20/05/2026</t>
  </si>
  <si>
    <t>65,34</t>
  </si>
  <si>
    <t>21/05/2026</t>
  </si>
  <si>
    <t>65,41</t>
  </si>
  <si>
    <t>22/05/2026</t>
  </si>
  <si>
    <t>25/05/2026</t>
  </si>
  <si>
    <t>65,39</t>
  </si>
  <si>
    <t>26/05/2026</t>
  </si>
  <si>
    <t>64,99</t>
  </si>
  <si>
    <t>27/05/2026</t>
  </si>
  <si>
    <t>65,13</t>
  </si>
  <si>
    <t>28/05/2026</t>
  </si>
  <si>
    <t>64,90</t>
  </si>
  <si>
    <t>29/05/2026</t>
  </si>
  <si>
    <t>01/06/2026</t>
  </si>
  <si>
    <t>64,76</t>
  </si>
  <si>
    <t>02/06/2026</t>
  </si>
  <si>
    <t>64,54</t>
  </si>
  <si>
    <t>03/06/2026</t>
  </si>
  <si>
    <t>64,51</t>
  </si>
  <si>
    <t>05/06/2026</t>
  </si>
  <si>
    <t>08/06/2026</t>
  </si>
  <si>
    <t>09/06/2026</t>
  </si>
  <si>
    <t>10/06/2026</t>
  </si>
  <si>
    <t>11/06/2026</t>
  </si>
  <si>
    <t>12/06/2026</t>
  </si>
  <si>
    <t>64,21</t>
  </si>
  <si>
    <t>15/06/2026</t>
  </si>
  <si>
    <t>62,97</t>
  </si>
  <si>
    <t>16/06/2026</t>
  </si>
  <si>
    <t>63,05</t>
  </si>
  <si>
    <t>17/06/2026</t>
  </si>
  <si>
    <t>62,99</t>
  </si>
  <si>
    <t>18/06/2026</t>
  </si>
  <si>
    <t>62,89</t>
  </si>
  <si>
    <t>19/06/2026</t>
  </si>
  <si>
    <t>22/06/2026</t>
  </si>
  <si>
    <t>63,04</t>
  </si>
  <si>
    <t>23/06/2026</t>
  </si>
  <si>
    <t>63,12</t>
  </si>
  <si>
    <t>24/06/2026</t>
  </si>
  <si>
    <t>63,09</t>
  </si>
  <si>
    <t>25/06/2026</t>
  </si>
  <si>
    <t>63,27</t>
  </si>
  <si>
    <t>26/06/2026</t>
  </si>
  <si>
    <t>63,45</t>
  </si>
  <si>
    <t>29/06/2026</t>
  </si>
  <si>
    <t>63,40</t>
  </si>
  <si>
    <t>30/06/2026</t>
  </si>
  <si>
    <t>01/07/2026</t>
  </si>
  <si>
    <t>02/07/2026</t>
  </si>
  <si>
    <t>64,13</t>
  </si>
  <si>
    <t>03/07/2026</t>
  </si>
  <si>
    <t>06/07/2026</t>
  </si>
  <si>
    <t>07/07/2026</t>
  </si>
  <si>
    <t>08/07/2026</t>
  </si>
  <si>
    <t>64,37</t>
  </si>
  <si>
    <t>09/07/2026</t>
  </si>
  <si>
    <t>10/07/2026</t>
  </si>
  <si>
    <t>13/07/2026</t>
  </si>
  <si>
    <t>64,62</t>
  </si>
  <si>
    <t>14/07/2026</t>
  </si>
  <si>
    <t>64,64</t>
  </si>
  <si>
    <t>15/07/2026</t>
  </si>
  <si>
    <t>16/07/2026</t>
  </si>
  <si>
    <t>64,87</t>
  </si>
  <si>
    <t>17/07/2026</t>
  </si>
  <si>
    <t>64,94</t>
  </si>
  <si>
    <t>2021-S52</t>
  </si>
  <si>
    <t>2022-S01</t>
  </si>
  <si>
    <t>2022-S02</t>
  </si>
  <si>
    <t>2022-S03</t>
  </si>
  <si>
    <t>2022-S04</t>
  </si>
  <si>
    <t>2022-S05</t>
  </si>
  <si>
    <t>2022-S06</t>
  </si>
  <si>
    <t>2022-S07</t>
  </si>
  <si>
    <t>2022-S08</t>
  </si>
  <si>
    <t>2022-S09</t>
  </si>
  <si>
    <t>2022-S10</t>
  </si>
  <si>
    <t>2022-S11</t>
  </si>
  <si>
    <t>2022-S12</t>
  </si>
  <si>
    <t>2022-S13</t>
  </si>
  <si>
    <t>2022-S14</t>
  </si>
  <si>
    <t>2022-S15</t>
  </si>
  <si>
    <t>2022-S16</t>
  </si>
  <si>
    <t>2022-S17</t>
  </si>
  <si>
    <t>2022-S18</t>
  </si>
  <si>
    <t>2022-S19</t>
  </si>
  <si>
    <t>2022-S20</t>
  </si>
  <si>
    <t>2022-S21</t>
  </si>
  <si>
    <t>2022-S22</t>
  </si>
  <si>
    <t>2022-S23</t>
  </si>
  <si>
    <t>2022-S24</t>
  </si>
  <si>
    <t>2022-S25</t>
  </si>
  <si>
    <t>2022-S26</t>
  </si>
  <si>
    <t>2022-S27</t>
  </si>
  <si>
    <t>2022-S28</t>
  </si>
  <si>
    <t>2022-S29</t>
  </si>
  <si>
    <t>2022-S30</t>
  </si>
  <si>
    <t>2022-S31</t>
  </si>
  <si>
    <t>2022-S32</t>
  </si>
  <si>
    <t>2022-S33</t>
  </si>
  <si>
    <t>2022-S34</t>
  </si>
  <si>
    <t>2022-S35</t>
  </si>
  <si>
    <t>2022-S36</t>
  </si>
  <si>
    <t>2022-S37</t>
  </si>
  <si>
    <t>2022-S38</t>
  </si>
  <si>
    <t>2022-S39</t>
  </si>
  <si>
    <t>2022-S40</t>
  </si>
  <si>
    <t>2022-S41</t>
  </si>
  <si>
    <t>2022-S42</t>
  </si>
  <si>
    <t>2022-S43</t>
  </si>
  <si>
    <t>2022-S44</t>
  </si>
  <si>
    <t>2022-S45</t>
  </si>
  <si>
    <t>2022-S46</t>
  </si>
  <si>
    <t>2022-S47</t>
  </si>
  <si>
    <t>2022-S48</t>
  </si>
  <si>
    <t>2022-S49</t>
  </si>
  <si>
    <t>2022-S50</t>
  </si>
  <si>
    <t>2022-S51</t>
  </si>
  <si>
    <t>2022-S52</t>
  </si>
  <si>
    <t>2023-S01</t>
  </si>
  <si>
    <t>2023-S02</t>
  </si>
  <si>
    <t>2023-S03</t>
  </si>
  <si>
    <t>2023-S04</t>
  </si>
  <si>
    <t>2023-S05</t>
  </si>
  <si>
    <t>2023-S06</t>
  </si>
  <si>
    <t>2023-S07</t>
  </si>
  <si>
    <t>2023-S08</t>
  </si>
  <si>
    <t>2023-S09</t>
  </si>
  <si>
    <t>2023-S10</t>
  </si>
  <si>
    <t>2023-S11</t>
  </si>
  <si>
    <t>2023-S12</t>
  </si>
  <si>
    <t>2023-S13</t>
  </si>
  <si>
    <t>2023-S14</t>
  </si>
  <si>
    <t>2023-S15</t>
  </si>
  <si>
    <t>2023-S16</t>
  </si>
  <si>
    <t>2023-S17</t>
  </si>
  <si>
    <t>2023-S18</t>
  </si>
  <si>
    <t>2023-S19</t>
  </si>
  <si>
    <t>2023-S20</t>
  </si>
  <si>
    <t>2023-S21</t>
  </si>
  <si>
    <t>2023-S22</t>
  </si>
  <si>
    <t>2023-S23</t>
  </si>
  <si>
    <t>2023-S24</t>
  </si>
  <si>
    <t>2023-S25</t>
  </si>
  <si>
    <t>2023-S26</t>
  </si>
  <si>
    <t>2023-S27</t>
  </si>
  <si>
    <t>2023-S28</t>
  </si>
  <si>
    <t>2023-S29</t>
  </si>
  <si>
    <t>2023-S30</t>
  </si>
  <si>
    <t>2023-S31</t>
  </si>
  <si>
    <t>2023-S32</t>
  </si>
  <si>
    <t>2023-S33</t>
  </si>
  <si>
    <t>2023-S34</t>
  </si>
  <si>
    <t>2023-S35</t>
  </si>
  <si>
    <t>2023-S36</t>
  </si>
  <si>
    <t>2023-S37</t>
  </si>
  <si>
    <t>2023-S38</t>
  </si>
  <si>
    <t>2023-S39</t>
  </si>
  <si>
    <t>2023-S40</t>
  </si>
  <si>
    <t>2023-S41</t>
  </si>
  <si>
    <t>2023-S42</t>
  </si>
  <si>
    <t>2023-S43</t>
  </si>
  <si>
    <t>2023-S44</t>
  </si>
  <si>
    <t>2023-S45</t>
  </si>
  <si>
    <t>2023-S46</t>
  </si>
  <si>
    <t>2023-S47</t>
  </si>
  <si>
    <t>2023-S48</t>
  </si>
  <si>
    <t>2023-S49</t>
  </si>
  <si>
    <t>2023-S50</t>
  </si>
  <si>
    <t>2023-S51</t>
  </si>
  <si>
    <t>2023-S52</t>
  </si>
  <si>
    <t>2024-S01</t>
  </si>
  <si>
    <t>2024-S02</t>
  </si>
  <si>
    <t>2024-S03</t>
  </si>
  <si>
    <t>2024-S04</t>
  </si>
  <si>
    <t>2024-S05</t>
  </si>
  <si>
    <t>2024-S06</t>
  </si>
  <si>
    <t>2024-S07</t>
  </si>
  <si>
    <t>2024-S08</t>
  </si>
  <si>
    <t>2024-S09</t>
  </si>
  <si>
    <t>2024-S10</t>
  </si>
  <si>
    <t>2024-S11</t>
  </si>
  <si>
    <t>2024-S12</t>
  </si>
  <si>
    <t>2024-S13</t>
  </si>
  <si>
    <t>2024-S14</t>
  </si>
  <si>
    <t>2024-S15</t>
  </si>
  <si>
    <t>2024-S16</t>
  </si>
  <si>
    <t>2024-S17</t>
  </si>
  <si>
    <t>2024-S18</t>
  </si>
  <si>
    <t>2024-S19</t>
  </si>
  <si>
    <t>2024-S20</t>
  </si>
  <si>
    <t>2024-S21</t>
  </si>
  <si>
    <t>2024-S22</t>
  </si>
  <si>
    <t>2024-S23</t>
  </si>
  <si>
    <t>2024-S24</t>
  </si>
  <si>
    <t>2024-S25</t>
  </si>
  <si>
    <t>2024-S26</t>
  </si>
  <si>
    <t>2024-S27</t>
  </si>
  <si>
    <t>2024-S28</t>
  </si>
  <si>
    <t>fev/2022</t>
  </si>
  <si>
    <t>abr/2022</t>
  </si>
  <si>
    <t>mai/2022</t>
  </si>
  <si>
    <t>ago/2022</t>
  </si>
  <si>
    <t>set/2022</t>
  </si>
  <si>
    <t>out/2022</t>
  </si>
  <si>
    <t>dez/2022</t>
  </si>
  <si>
    <t>fev/2023</t>
  </si>
  <si>
    <t>abr/2023</t>
  </si>
  <si>
    <t>mai/2023</t>
  </si>
  <si>
    <t>ago/2023</t>
  </si>
  <si>
    <t>set/2023</t>
  </si>
  <si>
    <t>out/2023</t>
  </si>
  <si>
    <t>dez/2023</t>
  </si>
  <si>
    <t>fev/2024</t>
  </si>
  <si>
    <t>abr/2024</t>
  </si>
  <si>
    <t>mai/2024</t>
  </si>
  <si>
    <t>ago/2024</t>
  </si>
  <si>
    <t>set/2024</t>
  </si>
  <si>
    <t>out/2024</t>
  </si>
  <si>
    <t>dez/2024</t>
  </si>
  <si>
    <t>jan/2022</t>
  </si>
  <si>
    <t>mar/2022</t>
  </si>
  <si>
    <t>jun/2022</t>
  </si>
  <si>
    <t>jul/2022</t>
  </si>
  <si>
    <t>nov/2022</t>
  </si>
  <si>
    <t>jan/2023</t>
  </si>
  <si>
    <t>mar/2023</t>
  </si>
  <si>
    <t>jun/2023</t>
  </si>
  <si>
    <t>jul/2023</t>
  </si>
  <si>
    <t>nov/2023</t>
  </si>
  <si>
    <t>jan/2024</t>
  </si>
  <si>
    <t>mar/2024</t>
  </si>
  <si>
    <t>jun/2024</t>
  </si>
  <si>
    <t>jul/2024</t>
  </si>
  <si>
    <t>nov/2024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</si>
  <si>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</si>
  <si>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</si>
  <si>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</si>
  <si>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</si>
  <si>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</si>
  <si>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</si>
  <si>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</si>
  <si>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</si>
  <si>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</si>
  <si>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</si>
  <si>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nov/2025</t>
  </si>
  <si>
    <t>dez/2025</t>
  </si>
  <si>
    <t>jan/2026</t>
  </si>
  <si>
    <t>fev/2026</t>
  </si>
  <si>
    <t>mar/2026</t>
  </si>
  <si>
    <t>abr/2026</t>
  </si>
  <si>
    <t>mai/2026</t>
  </si>
  <si>
    <t>jun/2026</t>
  </si>
  <si>
    <t>jul/2026</t>
  </si>
  <si>
    <t>DASHBOARD DE ANÁLISE - À VISTA R$</t>
  </si>
  <si>
    <t>Análise de Variação e Drawdown | Período: Jan/2022 a Jul/2026</t>
  </si>
  <si>
    <t>VaR 95% Diário</t>
  </si>
  <si>
    <t>Dashboard gerado automaticamente | Dados: À Vista R$ (Sheet1) | Atualizado: 18/07/2026</t>
  </si>
  <si>
    <t>CANAL DE REGRESSÃO LINEAR (1.5σ)</t>
  </si>
  <si>
    <t>Índice</t>
  </si>
  <si>
    <t>Regressão Linear</t>
  </si>
  <si>
    <t>Banda Superior</t>
  </si>
  <si>
    <t>Banda Inferior</t>
  </si>
  <si>
    <t>ESTATÍSTICAS DA REGRESSÃO</t>
  </si>
  <si>
    <t>Intercepto (a)</t>
  </si>
  <si>
    <t>Slope (b)</t>
  </si>
  <si>
    <t>Desvio Residual (σ)</t>
  </si>
  <si>
    <t>R²</t>
  </si>
  <si>
    <t>Multiplicador Banda</t>
  </si>
  <si>
    <t>Resíduo</t>
  </si>
  <si>
    <t>📊 ESTATÍSTICAS DA REGRESSÃO</t>
  </si>
  <si>
    <t>Inclinação (b)</t>
  </si>
  <si>
    <t>Desvio Padrão Residual</t>
  </si>
  <si>
    <t>R² (Coef. Determinação)</t>
  </si>
  <si>
    <t>Valor inicial da linha de tendência</t>
  </si>
  <si>
    <t>Variação diária (R$/dia)</t>
  </si>
  <si>
    <t>Dispersão típica dos preços</t>
  </si>
  <si>
    <t>Poder explicativo do modelo</t>
  </si>
  <si>
    <t>σ para bandas</t>
  </si>
  <si>
    <t>Dias de negociação</t>
  </si>
  <si>
    <t>📍 POSIÇÃO ATUAL (ÚLTIMO DIA)</t>
  </si>
  <si>
    <t>Preço Atual</t>
  </si>
  <si>
    <t>Valor Regressão</t>
  </si>
  <si>
    <t>Posição Relativa</t>
  </si>
  <si>
    <t>Distância da Média</t>
  </si>
  <si>
    <t>% do Canal</t>
  </si>
  <si>
    <t>Cotação atual</t>
  </si>
  <si>
    <t>Centro do canal</t>
  </si>
  <si>
    <t>Limite superior</t>
  </si>
  <si>
    <t>Limite inferior</t>
  </si>
  <si>
    <t>Status atual</t>
  </si>
  <si>
    <t>Resíduo atual</t>
  </si>
  <si>
    <t>0% = inferior, 100% = superior</t>
  </si>
  <si>
    <t>📈 RESUMO DA TENDÊNCIA</t>
  </si>
  <si>
    <t>Preço Inicial (Reg.)</t>
  </si>
  <si>
    <t>Preço Final (Reg.)</t>
  </si>
  <si>
    <t>Variação Total</t>
  </si>
  <si>
    <t>Variação % Total</t>
  </si>
  <si>
    <t>Média Diária (R$)</t>
  </si>
  <si>
    <t>Direção</t>
  </si>
  <si>
    <t>⚠️ INDICADORES DE ALERTA</t>
  </si>
  <si>
    <t>Máx. Histórico</t>
  </si>
  <si>
    <t>Mín. Histórico</t>
  </si>
  <si>
    <t>Amplitude</t>
  </si>
  <si>
    <t>Maior Resíduo (+)</t>
  </si>
  <si>
    <t>Maior Resíduo (-)</t>
  </si>
  <si>
    <t>Topo histórico</t>
  </si>
  <si>
    <t>Fundo histórico</t>
  </si>
  <si>
    <t>Diferença máx-mín</t>
  </si>
  <si>
    <t>Maior sobrecompra</t>
  </si>
  <si>
    <t>Maior sobrevenda</t>
  </si>
  <si>
    <t>📝 INTERPRETAÇÃO DO MODELO</t>
  </si>
  <si>
    <t>O canal de regressão linear com bandas de 1.5σ identifica a tendência principal e os limites típicos de oscilação do preço.</t>
  </si>
  <si>
    <t>• Preços ACIMA da banda superior (+1.5σ): Possível sobrecompra - considerar realização ou cautela em compras</t>
  </si>
  <si>
    <t>• Preços ABAIXO da banda inferior (-1.5σ): Possível sobrevenda - possível oportunidade ou continuação de queda</t>
  </si>
  <si>
    <t>• Preços DENTRO do canal: Movimento dentro da normalidade estatística</t>
  </si>
  <si>
    <t>Dashboard de Canal de Regressão Linear | Dados: Preço À Vista R$ | Atualizado: 18/07/2026</t>
  </si>
  <si>
    <t>Dias Fora do Canal</t>
  </si>
  <si>
    <t>ANÁLISE DE REGRESSÃO POR ANO</t>
  </si>
  <si>
    <t>Ano</t>
  </si>
  <si>
    <t>Linha Início</t>
  </si>
  <si>
    <t>Linha Fim</t>
  </si>
  <si>
    <t>Preço Inicial</t>
  </si>
  <si>
    <t>Preço Final</t>
  </si>
  <si>
    <t>Banda 1.0σ</t>
  </si>
  <si>
    <t>Banda 1.5σ</t>
  </si>
  <si>
    <t>Banda 2.0σ</t>
  </si>
  <si>
    <t>Banda 2.5σ</t>
  </si>
  <si>
    <t>"TOTAL"</t>
  </si>
  <si>
    <t>RESUMO COMPARATIVO - DESVIO IDEAL</t>
  </si>
  <si>
    <t>Mediana</t>
  </si>
  <si>
    <t>CV (%)</t>
  </si>
  <si>
    <t>Total</t>
  </si>
  <si>
    <t>ANÁLISE E RECOMENDAÇÃO DE DESVIO PADRÃO IDEAL</t>
  </si>
  <si>
    <t>Desvio Médio Anual</t>
  </si>
  <si>
    <t>Desvio Total (Amostra Completa)</t>
  </si>
  <si>
    <t>Razão Total/Média</t>
  </si>
  <si>
    <t>Desvio Mínimo Anual</t>
  </si>
  <si>
    <t>Desvio Máximo Anual</t>
  </si>
  <si>
    <t>Amplitude (Max - Min)</t>
  </si>
  <si>
    <t>📊 DESVIO RECOMENDADO</t>
  </si>
  <si>
    <t>Justificativa</t>
  </si>
  <si>
    <t>Média do desvio residual de cada ano</t>
  </si>
  <si>
    <t>Desvio residual considerando todos os dados</t>
  </si>
  <si>
    <t>Quanto o total é maior que a média anual</t>
  </si>
  <si>
    <t>Ano com menor volatilidade</t>
  </si>
  <si>
    <t>Ano com maior volatilidade</t>
  </si>
  <si>
    <t>Variação entre anos</t>
  </si>
  <si>
    <t>Baseado na média dos anos individuais</t>
  </si>
  <si>
    <t>O desvio médio anual captura melhor a volatilidade típica de cada ano, sem ser inflado pela tendência de longo prazo</t>
  </si>
  <si>
    <t>ANÁLISE DE COBERTURA - DIAS DENTRO DO CANAL POR MULTIPLICADOR</t>
  </si>
  <si>
    <t>Multiplicador</t>
  </si>
  <si>
    <t>Banda (R$)</t>
  </si>
  <si>
    <t>2022 (%)</t>
  </si>
  <si>
    <t>2023 (%)</t>
  </si>
  <si>
    <t>2024 (%)</t>
  </si>
  <si>
    <t>2025 (%)</t>
  </si>
  <si>
    <t>2026 (%)</t>
  </si>
  <si>
    <t>Total (%)</t>
  </si>
  <si>
    <t>Média Anos</t>
  </si>
  <si>
    <t>Teórico Normal</t>
  </si>
  <si>
    <t>Diferença</t>
  </si>
  <si>
    <t>CONCLUSÃO E RECOMENDAÇÃO FINAL</t>
  </si>
  <si>
    <t>Observação 1:</t>
  </si>
  <si>
    <t>Observação 2:</t>
  </si>
  <si>
    <t>Observação 3:</t>
  </si>
  <si>
    <t>⭐ DESVIO RECOMENDADO:</t>
  </si>
  <si>
    <t>Largura da Banda:</t>
  </si>
  <si>
    <t>Cobertura Esperada:</t>
  </si>
  <si>
    <t>Motivo:</t>
  </si>
  <si>
    <t>O desvio da amostra TOTAL (10.63) é inflado pela tendência de longo prazo (queda de -29%)</t>
  </si>
  <si>
    <t>O desvio MÉDIO ANUAL (4.80) captura melhor a volatilidade típica sem viés de tendência</t>
  </si>
  <si>
    <t>A cobertura real está consistentemente ABAIXO do teórico, indicando caudas mais pesadas (não-normalidade)</t>
  </si>
  <si>
    <t>σ = 4.80 (média anual) com multiplicador 2.0x</t>
  </si>
  <si>
    <t>±R$ 9.60 em torno da linha de regressão</t>
  </si>
  <si>
    <t>~67% de cobertura real (vs 95% teórico normal)</t>
  </si>
  <si>
    <t>Usa a média dos desvios anuais, mais representativa que o desvio total inflado pela tendência</t>
  </si>
  <si>
    <t>ANÁLISE COMPARATIVA POR ANO</t>
  </si>
  <si>
    <t>Comparando parâmetros de regressão de cada ano vs amostra total</t>
  </si>
  <si>
    <t>Obs</t>
  </si>
  <si>
    <t>Slope (R$/dia)</t>
  </si>
  <si>
    <t>Desvio σ</t>
  </si>
  <si>
    <t>Variação %</t>
  </si>
  <si>
    <t>📊 RESUMO ESTATÍSTICO</t>
  </si>
  <si>
    <t>Desvio Mínimo (ano)</t>
  </si>
  <si>
    <t>Desvio Máximo (ano)</t>
  </si>
  <si>
    <t>Desvio Médio (anos)</t>
  </si>
  <si>
    <t>Desvio Mediano</t>
  </si>
  <si>
    <t>Desvio TOTAL</t>
  </si>
  <si>
    <t>2026 (parcial)</t>
  </si>
  <si>
    <t>Média dos 5 anos</t>
  </si>
  <si>
    <t>Valor central</t>
  </si>
  <si>
    <t>Todos os dados</t>
  </si>
  <si>
    <t>Inflação por tendência</t>
  </si>
  <si>
    <t>Coef. de variação</t>
  </si>
  <si>
    <t>📈 COBERTURA POR MULTIPLICADOR</t>
  </si>
  <si>
    <t>Mult.</t>
  </si>
  <si>
    <t>Cobertura Real</t>
  </si>
  <si>
    <t>Gap</t>
  </si>
  <si>
    <t>⭐ RECOMENDAÇÃO FINAL</t>
  </si>
  <si>
    <t>Desvio Recomendado:</t>
  </si>
  <si>
    <t>Multiplicador:</t>
  </si>
  <si>
    <t>Justificativa:</t>
  </si>
  <si>
    <t>O desvio médio anual captura a volatilidade típica sem a inflação causada pela tendência de longo prazo (-29%)</t>
  </si>
  <si>
    <t>Desvio σ (R$)</t>
  </si>
  <si>
    <t>TOTAL</t>
  </si>
  <si>
    <t>Slope</t>
  </si>
  <si>
    <t>📊 DASHBOARD DE REGRESSÃO LINEAR - À VISTA R$</t>
  </si>
  <si>
    <t>Análise de Canal de Regressão + Estudo Comparativo por Ano | Período: Jan/2022 a Jul/2026</t>
  </si>
  <si>
    <t>ANÁLISE DO DESVIO DA VARIAÇÃO DIÁRIA POR ANO</t>
  </si>
  <si>
    <t>Média Var%</t>
  </si>
  <si>
    <t>Var% Anual</t>
  </si>
  <si>
    <t>Banda 1σ</t>
  </si>
  <si>
    <t>Banda 2σ</t>
  </si>
  <si>
    <t>RESUMO ESTATÍSTICO - DESVIO DIÁRIO</t>
  </si>
  <si>
    <t>Desvio σ Diário</t>
  </si>
  <si>
    <t>ANÁLISE DE COBERTURA - DESVIO DIÁRIO</t>
  </si>
  <si>
    <t>Banda (σ médio)</t>
  </si>
  <si>
    <t>Status</t>
  </si>
  <si>
    <t>CONCLUSÃO E RECOMENDAÇÃO - DESVIO DIÁRIO IDEAL</t>
  </si>
  <si>
    <t>Observação 4:</t>
  </si>
  <si>
    <t>A distribuição das variações diárias é muito mais próxima da normal do que os resíduos da regressão</t>
  </si>
  <si>
    <t>O desvio padrão diário é CONSISTENTE entre os anos (CV = baixo), indicando volatilidade estável</t>
  </si>
  <si>
    <t>O desvio TOTAL (0.67%) é muito próximo da média dos anos (0.63%), diferente da análise de regressão</t>
  </si>
  <si>
    <t>Todos os multiplicadores testados têm gaps pequenos vs teórico normal (&lt; 10%)</t>
  </si>
  <si>
    <t>⭐ DESVIO DIÁRIO RECOMENDADO</t>
  </si>
  <si>
    <t>Desvio σ Diário:</t>
  </si>
  <si>
    <t>Banda Diária:</t>
  </si>
  <si>
    <t>Usar σ médio anual (0.63%) com multiplicador 2x = banda de ±1.26%. Cobertura real de ~93% (muito próximo do teórico 95.5%)</t>
  </si>
  <si>
    <t>COMPARATIVO: DESVIO DIÁRIO vs DESVIO REGRESSÃO</t>
  </si>
  <si>
    <t>Desvio Diário (%)</t>
  </si>
  <si>
    <t>Desvio Regressão (R$)</t>
  </si>
  <si>
    <t>Unidade</t>
  </si>
  <si>
    <t>Aplicação</t>
  </si>
  <si>
    <t>Vantagem</t>
  </si>
  <si>
    <t>σ Médio Anual</t>
  </si>
  <si>
    <t>%</t>
  </si>
  <si>
    <t>Volatilidade típica</t>
  </si>
  <si>
    <t>Mais estável entre anos</t>
  </si>
  <si>
    <t>σ Total</t>
  </si>
  <si>
    <t>R$</t>
  </si>
  <si>
    <t>Toda a série</t>
  </si>
  <si>
    <t>Considera tendência</t>
  </si>
  <si>
    <t>CV (variação)</t>
  </si>
  <si>
    <t>Consistência</t>
  </si>
  <si>
    <t>Diário mais consistente</t>
  </si>
  <si>
    <t>Cobertura 2σ</t>
  </si>
  <si>
    <t>Teste normalidade</t>
  </si>
  <si>
    <t>Diário mais próximo</t>
  </si>
  <si>
    <t>Gap vs Normal</t>
  </si>
  <si>
    <t>p.p.</t>
  </si>
  <si>
    <t>Adequação modelo</t>
  </si>
  <si>
    <t>Diário menor gap</t>
  </si>
  <si>
    <t>📊 RESUMO: QUAL DESVIO USAR?</t>
  </si>
  <si>
    <t>🔹 DESVIO DIÁRIO (%):</t>
  </si>
  <si>
    <t>Ideal para análise de volatilidade e risco de curto prazo</t>
  </si>
  <si>
    <t xml:space="preserve">   → Use:</t>
  </si>
  <si>
    <t>±1.26% (2σ) para identificar dias com movimentos anormais</t>
  </si>
  <si>
    <t>🔹 DESVIO REGRESSÃO (R$):</t>
  </si>
  <si>
    <t>Ideal para análise de canal de preço e tendência</t>
  </si>
  <si>
    <t>±R$ 9.60 (2σ médio anual) para identificar preços em extremos</t>
  </si>
  <si>
    <t>🔹 COMBINAÇÃO:</t>
  </si>
  <si>
    <t>Use ambos em conjunto para análise completa</t>
  </si>
  <si>
    <t>📈 ANÁLISE DO DESVIO DA VARIAÇÃO DIÁRIA</t>
  </si>
  <si>
    <t>Desvio padrão das variações percentuais diárias por ano</t>
  </si>
  <si>
    <t>Mín</t>
  </si>
  <si>
    <t>Máx</t>
  </si>
  <si>
    <t>📊 COBERTURA - DESVIO DIÁRIO</t>
  </si>
  <si>
    <t>Real</t>
  </si>
  <si>
    <t>Teórico</t>
  </si>
  <si>
    <t>⭐ RECOMENDAÇÃO - DESVIO DIÁRIO</t>
  </si>
  <si>
    <t>Cobertura Real:</t>
  </si>
  <si>
    <t>Status:</t>
  </si>
  <si>
    <t>🔄 COMPARATIVO FINAL: DESVIO DIÁRIO vs DESVIO REGRESSÃO</t>
  </si>
  <si>
    <t>Consistência (CV)</t>
  </si>
  <si>
    <t>Melhor para</t>
  </si>
  <si>
    <t>Volatilidade, risco diário, alertas de movimentos</t>
  </si>
  <si>
    <t>Canal de preço, tendência, níveis de suporte/resistência</t>
  </si>
  <si>
    <t>💡 CONCLUSÃO:</t>
  </si>
  <si>
    <t>O DESVIO DIÁRIO (%) apresenta melhor aderência à distribuição normal (gap de apenas -2.4% vs teórico) e maior consistência entre anos (CV = 26%).</t>
  </si>
  <si>
    <t>Para análise de RISCO DIÁRIO: usar σ = 0.63% com multiplicador 2x = banda de ±1.26% (93% de cobertura)</t>
  </si>
  <si>
    <t>Para análise de CANAL DE PREÇO: usar σ = R$ 4.80 com multiplicador 2x = banda de ±R$ 9.60 (67% de cobertura)</t>
  </si>
  <si>
    <t>Dashboard de Análise de Desvio | Desvio Diário + Regressão Linear | Dados: À Vista R$ | Período: Jan/2022 a Jul/2026 | Atualizado: 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</si>
</sst>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0.0000"/>
    <numFmt numFmtId="166" formatCode="\R&quot;R$&quot;\ #,##0.00"/>
    <numFmt numFmtId="167" formatCode="0.0"/>
    <numFmt numFmtId="168" formatCode="\+#,##0.00;\-#,##0.00"/>
    <numFmt numFmtId="169" formatCode="\R&quot;R$&quot;\ 0.0000&quot;/dia&quot;"/>
    <numFmt numFmtId="170" formatCode="0.0%\ &quot;fora&quot;"/>
    <numFmt numFmtId="171" formatCode="0.00&quot;x&quot;"/>
    <numFmt numFmtId="172" formatCode="&quot;σ = &quot;0.00"/>
    <numFmt numFmtId="173" formatCode="0.0%"/>
    <numFmt numFmtId="174" formatCode="\R&quot;R$&quot;\ 0.0000"/>
    <numFmt numFmtId="175" formatCode="0.0&quot;σ&quot;"/>
    <numFmt numFmtId="176" formatCode="\R&quot;R$&quot;\ #,##0.00&quot; (σ médio anual)&quot;"/>
    <numFmt numFmtId="177" formatCode="\±\ \R&quot;R$&quot;\ #,##0.00"/>
    <numFmt numFmtId="178" formatCode="\±\ 0.00%"/>
    <numFmt numFmtId="179" formatCode="0.\6\3%&quot; (σ médio anual)&quot;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24"/>
      <color rgb="FF1F4E79"/>
      <name val="Aptos Narrow"/>
      <family val="2"/>
      <scheme val="minor"/>
    </font>
    <font>
      <sz val="12"/>
      <color rgb="FF5B5B5B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rgb="FF5B5B5B"/>
      <name val="Aptos Narrow"/>
      <family val="2"/>
      <scheme val="minor"/>
    </font>
    <font>
      <b/>
      <i/>
      <sz val="9"/>
      <color rgb="FF5B5B5B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sz val="13"/>
      <color indexed="9"/>
      <name val="Calibri"/>
    </font>
    <font>
      <b/>
      <sz val="20"/>
      <color rgb="FF1F4E79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i/>
      <sz val="11"/>
      <color rgb="FF666666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rgb="FFFFFFFF"/>
      <name val="Aptos Narrow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D9E2F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2D9F3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B5FB0"/>
        <bgColor indexed="64"/>
      </patternFill>
    </fill>
    <fill>
      <patternFill patternType="solid">
        <fgColor rgb="FFC5E0B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rgb="FF1F4E7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6DCE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3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/>
    <xf numFmtId="0" fontId="16" fillId="0" borderId="0" xfId="0" applyFont="1"/>
    <xf numFmtId="0" fontId="18" fillId="0" borderId="0" xfId="0" applyFont="1"/>
    <xf numFmtId="0" fontId="16" fillId="0" borderId="0" xfId="0" applyFont="1"/>
    <xf numFmtId="0" fontId="19" fillId="33" borderId="0" xfId="0" applyFont="1" applyFill="1"/>
    <xf numFmtId="10" fontId="0" fillId="0" borderId="0" xfId="0" applyNumberFormat="1"/>
    <xf numFmtId="0" fontId="19" fillId="34" borderId="0" xfId="0" applyFont="1" applyFill="1"/>
    <xf numFmtId="0" fontId="19" fillId="35" borderId="0" xfId="0" applyFont="1" applyFill="1"/>
    <xf numFmtId="17" fontId="0" fillId="0" borderId="0" xfId="0" applyNumberFormat="1"/>
    <xf numFmtId="0" fontId="20" fillId="33" borderId="0" xfId="0" applyFont="1" applyFill="1"/>
    <xf numFmtId="0" fontId="16" fillId="36" borderId="0" xfId="0" applyFont="1" applyFill="1"/>
    <xf numFmtId="0" fontId="16" fillId="36" borderId="15" xfId="0" applyFont="1" applyFill="1" applyBorder="1"/>
    <xf numFmtId="0" fontId="0" fillId="0" borderId="15" xfId="0" applyBorder="1"/>
    <xf numFmtId="10" fontId="0" fillId="0" borderId="15" xfId="0" applyNumberFormat="1" applyBorder="1"/>
    <xf numFmtId="0" fontId="20" fillId="34" borderId="0" xfId="0" applyFont="1" applyFill="1"/>
    <xf numFmtId="10" fontId="16" fillId="36" borderId="15" xfId="0" applyNumberFormat="1" applyFont="1" applyFill="1" applyBorder="1"/>
    <xf numFmtId="0" fontId="20" fillId="35" borderId="0" xfId="0" applyFont="1" applyFill="1"/>
    <xf numFmtId="0" fontId="23" fillId="33" borderId="0" xfId="0" applyFont="1" applyFill="1" applyAlignment="1">
      <alignment horizontal="center"/>
    </xf>
    <xf numFmtId="2" fontId="0" fillId="0" borderId="0" xfId="0" applyNumberFormat="1"/>
    <xf numFmtId="0" fontId="29" fillId="0" borderId="0" xfId="0" applyFont="1"/>
    <xf numFmtId="10" fontId="29" fillId="0" borderId="0" xfId="0" applyNumberFormat="1" applyFont="1"/>
    <xf numFmtId="0" fontId="0" fillId="43" borderId="0" xfId="0" applyFill="1"/>
    <xf numFmtId="0" fontId="21" fillId="43" borderId="0" xfId="0" applyFont="1" applyFill="1"/>
    <xf numFmtId="0" fontId="0" fillId="43" borderId="0" xfId="0" applyFill="1"/>
    <xf numFmtId="0" fontId="22" fillId="43" borderId="0" xfId="0" applyFont="1" applyFill="1"/>
    <xf numFmtId="0" fontId="0" fillId="43" borderId="19" xfId="0" applyFill="1" applyBorder="1"/>
    <xf numFmtId="0" fontId="23" fillId="43" borderId="12" xfId="0" applyFont="1" applyFill="1" applyBorder="1" applyAlignment="1">
      <alignment horizontal="center"/>
    </xf>
    <xf numFmtId="0" fontId="0" fillId="43" borderId="11" xfId="0" applyFill="1" applyBorder="1"/>
    <xf numFmtId="0" fontId="0" fillId="43" borderId="16" xfId="0" applyFill="1" applyBorder="1"/>
    <xf numFmtId="0" fontId="24" fillId="43" borderId="13" xfId="0" applyFont="1" applyFill="1" applyBorder="1"/>
    <xf numFmtId="0" fontId="24" fillId="43" borderId="0" xfId="0" applyFont="1" applyFill="1" applyBorder="1"/>
    <xf numFmtId="10" fontId="16" fillId="43" borderId="17" xfId="0" applyNumberFormat="1" applyFont="1" applyFill="1" applyBorder="1" applyAlignment="1">
      <alignment horizontal="right"/>
    </xf>
    <xf numFmtId="0" fontId="24" fillId="43" borderId="14" xfId="0" applyFont="1" applyFill="1" applyBorder="1"/>
    <xf numFmtId="0" fontId="24" fillId="43" borderId="10" xfId="0" applyFont="1" applyFill="1" applyBorder="1"/>
    <xf numFmtId="3" fontId="16" fillId="43" borderId="18" xfId="0" applyNumberFormat="1" applyFont="1" applyFill="1" applyBorder="1" applyAlignment="1">
      <alignment horizontal="right"/>
    </xf>
    <xf numFmtId="0" fontId="20" fillId="43" borderId="12" xfId="0" applyFont="1" applyFill="1" applyBorder="1"/>
    <xf numFmtId="0" fontId="24" fillId="43" borderId="11" xfId="0" applyFont="1" applyFill="1" applyBorder="1"/>
    <xf numFmtId="0" fontId="24" fillId="43" borderId="16" xfId="0" applyFont="1" applyFill="1" applyBorder="1"/>
    <xf numFmtId="0" fontId="16" fillId="43" borderId="20" xfId="0" applyFont="1" applyFill="1" applyBorder="1" applyAlignment="1">
      <alignment horizontal="center"/>
    </xf>
    <xf numFmtId="0" fontId="0" fillId="43" borderId="15" xfId="0" applyFill="1" applyBorder="1"/>
    <xf numFmtId="10" fontId="0" fillId="43" borderId="15" xfId="0" applyNumberFormat="1" applyFill="1" applyBorder="1" applyAlignment="1">
      <alignment horizontal="center"/>
    </xf>
    <xf numFmtId="0" fontId="26" fillId="43" borderId="15" xfId="0" applyFont="1" applyFill="1" applyBorder="1"/>
    <xf numFmtId="10" fontId="28" fillId="43" borderId="15" xfId="0" applyNumberFormat="1" applyFont="1" applyFill="1" applyBorder="1" applyAlignment="1">
      <alignment horizontal="center"/>
    </xf>
    <xf numFmtId="0" fontId="16" fillId="43" borderId="15" xfId="0" applyFont="1" applyFill="1" applyBorder="1"/>
    <xf numFmtId="10" fontId="16" fillId="43" borderId="15" xfId="0" applyNumberFormat="1" applyFont="1" applyFill="1" applyBorder="1" applyAlignment="1">
      <alignment horizontal="center"/>
    </xf>
    <xf numFmtId="0" fontId="27" fillId="43" borderId="15" xfId="0" applyFont="1" applyFill="1" applyBorder="1"/>
    <xf numFmtId="0" fontId="0" fillId="43" borderId="20" xfId="0" applyFill="1" applyBorder="1"/>
    <xf numFmtId="10" fontId="16" fillId="43" borderId="20" xfId="0" applyNumberFormat="1" applyFont="1" applyFill="1" applyBorder="1" applyAlignment="1">
      <alignment horizontal="center"/>
    </xf>
    <xf numFmtId="0" fontId="25" fillId="43" borderId="20" xfId="0" applyFont="1" applyFill="1" applyBorder="1"/>
    <xf numFmtId="0" fontId="26" fillId="43" borderId="20" xfId="0" applyFont="1" applyFill="1" applyBorder="1"/>
    <xf numFmtId="2" fontId="16" fillId="43" borderId="15" xfId="0" applyNumberFormat="1" applyFont="1" applyFill="1" applyBorder="1" applyAlignment="1">
      <alignment horizontal="center"/>
    </xf>
    <xf numFmtId="0" fontId="25" fillId="43" borderId="15" xfId="0" applyFont="1" applyFill="1" applyBorder="1"/>
    <xf numFmtId="0" fontId="0" fillId="43" borderId="21" xfId="0" applyFill="1" applyBorder="1"/>
    <xf numFmtId="0" fontId="30" fillId="43" borderId="0" xfId="0" applyFont="1" applyFill="1" applyBorder="1" applyAlignment="1">
      <alignment horizontal="center"/>
    </xf>
    <xf numFmtId="0" fontId="31" fillId="4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6" fillId="45" borderId="0" xfId="0" applyFont="1" applyFill="1"/>
    <xf numFmtId="0" fontId="23" fillId="46" borderId="0" xfId="0" applyFont="1" applyFill="1" applyAlignment="1">
      <alignment horizontal="center"/>
    </xf>
    <xf numFmtId="0" fontId="16" fillId="47" borderId="0" xfId="0" applyFont="1" applyFill="1"/>
    <xf numFmtId="0" fontId="23" fillId="48" borderId="0" xfId="0" applyFont="1" applyFill="1" applyAlignment="1">
      <alignment horizontal="center"/>
    </xf>
    <xf numFmtId="0" fontId="16" fillId="37" borderId="0" xfId="0" applyFont="1" applyFill="1"/>
    <xf numFmtId="49" fontId="0" fillId="0" borderId="0" xfId="0" applyNumberFormat="1"/>
    <xf numFmtId="0" fontId="20" fillId="33" borderId="0" xfId="0" applyFont="1" applyFill="1" applyAlignment="1">
      <alignment horizontal="center"/>
    </xf>
    <xf numFmtId="0" fontId="20" fillId="46" borderId="0" xfId="0" applyFont="1" applyFill="1"/>
    <xf numFmtId="0" fontId="20" fillId="46" borderId="0" xfId="0" applyFont="1" applyFill="1" applyAlignment="1">
      <alignment horizontal="center"/>
    </xf>
    <xf numFmtId="0" fontId="20" fillId="48" borderId="0" xfId="0" applyFont="1" applyFill="1" applyAlignment="1">
      <alignment horizontal="center"/>
    </xf>
    <xf numFmtId="0" fontId="20" fillId="41" borderId="0" xfId="0" applyFont="1" applyFill="1" applyAlignment="1">
      <alignment horizontal="center"/>
    </xf>
    <xf numFmtId="0" fontId="16" fillId="49" borderId="0" xfId="0" applyFont="1" applyFill="1"/>
    <xf numFmtId="0" fontId="20" fillId="40" borderId="0" xfId="0" applyFont="1" applyFill="1" applyAlignment="1">
      <alignment horizontal="center"/>
    </xf>
    <xf numFmtId="0" fontId="16" fillId="50" borderId="0" xfId="0" applyFont="1" applyFill="1"/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19" fillId="33" borderId="0" xfId="0" applyFont="1" applyFill="1"/>
    <xf numFmtId="0" fontId="19" fillId="33" borderId="0" xfId="0" applyFont="1" applyFill="1" applyAlignment="1">
      <alignment horizontal="center"/>
    </xf>
    <xf numFmtId="0" fontId="19" fillId="46" borderId="0" xfId="0" applyFont="1" applyFill="1" applyAlignment="1">
      <alignment horizontal="center"/>
    </xf>
    <xf numFmtId="0" fontId="19" fillId="48" borderId="0" xfId="0" applyFont="1" applyFill="1" applyAlignment="1">
      <alignment horizontal="center"/>
    </xf>
    <xf numFmtId="10" fontId="0" fillId="0" borderId="0" xfId="0" applyNumberFormat="1" applyAlignment="1">
      <alignment horizontal="right"/>
    </xf>
    <xf numFmtId="0" fontId="19" fillId="41" borderId="0" xfId="0" applyFont="1" applyFill="1"/>
    <xf numFmtId="0" fontId="19" fillId="41" borderId="0" xfId="0" applyFont="1" applyFill="1" applyAlignment="1">
      <alignment horizontal="center"/>
    </xf>
    <xf numFmtId="0" fontId="19" fillId="40" borderId="0" xfId="0" applyFont="1" applyFill="1" applyAlignment="1">
      <alignment horizontal="center"/>
    </xf>
    <xf numFmtId="0" fontId="19" fillId="51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23" fillId="52" borderId="0" xfId="0" applyFont="1" applyFill="1" applyAlignment="1">
      <alignment horizontal="center"/>
    </xf>
    <xf numFmtId="165" fontId="0" fillId="0" borderId="0" xfId="0" applyNumberFormat="1"/>
    <xf numFmtId="0" fontId="20" fillId="53" borderId="0" xfId="0" applyFont="1" applyFill="1"/>
    <xf numFmtId="166" fontId="0" fillId="0" borderId="0" xfId="0" applyNumberFormat="1"/>
    <xf numFmtId="167" fontId="0" fillId="0" borderId="0" xfId="0" applyNumberFormat="1"/>
    <xf numFmtId="0" fontId="36" fillId="0" borderId="0" xfId="0" applyFont="1"/>
    <xf numFmtId="168" fontId="0" fillId="0" borderId="0" xfId="0" applyNumberFormat="1"/>
    <xf numFmtId="169" fontId="0" fillId="0" borderId="0" xfId="0" applyNumberFormat="1"/>
    <xf numFmtId="0" fontId="0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37" fillId="0" borderId="0" xfId="0" applyFont="1" applyAlignment="1">
      <alignment horizontal="center"/>
    </xf>
    <xf numFmtId="170" fontId="36" fillId="0" borderId="0" xfId="0" applyNumberFormat="1" applyFont="1"/>
    <xf numFmtId="0" fontId="23" fillId="38" borderId="0" xfId="0" applyFont="1" applyFill="1" applyAlignment="1">
      <alignment horizontal="center"/>
    </xf>
    <xf numFmtId="0" fontId="16" fillId="36" borderId="0" xfId="0" applyFont="1" applyFill="1" applyAlignment="1">
      <alignment wrapText="1"/>
    </xf>
    <xf numFmtId="0" fontId="16" fillId="54" borderId="0" xfId="0" applyFont="1" applyFill="1"/>
    <xf numFmtId="165" fontId="16" fillId="54" borderId="0" xfId="0" applyNumberFormat="1" applyFont="1" applyFill="1"/>
    <xf numFmtId="2" fontId="16" fillId="54" borderId="0" xfId="0" applyNumberFormat="1" applyFont="1" applyFill="1"/>
    <xf numFmtId="166" fontId="16" fillId="54" borderId="0" xfId="0" applyNumberFormat="1" applyFont="1" applyFill="1"/>
    <xf numFmtId="10" fontId="16" fillId="54" borderId="0" xfId="0" applyNumberFormat="1" applyFont="1" applyFill="1"/>
    <xf numFmtId="0" fontId="36" fillId="0" borderId="0" xfId="0" applyFont="1" applyAlignment="1">
      <alignment wrapText="1"/>
    </xf>
    <xf numFmtId="171" fontId="0" fillId="0" borderId="0" xfId="0" applyNumberFormat="1"/>
    <xf numFmtId="0" fontId="16" fillId="55" borderId="0" xfId="0" applyFont="1" applyFill="1"/>
    <xf numFmtId="172" fontId="16" fillId="55" borderId="0" xfId="0" applyNumberFormat="1" applyFont="1" applyFill="1"/>
    <xf numFmtId="0" fontId="38" fillId="55" borderId="0" xfId="0" applyFont="1" applyFill="1" applyAlignment="1">
      <alignment wrapText="1"/>
    </xf>
    <xf numFmtId="173" fontId="0" fillId="0" borderId="0" xfId="0" applyNumberFormat="1"/>
    <xf numFmtId="0" fontId="20" fillId="56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47" borderId="0" xfId="0" applyFill="1"/>
    <xf numFmtId="173" fontId="0" fillId="47" borderId="0" xfId="0" applyNumberFormat="1" applyFill="1"/>
    <xf numFmtId="166" fontId="16" fillId="47" borderId="0" xfId="0" applyNumberFormat="1" applyFont="1" applyFill="1"/>
    <xf numFmtId="0" fontId="16" fillId="47" borderId="0" xfId="0" applyFont="1" applyFill="1" applyAlignment="1">
      <alignment wrapText="1"/>
    </xf>
    <xf numFmtId="173" fontId="16" fillId="47" borderId="0" xfId="0" applyNumberFormat="1" applyFont="1" applyFill="1"/>
    <xf numFmtId="0" fontId="35" fillId="36" borderId="0" xfId="0" applyFont="1" applyFill="1" applyAlignment="1">
      <alignment horizontal="center"/>
    </xf>
    <xf numFmtId="174" fontId="0" fillId="0" borderId="0" xfId="0" applyNumberFormat="1"/>
    <xf numFmtId="174" fontId="16" fillId="54" borderId="0" xfId="0" applyNumberFormat="1" applyFont="1" applyFill="1"/>
    <xf numFmtId="173" fontId="16" fillId="54" borderId="0" xfId="0" applyNumberFormat="1" applyFont="1" applyFill="1"/>
    <xf numFmtId="0" fontId="19" fillId="53" borderId="0" xfId="0" applyFont="1" applyFill="1"/>
    <xf numFmtId="175" fontId="0" fillId="0" borderId="0" xfId="0" applyNumberFormat="1"/>
    <xf numFmtId="0" fontId="39" fillId="34" borderId="0" xfId="0" applyFont="1" applyFill="1" applyAlignment="1">
      <alignment horizontal="center"/>
    </xf>
    <xf numFmtId="0" fontId="0" fillId="47" borderId="11" xfId="0" applyFill="1" applyBorder="1"/>
    <xf numFmtId="0" fontId="0" fillId="47" borderId="0" xfId="0" applyFill="1" applyBorder="1"/>
    <xf numFmtId="0" fontId="0" fillId="47" borderId="10" xfId="0" applyFill="1" applyBorder="1"/>
    <xf numFmtId="0" fontId="0" fillId="47" borderId="12" xfId="0" applyFill="1" applyBorder="1"/>
    <xf numFmtId="0" fontId="0" fillId="47" borderId="16" xfId="0" applyFill="1" applyBorder="1"/>
    <xf numFmtId="0" fontId="0" fillId="47" borderId="17" xfId="0" applyFill="1" applyBorder="1"/>
    <xf numFmtId="0" fontId="16" fillId="47" borderId="13" xfId="0" applyFont="1" applyFill="1" applyBorder="1"/>
    <xf numFmtId="0" fontId="16" fillId="47" borderId="14" xfId="0" applyFont="1" applyFill="1" applyBorder="1"/>
    <xf numFmtId="176" fontId="0" fillId="47" borderId="0" xfId="0" applyNumberFormat="1" applyFill="1" applyBorder="1"/>
    <xf numFmtId="177" fontId="0" fillId="47" borderId="0" xfId="0" applyNumberFormat="1" applyFill="1" applyBorder="1"/>
    <xf numFmtId="173" fontId="0" fillId="47" borderId="0" xfId="0" applyNumberFormat="1" applyFill="1" applyBorder="1"/>
    <xf numFmtId="0" fontId="35" fillId="47" borderId="10" xfId="0" applyFont="1" applyFill="1" applyBorder="1" applyAlignment="1">
      <alignment wrapText="1"/>
    </xf>
    <xf numFmtId="0" fontId="35" fillId="47" borderId="18" xfId="0" applyFont="1" applyFill="1" applyBorder="1" applyAlignment="1">
      <alignment wrapText="1"/>
    </xf>
    <xf numFmtId="2" fontId="29" fillId="0" borderId="0" xfId="0" applyNumberFormat="1" applyFont="1"/>
    <xf numFmtId="0" fontId="40" fillId="38" borderId="0" xfId="0" applyFont="1" applyFill="1" applyAlignment="1">
      <alignment horizontal="center"/>
    </xf>
    <xf numFmtId="0" fontId="41" fillId="36" borderId="0" xfId="0" applyFont="1" applyFill="1" applyAlignment="1">
      <alignment horizontal="center"/>
    </xf>
    <xf numFmtId="0" fontId="19" fillId="34" borderId="0" xfId="0" applyFont="1" applyFill="1"/>
    <xf numFmtId="10" fontId="0" fillId="47" borderId="0" xfId="0" applyNumberFormat="1" applyFill="1"/>
    <xf numFmtId="178" fontId="0" fillId="47" borderId="0" xfId="0" applyNumberFormat="1" applyFill="1"/>
    <xf numFmtId="0" fontId="35" fillId="47" borderId="0" xfId="0" applyFont="1" applyFill="1" applyAlignment="1">
      <alignment wrapText="1"/>
    </xf>
    <xf numFmtId="0" fontId="19" fillId="38" borderId="0" xfId="0" applyFont="1" applyFill="1"/>
    <xf numFmtId="0" fontId="16" fillId="57" borderId="0" xfId="0" applyFont="1" applyFill="1"/>
    <xf numFmtId="0" fontId="0" fillId="57" borderId="0" xfId="0" applyFill="1"/>
    <xf numFmtId="0" fontId="0" fillId="57" borderId="0" xfId="0" applyFill="1"/>
    <xf numFmtId="0" fontId="23" fillId="41" borderId="0" xfId="0" applyFont="1" applyFill="1" applyAlignment="1">
      <alignment horizontal="center"/>
    </xf>
    <xf numFmtId="0" fontId="35" fillId="42" borderId="0" xfId="0" applyFont="1" applyFill="1" applyAlignment="1">
      <alignment horizontal="center"/>
    </xf>
    <xf numFmtId="0" fontId="19" fillId="58" borderId="0" xfId="0" applyFont="1" applyFill="1"/>
    <xf numFmtId="0" fontId="16" fillId="42" borderId="0" xfId="0" applyFont="1" applyFill="1"/>
    <xf numFmtId="10" fontId="16" fillId="42" borderId="0" xfId="0" applyNumberFormat="1" applyFont="1" applyFill="1"/>
    <xf numFmtId="173" fontId="16" fillId="42" borderId="0" xfId="0" applyNumberFormat="1" applyFont="1" applyFill="1"/>
    <xf numFmtId="175" fontId="16" fillId="59" borderId="0" xfId="0" applyNumberFormat="1" applyFont="1" applyFill="1"/>
    <xf numFmtId="10" fontId="16" fillId="59" borderId="0" xfId="0" applyNumberFormat="1" applyFont="1" applyFill="1"/>
    <xf numFmtId="173" fontId="16" fillId="59" borderId="0" xfId="0" applyNumberFormat="1" applyFont="1" applyFill="1"/>
    <xf numFmtId="179" fontId="0" fillId="47" borderId="0" xfId="0" applyNumberFormat="1" applyFill="1"/>
    <xf numFmtId="0" fontId="20" fillId="38" borderId="0" xfId="0" applyFont="1" applyFill="1" applyAlignment="1">
      <alignment horizontal="center"/>
    </xf>
    <xf numFmtId="0" fontId="0" fillId="47" borderId="0" xfId="0" applyFill="1"/>
    <xf numFmtId="0" fontId="0" fillId="39" borderId="11" xfId="0" applyFill="1" applyBorder="1"/>
    <xf numFmtId="0" fontId="0" fillId="39" borderId="16" xfId="0" applyFill="1" applyBorder="1"/>
    <xf numFmtId="0" fontId="16" fillId="39" borderId="12" xfId="0" applyFont="1" applyFill="1" applyBorder="1"/>
    <xf numFmtId="0" fontId="0" fillId="39" borderId="13" xfId="0" applyFill="1" applyBorder="1"/>
    <xf numFmtId="0" fontId="0" fillId="39" borderId="0" xfId="0" applyFill="1" applyBorder="1"/>
    <xf numFmtId="0" fontId="0" fillId="39" borderId="17" xfId="0" applyFill="1" applyBorder="1"/>
    <xf numFmtId="0" fontId="16" fillId="39" borderId="13" xfId="0" applyFont="1" applyFill="1" applyBorder="1"/>
    <xf numFmtId="0" fontId="0" fillId="39" borderId="10" xfId="0" applyFill="1" applyBorder="1"/>
    <xf numFmtId="0" fontId="0" fillId="39" borderId="18" xfId="0" applyFill="1" applyBorder="1"/>
    <xf numFmtId="0" fontId="16" fillId="39" borderId="14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indexed="9"/>
        <name val="Calibri"/>
        <scheme val="none"/>
      </font>
      <fill>
        <patternFill patternType="solid">
          <fgColor indexed="8"/>
          <bgColor indexed="10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" formatCode="#,##0"/>
    </dxf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Diária (%) com Bandas de Desvio Padrão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Variação Diária</c:v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Análise_Variação!$A$3:$A$501</c:f>
              <c:numCache>
                <c:formatCode>m/d/yyyy</c:formatCode>
                <c:ptCount val="499"/>
                <c:pt idx="0">
                  <c:v>45491</c:v>
                </c:pt>
                <c:pt idx="1">
                  <c:v>45492</c:v>
                </c:pt>
                <c:pt idx="2">
                  <c:v>45495</c:v>
                </c:pt>
                <c:pt idx="3">
                  <c:v>45496</c:v>
                </c:pt>
                <c:pt idx="4">
                  <c:v>45497</c:v>
                </c:pt>
                <c:pt idx="5">
                  <c:v>45498</c:v>
                </c:pt>
                <c:pt idx="6">
                  <c:v>45499</c:v>
                </c:pt>
                <c:pt idx="7">
                  <c:v>45502</c:v>
                </c:pt>
                <c:pt idx="8">
                  <c:v>45503</c:v>
                </c:pt>
                <c:pt idx="9">
                  <c:v>45504</c:v>
                </c:pt>
                <c:pt idx="10">
                  <c:v>45505</c:v>
                </c:pt>
                <c:pt idx="11">
                  <c:v>45506</c:v>
                </c:pt>
                <c:pt idx="12">
                  <c:v>45509</c:v>
                </c:pt>
                <c:pt idx="13">
                  <c:v>45510</c:v>
                </c:pt>
                <c:pt idx="14">
                  <c:v>45511</c:v>
                </c:pt>
                <c:pt idx="15">
                  <c:v>45512</c:v>
                </c:pt>
                <c:pt idx="16">
                  <c:v>45513</c:v>
                </c:pt>
                <c:pt idx="17">
                  <c:v>45516</c:v>
                </c:pt>
                <c:pt idx="18">
                  <c:v>45517</c:v>
                </c:pt>
                <c:pt idx="19">
                  <c:v>45518</c:v>
                </c:pt>
                <c:pt idx="20">
                  <c:v>45519</c:v>
                </c:pt>
                <c:pt idx="21">
                  <c:v>45520</c:v>
                </c:pt>
                <c:pt idx="22">
                  <c:v>45523</c:v>
                </c:pt>
                <c:pt idx="23">
                  <c:v>45524</c:v>
                </c:pt>
                <c:pt idx="24">
                  <c:v>45525</c:v>
                </c:pt>
                <c:pt idx="25">
                  <c:v>45526</c:v>
                </c:pt>
                <c:pt idx="26">
                  <c:v>45527</c:v>
                </c:pt>
                <c:pt idx="27">
                  <c:v>45530</c:v>
                </c:pt>
                <c:pt idx="28">
                  <c:v>45531</c:v>
                </c:pt>
                <c:pt idx="29">
                  <c:v>45532</c:v>
                </c:pt>
                <c:pt idx="30">
                  <c:v>45533</c:v>
                </c:pt>
                <c:pt idx="31">
                  <c:v>45534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45544</c:v>
                </c:pt>
                <c:pt idx="38">
                  <c:v>45545</c:v>
                </c:pt>
                <c:pt idx="39">
                  <c:v>45546</c:v>
                </c:pt>
                <c:pt idx="40">
                  <c:v>45547</c:v>
                </c:pt>
                <c:pt idx="41">
                  <c:v>45548</c:v>
                </c:pt>
                <c:pt idx="42">
                  <c:v>45551</c:v>
                </c:pt>
                <c:pt idx="43">
                  <c:v>45552</c:v>
                </c:pt>
                <c:pt idx="44">
                  <c:v>45553</c:v>
                </c:pt>
                <c:pt idx="45">
                  <c:v>45554</c:v>
                </c:pt>
                <c:pt idx="46">
                  <c:v>45555</c:v>
                </c:pt>
                <c:pt idx="47">
                  <c:v>45558</c:v>
                </c:pt>
                <c:pt idx="48">
                  <c:v>45559</c:v>
                </c:pt>
                <c:pt idx="49">
                  <c:v>45560</c:v>
                </c:pt>
                <c:pt idx="50">
                  <c:v>45561</c:v>
                </c:pt>
                <c:pt idx="51">
                  <c:v>45562</c:v>
                </c:pt>
                <c:pt idx="52">
                  <c:v>45565</c:v>
                </c:pt>
                <c:pt idx="53">
                  <c:v>45566</c:v>
                </c:pt>
                <c:pt idx="54">
                  <c:v>45567</c:v>
                </c:pt>
                <c:pt idx="55">
                  <c:v>45568</c:v>
                </c:pt>
                <c:pt idx="56">
                  <c:v>45569</c:v>
                </c:pt>
                <c:pt idx="57">
                  <c:v>45572</c:v>
                </c:pt>
                <c:pt idx="58">
                  <c:v>45573</c:v>
                </c:pt>
                <c:pt idx="59">
                  <c:v>45574</c:v>
                </c:pt>
                <c:pt idx="60">
                  <c:v>45575</c:v>
                </c:pt>
                <c:pt idx="61">
                  <c:v>45576</c:v>
                </c:pt>
                <c:pt idx="62">
                  <c:v>45579</c:v>
                </c:pt>
                <c:pt idx="63">
                  <c:v>45580</c:v>
                </c:pt>
                <c:pt idx="64">
                  <c:v>45581</c:v>
                </c:pt>
                <c:pt idx="65">
                  <c:v>45582</c:v>
                </c:pt>
                <c:pt idx="66">
                  <c:v>45583</c:v>
                </c:pt>
                <c:pt idx="67">
                  <c:v>45586</c:v>
                </c:pt>
                <c:pt idx="68">
                  <c:v>45587</c:v>
                </c:pt>
                <c:pt idx="69">
                  <c:v>45588</c:v>
                </c:pt>
                <c:pt idx="70">
                  <c:v>45589</c:v>
                </c:pt>
                <c:pt idx="71">
                  <c:v>45590</c:v>
                </c:pt>
                <c:pt idx="72">
                  <c:v>45593</c:v>
                </c:pt>
                <c:pt idx="73">
                  <c:v>45594</c:v>
                </c:pt>
                <c:pt idx="74">
                  <c:v>45595</c:v>
                </c:pt>
                <c:pt idx="75">
                  <c:v>45596</c:v>
                </c:pt>
                <c:pt idx="76">
                  <c:v>45597</c:v>
                </c:pt>
                <c:pt idx="77">
                  <c:v>45600</c:v>
                </c:pt>
                <c:pt idx="78">
                  <c:v>45601</c:v>
                </c:pt>
                <c:pt idx="79">
                  <c:v>45602</c:v>
                </c:pt>
                <c:pt idx="80">
                  <c:v>45603</c:v>
                </c:pt>
                <c:pt idx="81">
                  <c:v>45604</c:v>
                </c:pt>
                <c:pt idx="82">
                  <c:v>45607</c:v>
                </c:pt>
                <c:pt idx="83">
                  <c:v>45608</c:v>
                </c:pt>
                <c:pt idx="84">
                  <c:v>45609</c:v>
                </c:pt>
                <c:pt idx="85">
                  <c:v>45610</c:v>
                </c:pt>
                <c:pt idx="86">
                  <c:v>45614</c:v>
                </c:pt>
                <c:pt idx="87">
                  <c:v>45615</c:v>
                </c:pt>
                <c:pt idx="88">
                  <c:v>45617</c:v>
                </c:pt>
                <c:pt idx="89">
                  <c:v>45618</c:v>
                </c:pt>
                <c:pt idx="90">
                  <c:v>45621</c:v>
                </c:pt>
                <c:pt idx="91">
                  <c:v>45622</c:v>
                </c:pt>
                <c:pt idx="92">
                  <c:v>45623</c:v>
                </c:pt>
                <c:pt idx="93">
                  <c:v>45624</c:v>
                </c:pt>
                <c:pt idx="94">
                  <c:v>45625</c:v>
                </c:pt>
                <c:pt idx="95">
                  <c:v>45628</c:v>
                </c:pt>
                <c:pt idx="96">
                  <c:v>45629</c:v>
                </c:pt>
                <c:pt idx="97">
                  <c:v>45630</c:v>
                </c:pt>
                <c:pt idx="98">
                  <c:v>45631</c:v>
                </c:pt>
                <c:pt idx="99">
                  <c:v>45632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45652</c:v>
                </c:pt>
                <c:pt idx="112">
                  <c:v>45653</c:v>
                </c:pt>
                <c:pt idx="113">
                  <c:v>45656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45666</c:v>
                </c:pt>
                <c:pt idx="120">
                  <c:v>45667</c:v>
                </c:pt>
                <c:pt idx="121">
                  <c:v>45670</c:v>
                </c:pt>
                <c:pt idx="122">
                  <c:v>45671</c:v>
                </c:pt>
                <c:pt idx="123">
                  <c:v>45672</c:v>
                </c:pt>
                <c:pt idx="124">
                  <c:v>45673</c:v>
                </c:pt>
                <c:pt idx="125">
                  <c:v>45674</c:v>
                </c:pt>
                <c:pt idx="126">
                  <c:v>45677</c:v>
                </c:pt>
                <c:pt idx="127">
                  <c:v>45678</c:v>
                </c:pt>
                <c:pt idx="128">
                  <c:v>45679</c:v>
                </c:pt>
                <c:pt idx="129">
                  <c:v>45680</c:v>
                </c:pt>
                <c:pt idx="130">
                  <c:v>45681</c:v>
                </c:pt>
                <c:pt idx="131">
                  <c:v>45684</c:v>
                </c:pt>
                <c:pt idx="132">
                  <c:v>45685</c:v>
                </c:pt>
                <c:pt idx="133">
                  <c:v>45686</c:v>
                </c:pt>
                <c:pt idx="134">
                  <c:v>45687</c:v>
                </c:pt>
                <c:pt idx="135">
                  <c:v>45688</c:v>
                </c:pt>
                <c:pt idx="136">
                  <c:v>45691</c:v>
                </c:pt>
                <c:pt idx="137">
                  <c:v>45692</c:v>
                </c:pt>
                <c:pt idx="138">
                  <c:v>45693</c:v>
                </c:pt>
                <c:pt idx="139">
                  <c:v>45694</c:v>
                </c:pt>
                <c:pt idx="140">
                  <c:v>45695</c:v>
                </c:pt>
                <c:pt idx="141">
                  <c:v>45698</c:v>
                </c:pt>
                <c:pt idx="142">
                  <c:v>45699</c:v>
                </c:pt>
                <c:pt idx="143">
                  <c:v>45700</c:v>
                </c:pt>
                <c:pt idx="144">
                  <c:v>45701</c:v>
                </c:pt>
                <c:pt idx="145">
                  <c:v>45702</c:v>
                </c:pt>
                <c:pt idx="146">
                  <c:v>45705</c:v>
                </c:pt>
                <c:pt idx="147">
                  <c:v>45706</c:v>
                </c:pt>
                <c:pt idx="148">
                  <c:v>45707</c:v>
                </c:pt>
                <c:pt idx="149">
                  <c:v>45708</c:v>
                </c:pt>
                <c:pt idx="150">
                  <c:v>45709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45726</c:v>
                </c:pt>
                <c:pt idx="160">
                  <c:v>45727</c:v>
                </c:pt>
                <c:pt idx="161">
                  <c:v>45728</c:v>
                </c:pt>
                <c:pt idx="162">
                  <c:v>45729</c:v>
                </c:pt>
                <c:pt idx="163">
                  <c:v>45730</c:v>
                </c:pt>
                <c:pt idx="164">
                  <c:v>45733</c:v>
                </c:pt>
                <c:pt idx="165">
                  <c:v>45734</c:v>
                </c:pt>
                <c:pt idx="166">
                  <c:v>45735</c:v>
                </c:pt>
                <c:pt idx="167">
                  <c:v>45736</c:v>
                </c:pt>
                <c:pt idx="168">
                  <c:v>45737</c:v>
                </c:pt>
                <c:pt idx="169">
                  <c:v>45740</c:v>
                </c:pt>
                <c:pt idx="170">
                  <c:v>45741</c:v>
                </c:pt>
                <c:pt idx="171">
                  <c:v>45742</c:v>
                </c:pt>
                <c:pt idx="172">
                  <c:v>45743</c:v>
                </c:pt>
                <c:pt idx="173">
                  <c:v>45744</c:v>
                </c:pt>
                <c:pt idx="174">
                  <c:v>45747</c:v>
                </c:pt>
                <c:pt idx="175">
                  <c:v>45748</c:v>
                </c:pt>
                <c:pt idx="176">
                  <c:v>45749</c:v>
                </c:pt>
                <c:pt idx="177">
                  <c:v>45750</c:v>
                </c:pt>
                <c:pt idx="178">
                  <c:v>45751</c:v>
                </c:pt>
                <c:pt idx="179">
                  <c:v>45754</c:v>
                </c:pt>
                <c:pt idx="180">
                  <c:v>45755</c:v>
                </c:pt>
                <c:pt idx="181">
                  <c:v>45756</c:v>
                </c:pt>
                <c:pt idx="182">
                  <c:v>45757</c:v>
                </c:pt>
                <c:pt idx="183">
                  <c:v>45758</c:v>
                </c:pt>
                <c:pt idx="184">
                  <c:v>45761</c:v>
                </c:pt>
                <c:pt idx="185">
                  <c:v>45762</c:v>
                </c:pt>
                <c:pt idx="186">
                  <c:v>45763</c:v>
                </c:pt>
                <c:pt idx="187">
                  <c:v>45764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45775</c:v>
                </c:pt>
                <c:pt idx="193">
                  <c:v>45776</c:v>
                </c:pt>
                <c:pt idx="194">
                  <c:v>45777</c:v>
                </c:pt>
                <c:pt idx="195">
                  <c:v>45779</c:v>
                </c:pt>
                <c:pt idx="196">
                  <c:v>45782</c:v>
                </c:pt>
                <c:pt idx="197">
                  <c:v>45783</c:v>
                </c:pt>
                <c:pt idx="198">
                  <c:v>45784</c:v>
                </c:pt>
                <c:pt idx="199">
                  <c:v>45785</c:v>
                </c:pt>
                <c:pt idx="200">
                  <c:v>45786</c:v>
                </c:pt>
                <c:pt idx="201">
                  <c:v>45789</c:v>
                </c:pt>
                <c:pt idx="202">
                  <c:v>45790</c:v>
                </c:pt>
                <c:pt idx="203">
                  <c:v>45791</c:v>
                </c:pt>
                <c:pt idx="204">
                  <c:v>45792</c:v>
                </c:pt>
                <c:pt idx="205">
                  <c:v>45793</c:v>
                </c:pt>
                <c:pt idx="206">
                  <c:v>45796</c:v>
                </c:pt>
                <c:pt idx="207">
                  <c:v>45797</c:v>
                </c:pt>
                <c:pt idx="208">
                  <c:v>45798</c:v>
                </c:pt>
                <c:pt idx="209">
                  <c:v>45799</c:v>
                </c:pt>
                <c:pt idx="210">
                  <c:v>45800</c:v>
                </c:pt>
                <c:pt idx="211">
                  <c:v>45803</c:v>
                </c:pt>
                <c:pt idx="212">
                  <c:v>45804</c:v>
                </c:pt>
                <c:pt idx="213">
                  <c:v>45805</c:v>
                </c:pt>
                <c:pt idx="214">
                  <c:v>45806</c:v>
                </c:pt>
                <c:pt idx="215">
                  <c:v>45807</c:v>
                </c:pt>
                <c:pt idx="216">
                  <c:v>45810</c:v>
                </c:pt>
                <c:pt idx="217">
                  <c:v>45811</c:v>
                </c:pt>
                <c:pt idx="218">
                  <c:v>45812</c:v>
                </c:pt>
                <c:pt idx="219">
                  <c:v>45813</c:v>
                </c:pt>
                <c:pt idx="220">
                  <c:v>45814</c:v>
                </c:pt>
                <c:pt idx="221">
                  <c:v>45817</c:v>
                </c:pt>
                <c:pt idx="222">
                  <c:v>45818</c:v>
                </c:pt>
                <c:pt idx="223">
                  <c:v>45819</c:v>
                </c:pt>
                <c:pt idx="224">
                  <c:v>45820</c:v>
                </c:pt>
                <c:pt idx="225">
                  <c:v>45821</c:v>
                </c:pt>
                <c:pt idx="226">
                  <c:v>45824</c:v>
                </c:pt>
                <c:pt idx="227">
                  <c:v>45825</c:v>
                </c:pt>
                <c:pt idx="228">
                  <c:v>45826</c:v>
                </c:pt>
                <c:pt idx="229">
                  <c:v>45828</c:v>
                </c:pt>
                <c:pt idx="230">
                  <c:v>45831</c:v>
                </c:pt>
                <c:pt idx="231">
                  <c:v>45832</c:v>
                </c:pt>
                <c:pt idx="232">
                  <c:v>45833</c:v>
                </c:pt>
                <c:pt idx="233">
                  <c:v>45834</c:v>
                </c:pt>
                <c:pt idx="234">
                  <c:v>45835</c:v>
                </c:pt>
                <c:pt idx="235">
                  <c:v>45838</c:v>
                </c:pt>
                <c:pt idx="236">
                  <c:v>45839</c:v>
                </c:pt>
                <c:pt idx="237">
                  <c:v>45840</c:v>
                </c:pt>
                <c:pt idx="238">
                  <c:v>45841</c:v>
                </c:pt>
                <c:pt idx="239">
                  <c:v>45842</c:v>
                </c:pt>
                <c:pt idx="240">
                  <c:v>45845</c:v>
                </c:pt>
                <c:pt idx="241">
                  <c:v>45846</c:v>
                </c:pt>
                <c:pt idx="242">
                  <c:v>45847</c:v>
                </c:pt>
                <c:pt idx="243">
                  <c:v>45848</c:v>
                </c:pt>
                <c:pt idx="244">
                  <c:v>45849</c:v>
                </c:pt>
                <c:pt idx="245">
                  <c:v>45852</c:v>
                </c:pt>
                <c:pt idx="246">
                  <c:v>45853</c:v>
                </c:pt>
                <c:pt idx="247">
                  <c:v>45854</c:v>
                </c:pt>
                <c:pt idx="248">
                  <c:v>45855</c:v>
                </c:pt>
                <c:pt idx="249">
                  <c:v>45856</c:v>
                </c:pt>
                <c:pt idx="250">
                  <c:v>45859</c:v>
                </c:pt>
                <c:pt idx="251">
                  <c:v>45860</c:v>
                </c:pt>
                <c:pt idx="252">
                  <c:v>45861</c:v>
                </c:pt>
                <c:pt idx="253">
                  <c:v>45862</c:v>
                </c:pt>
                <c:pt idx="254">
                  <c:v>45863</c:v>
                </c:pt>
                <c:pt idx="255">
                  <c:v>45866</c:v>
                </c:pt>
                <c:pt idx="256">
                  <c:v>45867</c:v>
                </c:pt>
                <c:pt idx="257">
                  <c:v>45868</c:v>
                </c:pt>
                <c:pt idx="258">
                  <c:v>45869</c:v>
                </c:pt>
                <c:pt idx="259">
                  <c:v>45870</c:v>
                </c:pt>
                <c:pt idx="260">
                  <c:v>45873</c:v>
                </c:pt>
                <c:pt idx="261">
                  <c:v>45874</c:v>
                </c:pt>
                <c:pt idx="262">
                  <c:v>45875</c:v>
                </c:pt>
                <c:pt idx="263">
                  <c:v>45876</c:v>
                </c:pt>
                <c:pt idx="264">
                  <c:v>45877</c:v>
                </c:pt>
                <c:pt idx="265">
                  <c:v>45880</c:v>
                </c:pt>
                <c:pt idx="266">
                  <c:v>45881</c:v>
                </c:pt>
                <c:pt idx="267">
                  <c:v>45882</c:v>
                </c:pt>
                <c:pt idx="268">
                  <c:v>45883</c:v>
                </c:pt>
                <c:pt idx="269">
                  <c:v>45884</c:v>
                </c:pt>
                <c:pt idx="270">
                  <c:v>45887</c:v>
                </c:pt>
                <c:pt idx="271">
                  <c:v>45888</c:v>
                </c:pt>
                <c:pt idx="272">
                  <c:v>45889</c:v>
                </c:pt>
                <c:pt idx="273">
                  <c:v>45890</c:v>
                </c:pt>
                <c:pt idx="274">
                  <c:v>45891</c:v>
                </c:pt>
                <c:pt idx="275">
                  <c:v>45894</c:v>
                </c:pt>
                <c:pt idx="276">
                  <c:v>45895</c:v>
                </c:pt>
                <c:pt idx="277">
                  <c:v>45896</c:v>
                </c:pt>
                <c:pt idx="278">
                  <c:v>45897</c:v>
                </c:pt>
                <c:pt idx="279">
                  <c:v>45898</c:v>
                </c:pt>
                <c:pt idx="280">
                  <c:v>45901</c:v>
                </c:pt>
                <c:pt idx="281">
                  <c:v>45902</c:v>
                </c:pt>
                <c:pt idx="282">
                  <c:v>45903</c:v>
                </c:pt>
                <c:pt idx="283">
                  <c:v>45904</c:v>
                </c:pt>
                <c:pt idx="284">
                  <c:v>45905</c:v>
                </c:pt>
                <c:pt idx="285">
                  <c:v>45908</c:v>
                </c:pt>
                <c:pt idx="286">
                  <c:v>45909</c:v>
                </c:pt>
                <c:pt idx="287">
                  <c:v>45910</c:v>
                </c:pt>
                <c:pt idx="288">
                  <c:v>45911</c:v>
                </c:pt>
                <c:pt idx="289">
                  <c:v>45912</c:v>
                </c:pt>
                <c:pt idx="290">
                  <c:v>45915</c:v>
                </c:pt>
                <c:pt idx="291">
                  <c:v>45916</c:v>
                </c:pt>
                <c:pt idx="292">
                  <c:v>45917</c:v>
                </c:pt>
                <c:pt idx="293">
                  <c:v>45918</c:v>
                </c:pt>
                <c:pt idx="294">
                  <c:v>45919</c:v>
                </c:pt>
                <c:pt idx="295">
                  <c:v>45922</c:v>
                </c:pt>
                <c:pt idx="296">
                  <c:v>45923</c:v>
                </c:pt>
                <c:pt idx="297">
                  <c:v>45924</c:v>
                </c:pt>
                <c:pt idx="298">
                  <c:v>45925</c:v>
                </c:pt>
                <c:pt idx="299">
                  <c:v>45926</c:v>
                </c:pt>
                <c:pt idx="300">
                  <c:v>45929</c:v>
                </c:pt>
                <c:pt idx="301">
                  <c:v>45930</c:v>
                </c:pt>
                <c:pt idx="302">
                  <c:v>45931</c:v>
                </c:pt>
                <c:pt idx="303">
                  <c:v>45932</c:v>
                </c:pt>
                <c:pt idx="304">
                  <c:v>45933</c:v>
                </c:pt>
                <c:pt idx="305">
                  <c:v>45936</c:v>
                </c:pt>
                <c:pt idx="306">
                  <c:v>45937</c:v>
                </c:pt>
                <c:pt idx="307">
                  <c:v>45938</c:v>
                </c:pt>
                <c:pt idx="308">
                  <c:v>45939</c:v>
                </c:pt>
                <c:pt idx="309">
                  <c:v>45940</c:v>
                </c:pt>
                <c:pt idx="310">
                  <c:v>45943</c:v>
                </c:pt>
                <c:pt idx="311">
                  <c:v>45944</c:v>
                </c:pt>
                <c:pt idx="312">
                  <c:v>45945</c:v>
                </c:pt>
                <c:pt idx="313">
                  <c:v>45946</c:v>
                </c:pt>
                <c:pt idx="314">
                  <c:v>45947</c:v>
                </c:pt>
                <c:pt idx="315">
                  <c:v>45950</c:v>
                </c:pt>
                <c:pt idx="316">
                  <c:v>45951</c:v>
                </c:pt>
                <c:pt idx="317">
                  <c:v>45952</c:v>
                </c:pt>
                <c:pt idx="318">
                  <c:v>45953</c:v>
                </c:pt>
                <c:pt idx="319">
                  <c:v>45954</c:v>
                </c:pt>
                <c:pt idx="320">
                  <c:v>45957</c:v>
                </c:pt>
                <c:pt idx="321">
                  <c:v>45958</c:v>
                </c:pt>
                <c:pt idx="322">
                  <c:v>45959</c:v>
                </c:pt>
                <c:pt idx="323">
                  <c:v>45960</c:v>
                </c:pt>
                <c:pt idx="324">
                  <c:v>45961</c:v>
                </c:pt>
                <c:pt idx="325">
                  <c:v>45964</c:v>
                </c:pt>
                <c:pt idx="326">
                  <c:v>45965</c:v>
                </c:pt>
                <c:pt idx="327">
                  <c:v>45966</c:v>
                </c:pt>
                <c:pt idx="328">
                  <c:v>45967</c:v>
                </c:pt>
                <c:pt idx="329">
                  <c:v>45968</c:v>
                </c:pt>
                <c:pt idx="330">
                  <c:v>45971</c:v>
                </c:pt>
                <c:pt idx="331">
                  <c:v>45972</c:v>
                </c:pt>
                <c:pt idx="332">
                  <c:v>45973</c:v>
                </c:pt>
                <c:pt idx="333">
                  <c:v>45974</c:v>
                </c:pt>
                <c:pt idx="334">
                  <c:v>45975</c:v>
                </c:pt>
                <c:pt idx="335">
                  <c:v>45978</c:v>
                </c:pt>
                <c:pt idx="336">
                  <c:v>45979</c:v>
                </c:pt>
                <c:pt idx="337">
                  <c:v>45980</c:v>
                </c:pt>
                <c:pt idx="338">
                  <c:v>45982</c:v>
                </c:pt>
                <c:pt idx="339">
                  <c:v>45985</c:v>
                </c:pt>
                <c:pt idx="340">
                  <c:v>45986</c:v>
                </c:pt>
                <c:pt idx="341">
                  <c:v>45987</c:v>
                </c:pt>
                <c:pt idx="342">
                  <c:v>45988</c:v>
                </c:pt>
                <c:pt idx="343">
                  <c:v>45989</c:v>
                </c:pt>
                <c:pt idx="344">
                  <c:v>45992</c:v>
                </c:pt>
                <c:pt idx="345">
                  <c:v>45993</c:v>
                </c:pt>
                <c:pt idx="346">
                  <c:v>45994</c:v>
                </c:pt>
                <c:pt idx="347">
                  <c:v>45995</c:v>
                </c:pt>
                <c:pt idx="348">
                  <c:v>45996</c:v>
                </c:pt>
                <c:pt idx="349">
                  <c:v>45999</c:v>
                </c:pt>
                <c:pt idx="350">
                  <c:v>46000</c:v>
                </c:pt>
                <c:pt idx="351">
                  <c:v>46001</c:v>
                </c:pt>
                <c:pt idx="352">
                  <c:v>46002</c:v>
                </c:pt>
                <c:pt idx="353">
                  <c:v>46003</c:v>
                </c:pt>
                <c:pt idx="354">
                  <c:v>46006</c:v>
                </c:pt>
                <c:pt idx="355">
                  <c:v>46007</c:v>
                </c:pt>
                <c:pt idx="356">
                  <c:v>46008</c:v>
                </c:pt>
                <c:pt idx="357">
                  <c:v>46009</c:v>
                </c:pt>
                <c:pt idx="358">
                  <c:v>46010</c:v>
                </c:pt>
                <c:pt idx="359">
                  <c:v>46013</c:v>
                </c:pt>
                <c:pt idx="360">
                  <c:v>46014</c:v>
                </c:pt>
                <c:pt idx="361">
                  <c:v>46017</c:v>
                </c:pt>
                <c:pt idx="362">
                  <c:v>46020</c:v>
                </c:pt>
                <c:pt idx="363">
                  <c:v>46021</c:v>
                </c:pt>
                <c:pt idx="364">
                  <c:v>46024</c:v>
                </c:pt>
                <c:pt idx="365">
                  <c:v>46027</c:v>
                </c:pt>
                <c:pt idx="366">
                  <c:v>46028</c:v>
                </c:pt>
                <c:pt idx="367">
                  <c:v>46029</c:v>
                </c:pt>
                <c:pt idx="368">
                  <c:v>46030</c:v>
                </c:pt>
                <c:pt idx="369">
                  <c:v>46031</c:v>
                </c:pt>
                <c:pt idx="370">
                  <c:v>46034</c:v>
                </c:pt>
                <c:pt idx="371">
                  <c:v>46035</c:v>
                </c:pt>
                <c:pt idx="372">
                  <c:v>46036</c:v>
                </c:pt>
                <c:pt idx="373">
                  <c:v>46037</c:v>
                </c:pt>
                <c:pt idx="374">
                  <c:v>46038</c:v>
                </c:pt>
                <c:pt idx="375">
                  <c:v>46041</c:v>
                </c:pt>
                <c:pt idx="376">
                  <c:v>46042</c:v>
                </c:pt>
                <c:pt idx="377">
                  <c:v>46043</c:v>
                </c:pt>
                <c:pt idx="378">
                  <c:v>46044</c:v>
                </c:pt>
                <c:pt idx="379">
                  <c:v>46045</c:v>
                </c:pt>
                <c:pt idx="380">
                  <c:v>46048</c:v>
                </c:pt>
                <c:pt idx="381">
                  <c:v>46049</c:v>
                </c:pt>
                <c:pt idx="382">
                  <c:v>46050</c:v>
                </c:pt>
                <c:pt idx="383">
                  <c:v>46051</c:v>
                </c:pt>
                <c:pt idx="384">
                  <c:v>46052</c:v>
                </c:pt>
                <c:pt idx="385">
                  <c:v>46055</c:v>
                </c:pt>
                <c:pt idx="386">
                  <c:v>46056</c:v>
                </c:pt>
                <c:pt idx="387">
                  <c:v>46057</c:v>
                </c:pt>
                <c:pt idx="388">
                  <c:v>46058</c:v>
                </c:pt>
                <c:pt idx="389">
                  <c:v>46059</c:v>
                </c:pt>
                <c:pt idx="390">
                  <c:v>46062</c:v>
                </c:pt>
                <c:pt idx="391">
                  <c:v>46063</c:v>
                </c:pt>
                <c:pt idx="392">
                  <c:v>46064</c:v>
                </c:pt>
                <c:pt idx="393">
                  <c:v>46065</c:v>
                </c:pt>
                <c:pt idx="394">
                  <c:v>46066</c:v>
                </c:pt>
                <c:pt idx="395">
                  <c:v>46071</c:v>
                </c:pt>
                <c:pt idx="396">
                  <c:v>46072</c:v>
                </c:pt>
                <c:pt idx="397">
                  <c:v>46073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46083</c:v>
                </c:pt>
                <c:pt idx="404">
                  <c:v>46084</c:v>
                </c:pt>
                <c:pt idx="405">
                  <c:v>46085</c:v>
                </c:pt>
                <c:pt idx="406">
                  <c:v>46086</c:v>
                </c:pt>
                <c:pt idx="407">
                  <c:v>46087</c:v>
                </c:pt>
                <c:pt idx="408">
                  <c:v>46090</c:v>
                </c:pt>
                <c:pt idx="409">
                  <c:v>46091</c:v>
                </c:pt>
                <c:pt idx="410">
                  <c:v>46092</c:v>
                </c:pt>
                <c:pt idx="411">
                  <c:v>46093</c:v>
                </c:pt>
                <c:pt idx="412">
                  <c:v>46094</c:v>
                </c:pt>
                <c:pt idx="413">
                  <c:v>46097</c:v>
                </c:pt>
                <c:pt idx="414">
                  <c:v>46098</c:v>
                </c:pt>
                <c:pt idx="415">
                  <c:v>46099</c:v>
                </c:pt>
                <c:pt idx="416">
                  <c:v>46100</c:v>
                </c:pt>
                <c:pt idx="417">
                  <c:v>46101</c:v>
                </c:pt>
                <c:pt idx="418">
                  <c:v>46104</c:v>
                </c:pt>
                <c:pt idx="419">
                  <c:v>46105</c:v>
                </c:pt>
                <c:pt idx="420">
                  <c:v>46106</c:v>
                </c:pt>
                <c:pt idx="421">
                  <c:v>46107</c:v>
                </c:pt>
                <c:pt idx="422">
                  <c:v>46108</c:v>
                </c:pt>
                <c:pt idx="423">
                  <c:v>46111</c:v>
                </c:pt>
                <c:pt idx="424">
                  <c:v>46112</c:v>
                </c:pt>
                <c:pt idx="425">
                  <c:v>46113</c:v>
                </c:pt>
                <c:pt idx="426">
                  <c:v>46114</c:v>
                </c:pt>
                <c:pt idx="427">
                  <c:v>46118</c:v>
                </c:pt>
                <c:pt idx="428">
                  <c:v>46119</c:v>
                </c:pt>
                <c:pt idx="429">
                  <c:v>46120</c:v>
                </c:pt>
                <c:pt idx="430">
                  <c:v>46121</c:v>
                </c:pt>
                <c:pt idx="431">
                  <c:v>46122</c:v>
                </c:pt>
                <c:pt idx="432">
                  <c:v>46125</c:v>
                </c:pt>
                <c:pt idx="433">
                  <c:v>46126</c:v>
                </c:pt>
                <c:pt idx="434">
                  <c:v>46127</c:v>
                </c:pt>
                <c:pt idx="435">
                  <c:v>46128</c:v>
                </c:pt>
                <c:pt idx="436">
                  <c:v>46129</c:v>
                </c:pt>
                <c:pt idx="437">
                  <c:v>46132</c:v>
                </c:pt>
                <c:pt idx="438">
                  <c:v>46134</c:v>
                </c:pt>
                <c:pt idx="439">
                  <c:v>46135</c:v>
                </c:pt>
                <c:pt idx="440">
                  <c:v>46136</c:v>
                </c:pt>
                <c:pt idx="441">
                  <c:v>46139</c:v>
                </c:pt>
                <c:pt idx="442">
                  <c:v>46140</c:v>
                </c:pt>
                <c:pt idx="443">
                  <c:v>46141</c:v>
                </c:pt>
                <c:pt idx="444">
                  <c:v>46142</c:v>
                </c:pt>
                <c:pt idx="445">
                  <c:v>46146</c:v>
                </c:pt>
                <c:pt idx="446">
                  <c:v>46147</c:v>
                </c:pt>
                <c:pt idx="447">
                  <c:v>46148</c:v>
                </c:pt>
                <c:pt idx="448">
                  <c:v>46149</c:v>
                </c:pt>
                <c:pt idx="449">
                  <c:v>46150</c:v>
                </c:pt>
                <c:pt idx="450">
                  <c:v>46153</c:v>
                </c:pt>
                <c:pt idx="451">
                  <c:v>46154</c:v>
                </c:pt>
                <c:pt idx="452">
                  <c:v>46155</c:v>
                </c:pt>
                <c:pt idx="453">
                  <c:v>46156</c:v>
                </c:pt>
                <c:pt idx="454">
                  <c:v>46157</c:v>
                </c:pt>
                <c:pt idx="455">
                  <c:v>46160</c:v>
                </c:pt>
                <c:pt idx="456">
                  <c:v>46161</c:v>
                </c:pt>
                <c:pt idx="457">
                  <c:v>46162</c:v>
                </c:pt>
                <c:pt idx="458">
                  <c:v>46163</c:v>
                </c:pt>
                <c:pt idx="459">
                  <c:v>46164</c:v>
                </c:pt>
                <c:pt idx="460">
                  <c:v>46167</c:v>
                </c:pt>
                <c:pt idx="461">
                  <c:v>46168</c:v>
                </c:pt>
                <c:pt idx="462">
                  <c:v>46169</c:v>
                </c:pt>
                <c:pt idx="463">
                  <c:v>46170</c:v>
                </c:pt>
                <c:pt idx="464">
                  <c:v>46171</c:v>
                </c:pt>
                <c:pt idx="465">
                  <c:v>46174</c:v>
                </c:pt>
                <c:pt idx="466">
                  <c:v>46175</c:v>
                </c:pt>
                <c:pt idx="467">
                  <c:v>46176</c:v>
                </c:pt>
                <c:pt idx="468">
                  <c:v>46178</c:v>
                </c:pt>
                <c:pt idx="469">
                  <c:v>46181</c:v>
                </c:pt>
                <c:pt idx="470">
                  <c:v>46182</c:v>
                </c:pt>
                <c:pt idx="471">
                  <c:v>46183</c:v>
                </c:pt>
                <c:pt idx="472">
                  <c:v>46184</c:v>
                </c:pt>
                <c:pt idx="473">
                  <c:v>46185</c:v>
                </c:pt>
                <c:pt idx="474">
                  <c:v>46188</c:v>
                </c:pt>
                <c:pt idx="475">
                  <c:v>46189</c:v>
                </c:pt>
                <c:pt idx="476">
                  <c:v>46190</c:v>
                </c:pt>
                <c:pt idx="477">
                  <c:v>46191</c:v>
                </c:pt>
                <c:pt idx="478">
                  <c:v>46192</c:v>
                </c:pt>
                <c:pt idx="479">
                  <c:v>46195</c:v>
                </c:pt>
                <c:pt idx="480">
                  <c:v>46196</c:v>
                </c:pt>
                <c:pt idx="481">
                  <c:v>46197</c:v>
                </c:pt>
                <c:pt idx="482">
                  <c:v>46198</c:v>
                </c:pt>
                <c:pt idx="483">
                  <c:v>46199</c:v>
                </c:pt>
                <c:pt idx="484">
                  <c:v>46202</c:v>
                </c:pt>
                <c:pt idx="485">
                  <c:v>46203</c:v>
                </c:pt>
                <c:pt idx="486">
                  <c:v>46204</c:v>
                </c:pt>
                <c:pt idx="487">
                  <c:v>46205</c:v>
                </c:pt>
                <c:pt idx="488">
                  <c:v>46206</c:v>
                </c:pt>
                <c:pt idx="489">
                  <c:v>46209</c:v>
                </c:pt>
                <c:pt idx="490">
                  <c:v>46210</c:v>
                </c:pt>
                <c:pt idx="491">
                  <c:v>46211</c:v>
                </c:pt>
                <c:pt idx="492">
                  <c:v>46212</c:v>
                </c:pt>
                <c:pt idx="493">
                  <c:v>46213</c:v>
                </c:pt>
                <c:pt idx="494">
                  <c:v>46216</c:v>
                </c:pt>
                <c:pt idx="495">
                  <c:v>46217</c:v>
                </c:pt>
                <c:pt idx="496">
                  <c:v>46218</c:v>
                </c:pt>
                <c:pt idx="497">
                  <c:v>46219</c:v>
                </c:pt>
                <c:pt idx="498">
                  <c:v>46220</c:v>
                </c:pt>
              </c:numCache>
            </c:numRef>
          </c:cat>
          <c:val>
            <c:numRef>
              <c:f>Análise_Variação!$C$3:$C$501</c:f>
              <c:numCache>
                <c:formatCode>0.00%</c:formatCode>
                <c:ptCount val="499"/>
                <c:pt idx="0">
                  <c:v>0</c:v>
                </c:pt>
                <c:pt idx="1">
                  <c:v>1.5365119594487435E-2</c:v>
                </c:pt>
                <c:pt idx="2">
                  <c:v>2.1840873634945489E-2</c:v>
                </c:pt>
                <c:pt idx="3">
                  <c:v>7.6335877862595417E-3</c:v>
                </c:pt>
                <c:pt idx="4">
                  <c:v>1.2878787878787793E-2</c:v>
                </c:pt>
                <c:pt idx="5">
                  <c:v>-4.6372475691845638E-3</c:v>
                </c:pt>
                <c:pt idx="6">
                  <c:v>-5.109708446047541E-3</c:v>
                </c:pt>
                <c:pt idx="7">
                  <c:v>-1.510574018127661E-4</c:v>
                </c:pt>
                <c:pt idx="8">
                  <c:v>-1.7072065266656528E-2</c:v>
                </c:pt>
                <c:pt idx="9">
                  <c:v>-6.6092837380880235E-3</c:v>
                </c:pt>
                <c:pt idx="10">
                  <c:v>1.624632523595871E-2</c:v>
                </c:pt>
                <c:pt idx="11">
                  <c:v>2.0249695493300825E-2</c:v>
                </c:pt>
                <c:pt idx="12">
                  <c:v>-2.0892404118788323E-3</c:v>
                </c:pt>
                <c:pt idx="13">
                  <c:v>-2.2282039778675176E-2</c:v>
                </c:pt>
                <c:pt idx="14">
                  <c:v>-3.5178953808502568E-3</c:v>
                </c:pt>
                <c:pt idx="15">
                  <c:v>-3.0698388334628136E-4</c:v>
                </c:pt>
                <c:pt idx="16">
                  <c:v>2.3030861354215522E-3</c:v>
                </c:pt>
                <c:pt idx="17">
                  <c:v>3.9828431372549806E-3</c:v>
                </c:pt>
                <c:pt idx="18">
                  <c:v>-8.5444003661886217E-3</c:v>
                </c:pt>
                <c:pt idx="19">
                  <c:v>-3.8473376423514925E-3</c:v>
                </c:pt>
                <c:pt idx="20">
                  <c:v>9.1147844894174136E-3</c:v>
                </c:pt>
                <c:pt idx="21">
                  <c:v>-1.1788120024494735E-2</c:v>
                </c:pt>
                <c:pt idx="22">
                  <c:v>9.7598760650659897E-3</c:v>
                </c:pt>
                <c:pt idx="23">
                  <c:v>5.5231666155262258E-3</c:v>
                </c:pt>
                <c:pt idx="24">
                  <c:v>-4.5773573390297737E-3</c:v>
                </c:pt>
                <c:pt idx="25">
                  <c:v>4.7516860821582201E-3</c:v>
                </c:pt>
                <c:pt idx="26">
                  <c:v>-4.118993135011381E-3</c:v>
                </c:pt>
                <c:pt idx="27">
                  <c:v>-2.2977941176471461E-3</c:v>
                </c:pt>
                <c:pt idx="28">
                  <c:v>5.9880239520958174E-3</c:v>
                </c:pt>
                <c:pt idx="29">
                  <c:v>0</c:v>
                </c:pt>
                <c:pt idx="30">
                  <c:v>8.852258852258826E-3</c:v>
                </c:pt>
                <c:pt idx="31">
                  <c:v>1.16490166414525E-2</c:v>
                </c:pt>
                <c:pt idx="32">
                  <c:v>7.477194556601937E-4</c:v>
                </c:pt>
                <c:pt idx="33">
                  <c:v>6.5750149432157456E-3</c:v>
                </c:pt>
                <c:pt idx="34">
                  <c:v>1.603325415676957E-2</c:v>
                </c:pt>
                <c:pt idx="35">
                  <c:v>-9.2051431911162399E-3</c:v>
                </c:pt>
                <c:pt idx="36">
                  <c:v>6.7836602271050539E-3</c:v>
                </c:pt>
                <c:pt idx="37">
                  <c:v>2.1092720082027214E-2</c:v>
                </c:pt>
                <c:pt idx="38">
                  <c:v>-3.2993831588005993E-3</c:v>
                </c:pt>
                <c:pt idx="39">
                  <c:v>-3.598157743235463E-3</c:v>
                </c:pt>
                <c:pt idx="40">
                  <c:v>-4.4778275314170486E-3</c:v>
                </c:pt>
                <c:pt idx="41">
                  <c:v>1.6540917005223456E-2</c:v>
                </c:pt>
                <c:pt idx="42">
                  <c:v>-4.9957179560378038E-3</c:v>
                </c:pt>
                <c:pt idx="43">
                  <c:v>-3.1559317171137411E-3</c:v>
                </c:pt>
                <c:pt idx="44">
                  <c:v>-1.4102748596920274E-2</c:v>
                </c:pt>
                <c:pt idx="45">
                  <c:v>9.4876660341554724E-3</c:v>
                </c:pt>
                <c:pt idx="46">
                  <c:v>1.3736263736263778E-2</c:v>
                </c:pt>
                <c:pt idx="47">
                  <c:v>3.8510911424903156E-3</c:v>
                </c:pt>
                <c:pt idx="48">
                  <c:v>1.2787723785166725E-3</c:v>
                </c:pt>
                <c:pt idx="49">
                  <c:v>-6.6695047537959256E-3</c:v>
                </c:pt>
                <c:pt idx="50">
                  <c:v>6.5714285714284825E-3</c:v>
                </c:pt>
                <c:pt idx="51">
                  <c:v>7.5219982969060625E-3</c:v>
                </c:pt>
                <c:pt idx="52">
                  <c:v>2.8172982110156761E-3</c:v>
                </c:pt>
                <c:pt idx="53">
                  <c:v>1.5451608371962276E-3</c:v>
                </c:pt>
                <c:pt idx="54">
                  <c:v>9.3969144460028294E-3</c:v>
                </c:pt>
                <c:pt idx="55">
                  <c:v>-1.9452549673475139E-3</c:v>
                </c:pt>
                <c:pt idx="56">
                  <c:v>-2.1578727551162427E-2</c:v>
                </c:pt>
                <c:pt idx="57">
                  <c:v>-1.494023904382466E-2</c:v>
                </c:pt>
                <c:pt idx="58">
                  <c:v>1.1411237902643248E-2</c:v>
                </c:pt>
                <c:pt idx="59">
                  <c:v>7.1408169094544418E-3</c:v>
                </c:pt>
                <c:pt idx="60">
                  <c:v>8.3664208735111101E-3</c:v>
                </c:pt>
                <c:pt idx="61">
                  <c:v>-4.6406975108985839E-3</c:v>
                </c:pt>
                <c:pt idx="62">
                  <c:v>-1.6388810398417584E-2</c:v>
                </c:pt>
                <c:pt idx="63">
                  <c:v>1.8098247629991251E-2</c:v>
                </c:pt>
                <c:pt idx="64">
                  <c:v>-2.1162528216703089E-3</c:v>
                </c:pt>
                <c:pt idx="65">
                  <c:v>8.341580658843337E-3</c:v>
                </c:pt>
                <c:pt idx="66">
                  <c:v>3.3651149747617654E-3</c:v>
                </c:pt>
                <c:pt idx="67">
                  <c:v>1.1458915595304544E-2</c:v>
                </c:pt>
                <c:pt idx="68">
                  <c:v>1.2710693561757415E-2</c:v>
                </c:pt>
                <c:pt idx="69">
                  <c:v>9.2769440654844049E-3</c:v>
                </c:pt>
                <c:pt idx="70">
                  <c:v>8.2454717491213768E-3</c:v>
                </c:pt>
                <c:pt idx="71">
                  <c:v>5.0945166912454137E-3</c:v>
                </c:pt>
                <c:pt idx="72">
                  <c:v>-3.4680538882220237E-3</c:v>
                </c:pt>
                <c:pt idx="73">
                  <c:v>1.3117387230625138E-2</c:v>
                </c:pt>
                <c:pt idx="74">
                  <c:v>-1.321178491214088E-3</c:v>
                </c:pt>
                <c:pt idx="75">
                  <c:v>-3.307315782510914E-3</c:v>
                </c:pt>
                <c:pt idx="76">
                  <c:v>1.8582426333952822E-3</c:v>
                </c:pt>
                <c:pt idx="77">
                  <c:v>-2.1197668256493214E-3</c:v>
                </c:pt>
                <c:pt idx="78">
                  <c:v>-1.0223048327137494E-2</c:v>
                </c:pt>
                <c:pt idx="79">
                  <c:v>4.6948356807512883E-3</c:v>
                </c:pt>
                <c:pt idx="80">
                  <c:v>1.4285714285714193E-2</c:v>
                </c:pt>
                <c:pt idx="81">
                  <c:v>4.738712649730149E-3</c:v>
                </c:pt>
                <c:pt idx="82">
                  <c:v>7.3365649154985236E-3</c:v>
                </c:pt>
                <c:pt idx="83">
                  <c:v>-2.2109507088048084E-3</c:v>
                </c:pt>
                <c:pt idx="84">
                  <c:v>-1.9551616266945473E-3</c:v>
                </c:pt>
                <c:pt idx="85">
                  <c:v>-1.358234295415949E-2</c:v>
                </c:pt>
                <c:pt idx="86">
                  <c:v>-1.0724215543492682E-2</c:v>
                </c:pt>
                <c:pt idx="87">
                  <c:v>-1.0171306209850175E-2</c:v>
                </c:pt>
                <c:pt idx="88">
                  <c:v>-8.2477014602487762E-3</c:v>
                </c:pt>
                <c:pt idx="89">
                  <c:v>-3.544648943421826E-3</c:v>
                </c:pt>
                <c:pt idx="90">
                  <c:v>-1.1219045012997775E-2</c:v>
                </c:pt>
                <c:pt idx="91">
                  <c:v>-1.1207970112079734E-2</c:v>
                </c:pt>
                <c:pt idx="92">
                  <c:v>3.7783375314862895E-3</c:v>
                </c:pt>
                <c:pt idx="93">
                  <c:v>-2.9276453366793246E-3</c:v>
                </c:pt>
                <c:pt idx="94">
                  <c:v>1.5380313199105265E-2</c:v>
                </c:pt>
                <c:pt idx="95">
                  <c:v>1.2393280088129873E-2</c:v>
                </c:pt>
                <c:pt idx="96">
                  <c:v>-3.4004352557127312E-3</c:v>
                </c:pt>
                <c:pt idx="97">
                  <c:v>-1.5831854783676765E-2</c:v>
                </c:pt>
                <c:pt idx="98">
                  <c:v>1.6779919567327606E-2</c:v>
                </c:pt>
                <c:pt idx="99">
                  <c:v>2.2231314784506406E-2</c:v>
                </c:pt>
                <c:pt idx="100">
                  <c:v>1.2141427618412229E-2</c:v>
                </c:pt>
                <c:pt idx="101">
                  <c:v>1.3182177695755339E-2</c:v>
                </c:pt>
                <c:pt idx="102">
                  <c:v>8.066614623991733E-3</c:v>
                </c:pt>
                <c:pt idx="103">
                  <c:v>-1.639132679401149E-2</c:v>
                </c:pt>
                <c:pt idx="104">
                  <c:v>-9.4475790578664072E-3</c:v>
                </c:pt>
                <c:pt idx="105">
                  <c:v>-6.4909259504569465E-3</c:v>
                </c:pt>
                <c:pt idx="106">
                  <c:v>8.1333333333333258E-3</c:v>
                </c:pt>
                <c:pt idx="107">
                  <c:v>2.3806374818146651E-3</c:v>
                </c:pt>
                <c:pt idx="108">
                  <c:v>-1.1083256366275279E-2</c:v>
                </c:pt>
                <c:pt idx="109">
                  <c:v>-8.1387591727818467E-3</c:v>
                </c:pt>
                <c:pt idx="110">
                  <c:v>1.3451708366961838E-3</c:v>
                </c:pt>
                <c:pt idx="111">
                  <c:v>-3.3584094572810318E-3</c:v>
                </c:pt>
                <c:pt idx="112">
                  <c:v>1.3478905512879252E-4</c:v>
                </c:pt>
                <c:pt idx="113">
                  <c:v>6.6037735849055913E-3</c:v>
                </c:pt>
                <c:pt idx="114">
                  <c:v>-5.8910162002945203E-3</c:v>
                </c:pt>
                <c:pt idx="115">
                  <c:v>-7.0033670033669499E-3</c:v>
                </c:pt>
                <c:pt idx="116">
                  <c:v>1.6546860165468587E-2</c:v>
                </c:pt>
                <c:pt idx="117">
                  <c:v>-4.8032021347564962E-3</c:v>
                </c:pt>
                <c:pt idx="118">
                  <c:v>5.6307816061134429E-3</c:v>
                </c:pt>
                <c:pt idx="119">
                  <c:v>9.332089054792542E-3</c:v>
                </c:pt>
                <c:pt idx="120">
                  <c:v>1.5717870822876925E-2</c:v>
                </c:pt>
                <c:pt idx="121">
                  <c:v>2.5227568270481112E-2</c:v>
                </c:pt>
                <c:pt idx="122">
                  <c:v>-9.3860984271944333E-3</c:v>
                </c:pt>
                <c:pt idx="123">
                  <c:v>-1.4724711907810391E-2</c:v>
                </c:pt>
                <c:pt idx="124">
                  <c:v>-2.3261858349577728E-2</c:v>
                </c:pt>
                <c:pt idx="125">
                  <c:v>6.7855242150080515E-3</c:v>
                </c:pt>
                <c:pt idx="126">
                  <c:v>1.9162151447072853E-2</c:v>
                </c:pt>
                <c:pt idx="127">
                  <c:v>-9.0767634854772156E-3</c:v>
                </c:pt>
                <c:pt idx="128">
                  <c:v>-1.7403820989269802E-2</c:v>
                </c:pt>
                <c:pt idx="129">
                  <c:v>4.1283792781995239E-3</c:v>
                </c:pt>
                <c:pt idx="130">
                  <c:v>-1.6710875331565053E-2</c:v>
                </c:pt>
                <c:pt idx="131">
                  <c:v>-1.3487995683840615E-3</c:v>
                </c:pt>
                <c:pt idx="132">
                  <c:v>-2.7012425715829663E-3</c:v>
                </c:pt>
                <c:pt idx="133">
                  <c:v>1.1646803900325018E-2</c:v>
                </c:pt>
                <c:pt idx="134">
                  <c:v>4.1499330655957465E-3</c:v>
                </c:pt>
                <c:pt idx="135">
                  <c:v>-7.0657245700573405E-3</c:v>
                </c:pt>
                <c:pt idx="136">
                  <c:v>1.8796992481203082E-3</c:v>
                </c:pt>
                <c:pt idx="137">
                  <c:v>1.3803269900830891E-2</c:v>
                </c:pt>
                <c:pt idx="138">
                  <c:v>1.5994712491738186E-2</c:v>
                </c:pt>
                <c:pt idx="139">
                  <c:v>2.0817069997397424E-3</c:v>
                </c:pt>
                <c:pt idx="140">
                  <c:v>3.8950921838484988E-4</c:v>
                </c:pt>
                <c:pt idx="141">
                  <c:v>1.3497728747566598E-2</c:v>
                </c:pt>
                <c:pt idx="142">
                  <c:v>-1.0756819054936655E-2</c:v>
                </c:pt>
                <c:pt idx="143">
                  <c:v>2.5889967637540822E-3</c:v>
                </c:pt>
                <c:pt idx="144">
                  <c:v>1.6139444803098774E-2</c:v>
                </c:pt>
                <c:pt idx="145">
                  <c:v>1.1308767471410425E-2</c:v>
                </c:pt>
                <c:pt idx="146">
                  <c:v>-3.3923859781380857E-3</c:v>
                </c:pt>
                <c:pt idx="147">
                  <c:v>4.2864346949067506E-3</c:v>
                </c:pt>
                <c:pt idx="148">
                  <c:v>6.2766758724575901E-4</c:v>
                </c:pt>
                <c:pt idx="149">
                  <c:v>2.484004516371853E-2</c:v>
                </c:pt>
                <c:pt idx="150">
                  <c:v>2.7787978944791236E-2</c:v>
                </c:pt>
                <c:pt idx="151">
                  <c:v>-1.6555502620295388E-2</c:v>
                </c:pt>
                <c:pt idx="152">
                  <c:v>1.3806467239917653E-2</c:v>
                </c:pt>
                <c:pt idx="153">
                  <c:v>1.8277386214311329E-2</c:v>
                </c:pt>
                <c:pt idx="154">
                  <c:v>3.9887376818395518E-3</c:v>
                </c:pt>
                <c:pt idx="155">
                  <c:v>-1.1684973124561149E-3</c:v>
                </c:pt>
                <c:pt idx="156">
                  <c:v>-3.2756200280767561E-3</c:v>
                </c:pt>
                <c:pt idx="157">
                  <c:v>3.6384976525821863E-3</c:v>
                </c:pt>
                <c:pt idx="158">
                  <c:v>-7.1336685767746395E-3</c:v>
                </c:pt>
                <c:pt idx="159">
                  <c:v>2.1436984687867998E-2</c:v>
                </c:pt>
                <c:pt idx="160">
                  <c:v>-3.4594095940959084E-3</c:v>
                </c:pt>
                <c:pt idx="161">
                  <c:v>-2.777134922471591E-3</c:v>
                </c:pt>
                <c:pt idx="162">
                  <c:v>2.4367602692039188E-3</c:v>
                </c:pt>
                <c:pt idx="163">
                  <c:v>1.7363120731566811E-3</c:v>
                </c:pt>
                <c:pt idx="164">
                  <c:v>2.7270626299976879E-2</c:v>
                </c:pt>
                <c:pt idx="165">
                  <c:v>3.0146231721034786E-2</c:v>
                </c:pt>
                <c:pt idx="166">
                  <c:v>-1.3867656693601179E-2</c:v>
                </c:pt>
                <c:pt idx="167">
                  <c:v>-3.5322777101096201E-2</c:v>
                </c:pt>
                <c:pt idx="168">
                  <c:v>-8.838383838383956E-3</c:v>
                </c:pt>
                <c:pt idx="169">
                  <c:v>-2.316155182397089E-3</c:v>
                </c:pt>
                <c:pt idx="170">
                  <c:v>-2.2054556006964661E-2</c:v>
                </c:pt>
                <c:pt idx="171">
                  <c:v>-8.1899109792284604E-3</c:v>
                </c:pt>
                <c:pt idx="172">
                  <c:v>3.2312111057921974E-3</c:v>
                </c:pt>
                <c:pt idx="173">
                  <c:v>-1.7893355600619287E-3</c:v>
                </c:pt>
                <c:pt idx="174">
                  <c:v>6.3336520076480267E-3</c:v>
                </c:pt>
                <c:pt idx="175">
                  <c:v>1.187507421921387E-2</c:v>
                </c:pt>
                <c:pt idx="176">
                  <c:v>-1.6782067832413951E-2</c:v>
                </c:pt>
                <c:pt idx="177">
                  <c:v>-8.5939365003580674E-3</c:v>
                </c:pt>
                <c:pt idx="178">
                  <c:v>-2.8894774861546965E-3</c:v>
                </c:pt>
                <c:pt idx="179">
                  <c:v>2.7046607099734474E-2</c:v>
                </c:pt>
                <c:pt idx="180">
                  <c:v>2.2102045614860046E-2</c:v>
                </c:pt>
                <c:pt idx="181">
                  <c:v>-7.4764205198986832E-3</c:v>
                </c:pt>
                <c:pt idx="182">
                  <c:v>1.2400046355313398E-2</c:v>
                </c:pt>
                <c:pt idx="183">
                  <c:v>-1.5453296703296638E-2</c:v>
                </c:pt>
                <c:pt idx="184">
                  <c:v>-5.8132775258690848E-3</c:v>
                </c:pt>
                <c:pt idx="185">
                  <c:v>-7.3675593497837637E-3</c:v>
                </c:pt>
                <c:pt idx="186">
                  <c:v>-1.6965127238454263E-2</c:v>
                </c:pt>
                <c:pt idx="187">
                  <c:v>-2.8763183125598622E-3</c:v>
                </c:pt>
                <c:pt idx="188">
                  <c:v>9.4951923076922115E-3</c:v>
                </c:pt>
                <c:pt idx="189">
                  <c:v>-1.2620550065483845E-2</c:v>
                </c:pt>
                <c:pt idx="190">
                  <c:v>7.5967683588568117E-3</c:v>
                </c:pt>
                <c:pt idx="191">
                  <c:v>1.1967448539970597E-3</c:v>
                </c:pt>
                <c:pt idx="192">
                  <c:v>-2.0559407124073618E-2</c:v>
                </c:pt>
                <c:pt idx="193">
                  <c:v>1.0739565535757816E-2</c:v>
                </c:pt>
                <c:pt idx="194">
                  <c:v>-5.1919826128953468E-3</c:v>
                </c:pt>
                <c:pt idx="195">
                  <c:v>8.8602985799247965E-3</c:v>
                </c:pt>
                <c:pt idx="196">
                  <c:v>-1.8046198267564966E-2</c:v>
                </c:pt>
                <c:pt idx="197">
                  <c:v>-5.2683165890713892E-3</c:v>
                </c:pt>
                <c:pt idx="198">
                  <c:v>-3.6950363345239212E-3</c:v>
                </c:pt>
                <c:pt idx="199">
                  <c:v>-5.6867350723203581E-3</c:v>
                </c:pt>
                <c:pt idx="200">
                  <c:v>-7.8328981723238787E-3</c:v>
                </c:pt>
                <c:pt idx="201">
                  <c:v>-1.1403508771929782E-2</c:v>
                </c:pt>
                <c:pt idx="202">
                  <c:v>-1.0520978577766489E-2</c:v>
                </c:pt>
                <c:pt idx="203">
                  <c:v>1.3963617729951363E-2</c:v>
                </c:pt>
                <c:pt idx="204">
                  <c:v>-4.8010107391030909E-3</c:v>
                </c:pt>
                <c:pt idx="205">
                  <c:v>-6.0936904913036659E-3</c:v>
                </c:pt>
                <c:pt idx="206">
                  <c:v>-1.1112530335930572E-2</c:v>
                </c:pt>
                <c:pt idx="207">
                  <c:v>1.5887367605270007E-2</c:v>
                </c:pt>
                <c:pt idx="208">
                  <c:v>3.1277813095994832E-2</c:v>
                </c:pt>
                <c:pt idx="209">
                  <c:v>-2.7246948588336751E-2</c:v>
                </c:pt>
                <c:pt idx="210">
                  <c:v>-3.0418250950571494E-3</c:v>
                </c:pt>
                <c:pt idx="211">
                  <c:v>1.0297482837528633E-2</c:v>
                </c:pt>
                <c:pt idx="212">
                  <c:v>1.6232540581351533E-2</c:v>
                </c:pt>
                <c:pt idx="213">
                  <c:v>-2.2040614165428442E-2</c:v>
                </c:pt>
                <c:pt idx="214">
                  <c:v>-1.3041276272474058E-2</c:v>
                </c:pt>
                <c:pt idx="215">
                  <c:v>1.0519563822963349E-2</c:v>
                </c:pt>
                <c:pt idx="216">
                  <c:v>-6.9823536879522301E-3</c:v>
                </c:pt>
                <c:pt idx="217">
                  <c:v>1.342367680900022E-2</c:v>
                </c:pt>
                <c:pt idx="218">
                  <c:v>1.0092090324208366E-2</c:v>
                </c:pt>
                <c:pt idx="219">
                  <c:v>-9.9912576495564268E-4</c:v>
                </c:pt>
                <c:pt idx="220">
                  <c:v>2.1252656582072976E-3</c:v>
                </c:pt>
                <c:pt idx="221">
                  <c:v>-7.6097804391217494E-3</c:v>
                </c:pt>
                <c:pt idx="222">
                  <c:v>5.5311125078566659E-3</c:v>
                </c:pt>
                <c:pt idx="223">
                  <c:v>-1.1501437679709986E-2</c:v>
                </c:pt>
                <c:pt idx="224">
                  <c:v>-1.2520551410142848E-2</c:v>
                </c:pt>
                <c:pt idx="225">
                  <c:v>4.0983606557377997E-3</c:v>
                </c:pt>
                <c:pt idx="226">
                  <c:v>-1.122448979591849E-2</c:v>
                </c:pt>
                <c:pt idx="227">
                  <c:v>8.3849329205367088E-3</c:v>
                </c:pt>
                <c:pt idx="228">
                  <c:v>-3.9657157477293366E-3</c:v>
                </c:pt>
                <c:pt idx="229">
                  <c:v>-1.6696634985871495E-3</c:v>
                </c:pt>
                <c:pt idx="230">
                  <c:v>3.4735623311462241E-3</c:v>
                </c:pt>
                <c:pt idx="231">
                  <c:v>9.8717948717948201E-3</c:v>
                </c:pt>
                <c:pt idx="232">
                  <c:v>-2.2089628030976197E-2</c:v>
                </c:pt>
                <c:pt idx="233">
                  <c:v>-1.1424120472543106E-2</c:v>
                </c:pt>
                <c:pt idx="234">
                  <c:v>-2.6263952724898531E-4</c:v>
                </c:pt>
                <c:pt idx="235">
                  <c:v>-4.2033363982660341E-3</c:v>
                </c:pt>
                <c:pt idx="236">
                  <c:v>-6.331618519984223E-3</c:v>
                </c:pt>
                <c:pt idx="237">
                  <c:v>3.7169786273729077E-3</c:v>
                </c:pt>
                <c:pt idx="238">
                  <c:v>1.3622536701494527E-2</c:v>
                </c:pt>
                <c:pt idx="239">
                  <c:v>-9.2640918580374973E-3</c:v>
                </c:pt>
                <c:pt idx="240">
                  <c:v>-1.0536020018439682E-3</c:v>
                </c:pt>
                <c:pt idx="241">
                  <c:v>6.3282794990112594E-3</c:v>
                </c:pt>
                <c:pt idx="242">
                  <c:v>2.2271714922049036E-2</c:v>
                </c:pt>
                <c:pt idx="243">
                  <c:v>-1.5506856337306266E-2</c:v>
                </c:pt>
                <c:pt idx="244">
                  <c:v>1.7573548555063899E-2</c:v>
                </c:pt>
                <c:pt idx="245">
                  <c:v>2.9423052321863115E-3</c:v>
                </c:pt>
                <c:pt idx="246">
                  <c:v>-1.0714285714285758E-2</c:v>
                </c:pt>
                <c:pt idx="247">
                  <c:v>1.1474987106756067E-2</c:v>
                </c:pt>
                <c:pt idx="248">
                  <c:v>7.3932441045251535E-3</c:v>
                </c:pt>
                <c:pt idx="249">
                  <c:v>1.315955966088817E-2</c:v>
                </c:pt>
                <c:pt idx="250">
                  <c:v>-5.8698638691145107E-3</c:v>
                </c:pt>
                <c:pt idx="251">
                  <c:v>3.5175879396985069E-3</c:v>
                </c:pt>
                <c:pt idx="252">
                  <c:v>-2.7541311967951786E-3</c:v>
                </c:pt>
                <c:pt idx="253">
                  <c:v>8.9128797388903832E-3</c:v>
                </c:pt>
                <c:pt idx="254">
                  <c:v>-7.4654721911163711E-4</c:v>
                </c:pt>
                <c:pt idx="255">
                  <c:v>-9.7123645872245184E-3</c:v>
                </c:pt>
                <c:pt idx="256">
                  <c:v>2.137558154155686E-3</c:v>
                </c:pt>
                <c:pt idx="257">
                  <c:v>2.5470514429109171E-2</c:v>
                </c:pt>
                <c:pt idx="258">
                  <c:v>-1.1011868346996623E-3</c:v>
                </c:pt>
                <c:pt idx="259">
                  <c:v>3.3072023517882903E-3</c:v>
                </c:pt>
                <c:pt idx="260">
                  <c:v>-5.371749481137807E-3</c:v>
                </c:pt>
                <c:pt idx="261">
                  <c:v>-1.3133668835153961E-2</c:v>
                </c:pt>
                <c:pt idx="262">
                  <c:v>-3.3582089552240076E-3</c:v>
                </c:pt>
                <c:pt idx="263">
                  <c:v>4.2431049544490633E-3</c:v>
                </c:pt>
                <c:pt idx="264">
                  <c:v>-8.9474338262706451E-3</c:v>
                </c:pt>
                <c:pt idx="265">
                  <c:v>1.6300940438870903E-3</c:v>
                </c:pt>
                <c:pt idx="266">
                  <c:v>-8.3875813720581081E-3</c:v>
                </c:pt>
                <c:pt idx="267">
                  <c:v>1.3887135462694034E-3</c:v>
                </c:pt>
                <c:pt idx="268">
                  <c:v>-4.6646495209277652E-3</c:v>
                </c:pt>
                <c:pt idx="269">
                  <c:v>4.1798606713109344E-3</c:v>
                </c:pt>
                <c:pt idx="270">
                  <c:v>1.6902119071644846E-2</c:v>
                </c:pt>
                <c:pt idx="271">
                  <c:v>4.7134706028280253E-3</c:v>
                </c:pt>
                <c:pt idx="272">
                  <c:v>-1.4567901234567986E-2</c:v>
                </c:pt>
                <c:pt idx="273">
                  <c:v>1.6537208719619237E-2</c:v>
                </c:pt>
                <c:pt idx="274">
                  <c:v>-3.4508257333004822E-3</c:v>
                </c:pt>
                <c:pt idx="275">
                  <c:v>-1.2367054167703581E-4</c:v>
                </c:pt>
                <c:pt idx="276">
                  <c:v>4.9474335188628635E-4</c:v>
                </c:pt>
                <c:pt idx="277">
                  <c:v>-6.0576090987760527E-3</c:v>
                </c:pt>
                <c:pt idx="278">
                  <c:v>-9.5771144278608226E-3</c:v>
                </c:pt>
                <c:pt idx="279">
                  <c:v>5.5255556950897624E-3</c:v>
                </c:pt>
                <c:pt idx="280">
                  <c:v>-7.3685525165478865E-3</c:v>
                </c:pt>
                <c:pt idx="281">
                  <c:v>2.5163563160538523E-4</c:v>
                </c:pt>
                <c:pt idx="282">
                  <c:v>4.0251572327043164E-3</c:v>
                </c:pt>
                <c:pt idx="283">
                  <c:v>1.5033826108745247E-3</c:v>
                </c:pt>
                <c:pt idx="284">
                  <c:v>-8.5063797848385376E-3</c:v>
                </c:pt>
                <c:pt idx="285">
                  <c:v>2.3971738581882122E-3</c:v>
                </c:pt>
                <c:pt idx="286">
                  <c:v>-2.5173064820636904E-4</c:v>
                </c:pt>
                <c:pt idx="287">
                  <c:v>-2.5179403248143375E-3</c:v>
                </c:pt>
                <c:pt idx="288">
                  <c:v>-2.1456518995330268E-3</c:v>
                </c:pt>
                <c:pt idx="289">
                  <c:v>4.3005312420946549E-3</c:v>
                </c:pt>
                <c:pt idx="290">
                  <c:v>-1.234256926952146E-2</c:v>
                </c:pt>
                <c:pt idx="291">
                  <c:v>1.6577403723539333E-3</c:v>
                </c:pt>
                <c:pt idx="292">
                  <c:v>-3.3099936346275101E-3</c:v>
                </c:pt>
                <c:pt idx="293">
                  <c:v>0</c:v>
                </c:pt>
                <c:pt idx="294">
                  <c:v>1.5327628049558095E-3</c:v>
                </c:pt>
                <c:pt idx="295">
                  <c:v>-1.1733197296263254E-2</c:v>
                </c:pt>
                <c:pt idx="296">
                  <c:v>-2.4519292811975447E-3</c:v>
                </c:pt>
                <c:pt idx="297">
                  <c:v>-3.3635187580852641E-3</c:v>
                </c:pt>
                <c:pt idx="298">
                  <c:v>4.2834890965731866E-3</c:v>
                </c:pt>
                <c:pt idx="299">
                  <c:v>-3.8774718883289564E-3</c:v>
                </c:pt>
                <c:pt idx="300">
                  <c:v>-1.4272739068379324E-3</c:v>
                </c:pt>
                <c:pt idx="301">
                  <c:v>-1.2474012474012393E-2</c:v>
                </c:pt>
                <c:pt idx="302">
                  <c:v>4.2105263157893843E-3</c:v>
                </c:pt>
                <c:pt idx="303">
                  <c:v>1.8343815513626911E-3</c:v>
                </c:pt>
                <c:pt idx="304">
                  <c:v>4.8391315720638841E-3</c:v>
                </c:pt>
                <c:pt idx="305">
                  <c:v>5.8570870753612237E-3</c:v>
                </c:pt>
                <c:pt idx="306">
                  <c:v>-5.1759834368538113E-4</c:v>
                </c:pt>
                <c:pt idx="307">
                  <c:v>3.7545313309167048E-3</c:v>
                </c:pt>
                <c:pt idx="308">
                  <c:v>1.0060621694827823E-2</c:v>
                </c:pt>
                <c:pt idx="309">
                  <c:v>9.0665304558803957E-3</c:v>
                </c:pt>
                <c:pt idx="310">
                  <c:v>-9.9974689951909911E-3</c:v>
                </c:pt>
                <c:pt idx="311">
                  <c:v>9.714943116451373E-3</c:v>
                </c:pt>
                <c:pt idx="312">
                  <c:v>-4.4309406253955482E-3</c:v>
                </c:pt>
                <c:pt idx="313">
                  <c:v>5.4679552390639952E-3</c:v>
                </c:pt>
                <c:pt idx="314">
                  <c:v>8.0940938409004761E-3</c:v>
                </c:pt>
                <c:pt idx="315">
                  <c:v>7.6527411868021512E-3</c:v>
                </c:pt>
                <c:pt idx="316">
                  <c:v>-7.3456175298803441E-3</c:v>
                </c:pt>
                <c:pt idx="317">
                  <c:v>1.5050796437976965E-3</c:v>
                </c:pt>
                <c:pt idx="318">
                  <c:v>-2.0288040075140769E-2</c:v>
                </c:pt>
                <c:pt idx="319">
                  <c:v>0</c:v>
                </c:pt>
                <c:pt idx="320">
                  <c:v>1.0481912309855467E-2</c:v>
                </c:pt>
                <c:pt idx="321">
                  <c:v>-5.3130929791271563E-3</c:v>
                </c:pt>
                <c:pt idx="322">
                  <c:v>1.3735215566577622E-2</c:v>
                </c:pt>
                <c:pt idx="323">
                  <c:v>-1.1792748714088544E-2</c:v>
                </c:pt>
                <c:pt idx="324">
                  <c:v>5.5858829503617844E-3</c:v>
                </c:pt>
                <c:pt idx="325">
                  <c:v>5.4286074990532365E-3</c:v>
                </c:pt>
                <c:pt idx="326">
                  <c:v>-4.1436464088397571E-3</c:v>
                </c:pt>
                <c:pt idx="327">
                  <c:v>4.6652376749464703E-3</c:v>
                </c:pt>
                <c:pt idx="328">
                  <c:v>-3.5140562248996122E-3</c:v>
                </c:pt>
                <c:pt idx="329">
                  <c:v>-7.0528967254408345E-3</c:v>
                </c:pt>
                <c:pt idx="330">
                  <c:v>1.1415525114155684E-3</c:v>
                </c:pt>
                <c:pt idx="331">
                  <c:v>-3.8008361839606149E-4</c:v>
                </c:pt>
                <c:pt idx="332">
                  <c:v>4.1825095057034002E-3</c:v>
                </c:pt>
                <c:pt idx="333">
                  <c:v>3.5340148933484931E-3</c:v>
                </c:pt>
                <c:pt idx="334">
                  <c:v>-6.2885171676532975E-4</c:v>
                </c:pt>
                <c:pt idx="335">
                  <c:v>7.2992700729928583E-3</c:v>
                </c:pt>
                <c:pt idx="336">
                  <c:v>-2.3738130934534223E-3</c:v>
                </c:pt>
                <c:pt idx="337">
                  <c:v>-5.6355666875389943E-3</c:v>
                </c:pt>
                <c:pt idx="338">
                  <c:v>4.2821158690174955E-3</c:v>
                </c:pt>
                <c:pt idx="339">
                  <c:v>1.2540757461757107E-4</c:v>
                </c:pt>
                <c:pt idx="340">
                  <c:v>1.053291536050161E-2</c:v>
                </c:pt>
                <c:pt idx="341">
                  <c:v>1.8240476485916351E-2</c:v>
                </c:pt>
                <c:pt idx="342">
                  <c:v>2.9246892517669374E-3</c:v>
                </c:pt>
                <c:pt idx="343">
                  <c:v>-3.7667071688943171E-3</c:v>
                </c:pt>
                <c:pt idx="344">
                  <c:v>1.3782168557141233E-2</c:v>
                </c:pt>
                <c:pt idx="345">
                  <c:v>2.3941289701636125E-2</c:v>
                </c:pt>
                <c:pt idx="346">
                  <c:v>-1.3159440723769294E-2</c:v>
                </c:pt>
                <c:pt idx="347">
                  <c:v>-8.57244910108345E-3</c:v>
                </c:pt>
                <c:pt idx="348">
                  <c:v>-4.083103158400255E-3</c:v>
                </c:pt>
                <c:pt idx="349">
                  <c:v>6.0291812371879895E-3</c:v>
                </c:pt>
                <c:pt idx="350">
                  <c:v>9.5888769027925548E-4</c:v>
                </c:pt>
                <c:pt idx="351">
                  <c:v>-2.2392527840977183E-2</c:v>
                </c:pt>
                <c:pt idx="352">
                  <c:v>-8.2067613914747883E-3</c:v>
                </c:pt>
                <c:pt idx="353">
                  <c:v>-4.1990860812647079E-3</c:v>
                </c:pt>
                <c:pt idx="354">
                  <c:v>-6.9453057174749143E-3</c:v>
                </c:pt>
                <c:pt idx="355">
                  <c:v>4.8707381041588685E-3</c:v>
                </c:pt>
                <c:pt idx="356">
                  <c:v>7.4571215510815662E-4</c:v>
                </c:pt>
                <c:pt idx="357">
                  <c:v>-1.0183805265772394E-2</c:v>
                </c:pt>
                <c:pt idx="358">
                  <c:v>-3.0112923462987337E-3</c:v>
                </c:pt>
                <c:pt idx="359">
                  <c:v>6.2924742008572075E-4</c:v>
                </c:pt>
                <c:pt idx="360">
                  <c:v>-2.3896365237078597E-3</c:v>
                </c:pt>
                <c:pt idx="361">
                  <c:v>-1.0463943519919293E-2</c:v>
                </c:pt>
                <c:pt idx="362">
                  <c:v>2.1658810039495695E-3</c:v>
                </c:pt>
                <c:pt idx="363">
                  <c:v>0</c:v>
                </c:pt>
                <c:pt idx="364">
                  <c:v>-4.0681413679124487E-3</c:v>
                </c:pt>
                <c:pt idx="365">
                  <c:v>-5.1059484299209304E-3</c:v>
                </c:pt>
                <c:pt idx="366">
                  <c:v>-1.7962535283551524E-3</c:v>
                </c:pt>
                <c:pt idx="367">
                  <c:v>-1.1311053984575778E-2</c:v>
                </c:pt>
                <c:pt idx="368">
                  <c:v>-5.4602184087363713E-3</c:v>
                </c:pt>
                <c:pt idx="369">
                  <c:v>3.0065359477124704E-3</c:v>
                </c:pt>
                <c:pt idx="370">
                  <c:v>-9.3835527173204598E-3</c:v>
                </c:pt>
                <c:pt idx="371">
                  <c:v>-5.6571503749507542E-3</c:v>
                </c:pt>
                <c:pt idx="372">
                  <c:v>-2.6462026991262266E-4</c:v>
                </c:pt>
                <c:pt idx="373">
                  <c:v>-7.1466384330334332E-3</c:v>
                </c:pt>
                <c:pt idx="374">
                  <c:v>-7.9978672354041956E-4</c:v>
                </c:pt>
                <c:pt idx="375">
                  <c:v>-1.4674493062966842E-3</c:v>
                </c:pt>
                <c:pt idx="376">
                  <c:v>-2.9392117568470123E-3</c:v>
                </c:pt>
                <c:pt idx="377">
                  <c:v>-1.6079324668363777E-2</c:v>
                </c:pt>
                <c:pt idx="378">
                  <c:v>-7.2177584093694822E-3</c:v>
                </c:pt>
                <c:pt idx="379">
                  <c:v>-5.8984910836763623E-3</c:v>
                </c:pt>
                <c:pt idx="380">
                  <c:v>2.2078101283289167E-3</c:v>
                </c:pt>
                <c:pt idx="381">
                  <c:v>-8.2610491532427756E-4</c:v>
                </c:pt>
                <c:pt idx="382">
                  <c:v>-1.4193192779385242E-2</c:v>
                </c:pt>
                <c:pt idx="383">
                  <c:v>7.827788649706291E-3</c:v>
                </c:pt>
                <c:pt idx="384">
                  <c:v>9.847434119278891E-3</c:v>
                </c:pt>
                <c:pt idx="385">
                  <c:v>1.7854690289794734E-3</c:v>
                </c:pt>
                <c:pt idx="386">
                  <c:v>1.3161502604880833E-2</c:v>
                </c:pt>
                <c:pt idx="387">
                  <c:v>-5.8186738836266145E-3</c:v>
                </c:pt>
                <c:pt idx="388">
                  <c:v>4.4916292364230066E-3</c:v>
                </c:pt>
                <c:pt idx="389">
                  <c:v>-1.5989159891598815E-2</c:v>
                </c:pt>
                <c:pt idx="390">
                  <c:v>-1.927843569264673E-3</c:v>
                </c:pt>
                <c:pt idx="391">
                  <c:v>1.5314569536423833E-2</c:v>
                </c:pt>
                <c:pt idx="392">
                  <c:v>9.512161978528764E-4</c:v>
                </c:pt>
                <c:pt idx="393">
                  <c:v>1.1132229161010147E-2</c:v>
                </c:pt>
                <c:pt idx="394">
                  <c:v>5.1020408163264695E-3</c:v>
                </c:pt>
                <c:pt idx="395">
                  <c:v>-2.2709056906225181E-3</c:v>
                </c:pt>
                <c:pt idx="396">
                  <c:v>4.8199223456955338E-3</c:v>
                </c:pt>
                <c:pt idx="397">
                  <c:v>9.9933377748167886E-3</c:v>
                </c:pt>
                <c:pt idx="398">
                  <c:v>-9.4986807387862655E-3</c:v>
                </c:pt>
                <c:pt idx="399">
                  <c:v>-8.6574320724559332E-3</c:v>
                </c:pt>
                <c:pt idx="400">
                  <c:v>-2.2840252586322947E-3</c:v>
                </c:pt>
                <c:pt idx="401">
                  <c:v>1.2927551844869293E-2</c:v>
                </c:pt>
                <c:pt idx="402">
                  <c:v>1.1699016219090606E-2</c:v>
                </c:pt>
                <c:pt idx="403">
                  <c:v>-6.0446780551904567E-3</c:v>
                </c:pt>
                <c:pt idx="404">
                  <c:v>8.9899524061342224E-3</c:v>
                </c:pt>
                <c:pt idx="405">
                  <c:v>-1.1530398322851094E-2</c:v>
                </c:pt>
                <c:pt idx="406">
                  <c:v>4.1092258748674747E-3</c:v>
                </c:pt>
                <c:pt idx="407">
                  <c:v>2.1782178217821857E-2</c:v>
                </c:pt>
                <c:pt idx="408">
                  <c:v>1.4341085271317821E-2</c:v>
                </c:pt>
                <c:pt idx="409">
                  <c:v>-8.7886893389378662E-3</c:v>
                </c:pt>
                <c:pt idx="410">
                  <c:v>7.7101002313031174E-3</c:v>
                </c:pt>
                <c:pt idx="411">
                  <c:v>-8.1611833715888871E-3</c:v>
                </c:pt>
                <c:pt idx="412">
                  <c:v>1.2856775520698677E-3</c:v>
                </c:pt>
                <c:pt idx="413">
                  <c:v>-3.8777606574216694E-2</c:v>
                </c:pt>
                <c:pt idx="414">
                  <c:v>-3.3395671920919048E-3</c:v>
                </c:pt>
                <c:pt idx="415">
                  <c:v>5.0931510521377218E-3</c:v>
                </c:pt>
                <c:pt idx="416">
                  <c:v>-6.8009067875715555E-3</c:v>
                </c:pt>
                <c:pt idx="417">
                  <c:v>-2.6852846401732318E-4</c:v>
                </c:pt>
                <c:pt idx="418">
                  <c:v>2.6860059092143746E-4</c:v>
                </c:pt>
                <c:pt idx="419">
                  <c:v>-1.3426423200860436E-3</c:v>
                </c:pt>
                <c:pt idx="420">
                  <c:v>1.8822264049475743E-3</c:v>
                </c:pt>
                <c:pt idx="421">
                  <c:v>0</c:v>
                </c:pt>
                <c:pt idx="422">
                  <c:v>1.7444981213098453E-3</c:v>
                </c:pt>
                <c:pt idx="423">
                  <c:v>2.1165438713998636E-2</c:v>
                </c:pt>
                <c:pt idx="424">
                  <c:v>-1.0888101797192684E-2</c:v>
                </c:pt>
                <c:pt idx="425">
                  <c:v>-2.1618037135278642E-2</c:v>
                </c:pt>
                <c:pt idx="426">
                  <c:v>5.55781482987679E-3</c:v>
                </c:pt>
                <c:pt idx="427">
                  <c:v>-9.8409274737126431E-3</c:v>
                </c:pt>
                <c:pt idx="428">
                  <c:v>-1.3478556841388822E-2</c:v>
                </c:pt>
                <c:pt idx="429">
                  <c:v>-1.3248688931824369E-2</c:v>
                </c:pt>
                <c:pt idx="430">
                  <c:v>-7.1328671328672044E-3</c:v>
                </c:pt>
                <c:pt idx="431">
                  <c:v>-5.352866600929645E-3</c:v>
                </c:pt>
                <c:pt idx="432">
                  <c:v>-9.3471179719585972E-3</c:v>
                </c:pt>
                <c:pt idx="433">
                  <c:v>-4.8606147248034795E-3</c:v>
                </c:pt>
                <c:pt idx="434">
                  <c:v>-1.5658669731360486E-2</c:v>
                </c:pt>
                <c:pt idx="435">
                  <c:v>-5.2539404553414984E-3</c:v>
                </c:pt>
                <c:pt idx="436">
                  <c:v>-2.9342723004695255E-3</c:v>
                </c:pt>
                <c:pt idx="437">
                  <c:v>2.8104767510300339E-2</c:v>
                </c:pt>
                <c:pt idx="438">
                  <c:v>2.1754687276370345E-2</c:v>
                </c:pt>
                <c:pt idx="439">
                  <c:v>-2.6614371760750486E-3</c:v>
                </c:pt>
                <c:pt idx="440">
                  <c:v>2.8089887640449836E-3</c:v>
                </c:pt>
                <c:pt idx="441">
                  <c:v>8.6834733893556056E-3</c:v>
                </c:pt>
                <c:pt idx="442">
                  <c:v>-1.1108025548458526E-3</c:v>
                </c:pt>
                <c:pt idx="443">
                  <c:v>1.5290519877675763E-3</c:v>
                </c:pt>
                <c:pt idx="444">
                  <c:v>-6.2456627342123922E-3</c:v>
                </c:pt>
                <c:pt idx="445">
                  <c:v>-5.5865921787708311E-3</c:v>
                </c:pt>
                <c:pt idx="446">
                  <c:v>-1.3342696629213523E-2</c:v>
                </c:pt>
                <c:pt idx="447">
                  <c:v>-1.2811387900355953E-2</c:v>
                </c:pt>
                <c:pt idx="448">
                  <c:v>2.0187454938716738E-3</c:v>
                </c:pt>
                <c:pt idx="449">
                  <c:v>3.3098287523385234E-3</c:v>
                </c:pt>
                <c:pt idx="450">
                  <c:v>6.3109581181870012E-3</c:v>
                </c:pt>
                <c:pt idx="451">
                  <c:v>6.2713797035347458E-3</c:v>
                </c:pt>
                <c:pt idx="452">
                  <c:v>-7.0821529745042503E-3</c:v>
                </c:pt>
                <c:pt idx="453">
                  <c:v>-4.2796005706133696E-3</c:v>
                </c:pt>
                <c:pt idx="454">
                  <c:v>-2.4355300859599097E-3</c:v>
                </c:pt>
                <c:pt idx="455">
                  <c:v>3.3031739192877206E-3</c:v>
                </c:pt>
                <c:pt idx="456">
                  <c:v>-8.5886057829948862E-4</c:v>
                </c:pt>
                <c:pt idx="457">
                  <c:v>4.2979942693411374E-4</c:v>
                </c:pt>
                <c:pt idx="458">
                  <c:v>2.4344837462408953E-3</c:v>
                </c:pt>
                <c:pt idx="459">
                  <c:v>-8.5714285714288962E-4</c:v>
                </c:pt>
                <c:pt idx="460">
                  <c:v>-6.2911066628538424E-3</c:v>
                </c:pt>
                <c:pt idx="461">
                  <c:v>-7.9136690647481599E-3</c:v>
                </c:pt>
                <c:pt idx="462">
                  <c:v>-9.4271211022480886E-3</c:v>
                </c:pt>
                <c:pt idx="463">
                  <c:v>6.4421669106881074E-3</c:v>
                </c:pt>
                <c:pt idx="464">
                  <c:v>-9.310445155659014E-3</c:v>
                </c:pt>
                <c:pt idx="465">
                  <c:v>-5.1395007342143074E-3</c:v>
                </c:pt>
                <c:pt idx="466">
                  <c:v>-1.1660516605166144E-2</c:v>
                </c:pt>
                <c:pt idx="467">
                  <c:v>1.8518518518518656E-2</c:v>
                </c:pt>
                <c:pt idx="468">
                  <c:v>8.7976539589441974E-3</c:v>
                </c:pt>
                <c:pt idx="469">
                  <c:v>-1.9622093023255731E-2</c:v>
                </c:pt>
                <c:pt idx="470">
                  <c:v>1.482579688656917E-4</c:v>
                </c:pt>
                <c:pt idx="471">
                  <c:v>-9.7835754521197246E-3</c:v>
                </c:pt>
                <c:pt idx="472">
                  <c:v>-5.0898203592814883E-3</c:v>
                </c:pt>
                <c:pt idx="473">
                  <c:v>5.5672585013542665E-3</c:v>
                </c:pt>
                <c:pt idx="474">
                  <c:v>1.7956007780937386E-3</c:v>
                </c:pt>
                <c:pt idx="475">
                  <c:v>7.468259895443937E-4</c:v>
                </c:pt>
                <c:pt idx="476">
                  <c:v>4.1791044776119573E-3</c:v>
                </c:pt>
                <c:pt idx="477">
                  <c:v>-3.7158145065398335E-3</c:v>
                </c:pt>
                <c:pt idx="478">
                  <c:v>-3.4312994181710274E-3</c:v>
                </c:pt>
                <c:pt idx="479">
                  <c:v>-2.2455089820358006E-3</c:v>
                </c:pt>
                <c:pt idx="480">
                  <c:v>8.2520630157538952E-3</c:v>
                </c:pt>
                <c:pt idx="481">
                  <c:v>4.3154761904760719E-3</c:v>
                </c:pt>
                <c:pt idx="482">
                  <c:v>7.5566750629723683E-3</c:v>
                </c:pt>
                <c:pt idx="483">
                  <c:v>-5.8823529411773906E-4</c:v>
                </c:pt>
                <c:pt idx="484">
                  <c:v>-4.8557975279575971E-3</c:v>
                </c:pt>
                <c:pt idx="485">
                  <c:v>8.4282123318055215E-3</c:v>
                </c:pt>
                <c:pt idx="486">
                  <c:v>2.3460410557184248E-3</c:v>
                </c:pt>
                <c:pt idx="487">
                  <c:v>-5.4125219426565908E-3</c:v>
                </c:pt>
                <c:pt idx="488">
                  <c:v>-1.4560964847771658E-2</c:v>
                </c:pt>
                <c:pt idx="489">
                  <c:v>2.01492537313432E-2</c:v>
                </c:pt>
                <c:pt idx="490">
                  <c:v>-2.1945866861739793E-3</c:v>
                </c:pt>
                <c:pt idx="491">
                  <c:v>-2.3460410557184248E-3</c:v>
                </c:pt>
                <c:pt idx="492">
                  <c:v>-8.6713697824809428E-3</c:v>
                </c:pt>
                <c:pt idx="493">
                  <c:v>-2.9651593773165727E-3</c:v>
                </c:pt>
                <c:pt idx="494">
                  <c:v>9.6654275092937642E-3</c:v>
                </c:pt>
                <c:pt idx="495">
                  <c:v>-7.0692194403535191E-3</c:v>
                </c:pt>
                <c:pt idx="496">
                  <c:v>1.1124295461287452E-2</c:v>
                </c:pt>
                <c:pt idx="497">
                  <c:v>3.8139944257005298E-3</c:v>
                </c:pt>
                <c:pt idx="498">
                  <c:v>5.4069852403914997E-3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E-4CC5-B9BD-8955E33E1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9371967"/>
        <c:axId val="1092430527"/>
      </c:lineChart>
      <c:dateAx>
        <c:axId val="173937196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30527"/>
        <c:crosses val="autoZero"/>
        <c:auto val="1"/>
        <c:lblOffset val="100"/>
        <c:baseTimeUnit val="days"/>
        <c:majorUnit val="50"/>
        <c:majorTimeUnit val="months"/>
      </c:dateAx>
      <c:valAx>
        <c:axId val="109243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7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 Diário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Drawdown</c:v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Análise_Variação!$A$3:$A$501</c:f>
              <c:numCache>
                <c:formatCode>m/d/yyyy</c:formatCode>
                <c:ptCount val="499"/>
                <c:pt idx="0">
                  <c:v>45491</c:v>
                </c:pt>
                <c:pt idx="1">
                  <c:v>45492</c:v>
                </c:pt>
                <c:pt idx="2">
                  <c:v>45495</c:v>
                </c:pt>
                <c:pt idx="3">
                  <c:v>45496</c:v>
                </c:pt>
                <c:pt idx="4">
                  <c:v>45497</c:v>
                </c:pt>
                <c:pt idx="5">
                  <c:v>45498</c:v>
                </c:pt>
                <c:pt idx="6">
                  <c:v>45499</c:v>
                </c:pt>
                <c:pt idx="7">
                  <c:v>45502</c:v>
                </c:pt>
                <c:pt idx="8">
                  <c:v>45503</c:v>
                </c:pt>
                <c:pt idx="9">
                  <c:v>45504</c:v>
                </c:pt>
                <c:pt idx="10">
                  <c:v>45505</c:v>
                </c:pt>
                <c:pt idx="11">
                  <c:v>45506</c:v>
                </c:pt>
                <c:pt idx="12">
                  <c:v>45509</c:v>
                </c:pt>
                <c:pt idx="13">
                  <c:v>45510</c:v>
                </c:pt>
                <c:pt idx="14">
                  <c:v>45511</c:v>
                </c:pt>
                <c:pt idx="15">
                  <c:v>45512</c:v>
                </c:pt>
                <c:pt idx="16">
                  <c:v>45513</c:v>
                </c:pt>
                <c:pt idx="17">
                  <c:v>45516</c:v>
                </c:pt>
                <c:pt idx="18">
                  <c:v>45517</c:v>
                </c:pt>
                <c:pt idx="19">
                  <c:v>45518</c:v>
                </c:pt>
                <c:pt idx="20">
                  <c:v>45519</c:v>
                </c:pt>
                <c:pt idx="21">
                  <c:v>45520</c:v>
                </c:pt>
                <c:pt idx="22">
                  <c:v>45523</c:v>
                </c:pt>
                <c:pt idx="23">
                  <c:v>45524</c:v>
                </c:pt>
                <c:pt idx="24">
                  <c:v>45525</c:v>
                </c:pt>
                <c:pt idx="25">
                  <c:v>45526</c:v>
                </c:pt>
                <c:pt idx="26">
                  <c:v>45527</c:v>
                </c:pt>
                <c:pt idx="27">
                  <c:v>45530</c:v>
                </c:pt>
                <c:pt idx="28">
                  <c:v>45531</c:v>
                </c:pt>
                <c:pt idx="29">
                  <c:v>45532</c:v>
                </c:pt>
                <c:pt idx="30">
                  <c:v>45533</c:v>
                </c:pt>
                <c:pt idx="31">
                  <c:v>45534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45544</c:v>
                </c:pt>
                <c:pt idx="38">
                  <c:v>45545</c:v>
                </c:pt>
                <c:pt idx="39">
                  <c:v>45546</c:v>
                </c:pt>
                <c:pt idx="40">
                  <c:v>45547</c:v>
                </c:pt>
                <c:pt idx="41">
                  <c:v>45548</c:v>
                </c:pt>
                <c:pt idx="42">
                  <c:v>45551</c:v>
                </c:pt>
                <c:pt idx="43">
                  <c:v>45552</c:v>
                </c:pt>
                <c:pt idx="44">
                  <c:v>45553</c:v>
                </c:pt>
                <c:pt idx="45">
                  <c:v>45554</c:v>
                </c:pt>
                <c:pt idx="46">
                  <c:v>45555</c:v>
                </c:pt>
                <c:pt idx="47">
                  <c:v>45558</c:v>
                </c:pt>
                <c:pt idx="48">
                  <c:v>45559</c:v>
                </c:pt>
                <c:pt idx="49">
                  <c:v>45560</c:v>
                </c:pt>
                <c:pt idx="50">
                  <c:v>45561</c:v>
                </c:pt>
                <c:pt idx="51">
                  <c:v>45562</c:v>
                </c:pt>
                <c:pt idx="52">
                  <c:v>45565</c:v>
                </c:pt>
                <c:pt idx="53">
                  <c:v>45566</c:v>
                </c:pt>
                <c:pt idx="54">
                  <c:v>45567</c:v>
                </c:pt>
                <c:pt idx="55">
                  <c:v>45568</c:v>
                </c:pt>
                <c:pt idx="56">
                  <c:v>45569</c:v>
                </c:pt>
                <c:pt idx="57">
                  <c:v>45572</c:v>
                </c:pt>
                <c:pt idx="58">
                  <c:v>45573</c:v>
                </c:pt>
                <c:pt idx="59">
                  <c:v>45574</c:v>
                </c:pt>
                <c:pt idx="60">
                  <c:v>45575</c:v>
                </c:pt>
                <c:pt idx="61">
                  <c:v>45576</c:v>
                </c:pt>
                <c:pt idx="62">
                  <c:v>45579</c:v>
                </c:pt>
                <c:pt idx="63">
                  <c:v>45580</c:v>
                </c:pt>
                <c:pt idx="64">
                  <c:v>45581</c:v>
                </c:pt>
                <c:pt idx="65">
                  <c:v>45582</c:v>
                </c:pt>
                <c:pt idx="66">
                  <c:v>45583</c:v>
                </c:pt>
                <c:pt idx="67">
                  <c:v>45586</c:v>
                </c:pt>
                <c:pt idx="68">
                  <c:v>45587</c:v>
                </c:pt>
                <c:pt idx="69">
                  <c:v>45588</c:v>
                </c:pt>
                <c:pt idx="70">
                  <c:v>45589</c:v>
                </c:pt>
                <c:pt idx="71">
                  <c:v>45590</c:v>
                </c:pt>
                <c:pt idx="72">
                  <c:v>45593</c:v>
                </c:pt>
                <c:pt idx="73">
                  <c:v>45594</c:v>
                </c:pt>
                <c:pt idx="74">
                  <c:v>45595</c:v>
                </c:pt>
                <c:pt idx="75">
                  <c:v>45596</c:v>
                </c:pt>
                <c:pt idx="76">
                  <c:v>45597</c:v>
                </c:pt>
                <c:pt idx="77">
                  <c:v>45600</c:v>
                </c:pt>
                <c:pt idx="78">
                  <c:v>45601</c:v>
                </c:pt>
                <c:pt idx="79">
                  <c:v>45602</c:v>
                </c:pt>
                <c:pt idx="80">
                  <c:v>45603</c:v>
                </c:pt>
                <c:pt idx="81">
                  <c:v>45604</c:v>
                </c:pt>
                <c:pt idx="82">
                  <c:v>45607</c:v>
                </c:pt>
                <c:pt idx="83">
                  <c:v>45608</c:v>
                </c:pt>
                <c:pt idx="84">
                  <c:v>45609</c:v>
                </c:pt>
                <c:pt idx="85">
                  <c:v>45610</c:v>
                </c:pt>
                <c:pt idx="86">
                  <c:v>45614</c:v>
                </c:pt>
                <c:pt idx="87">
                  <c:v>45615</c:v>
                </c:pt>
                <c:pt idx="88">
                  <c:v>45617</c:v>
                </c:pt>
                <c:pt idx="89">
                  <c:v>45618</c:v>
                </c:pt>
                <c:pt idx="90">
                  <c:v>45621</c:v>
                </c:pt>
                <c:pt idx="91">
                  <c:v>45622</c:v>
                </c:pt>
                <c:pt idx="92">
                  <c:v>45623</c:v>
                </c:pt>
                <c:pt idx="93">
                  <c:v>45624</c:v>
                </c:pt>
                <c:pt idx="94">
                  <c:v>45625</c:v>
                </c:pt>
                <c:pt idx="95">
                  <c:v>45628</c:v>
                </c:pt>
                <c:pt idx="96">
                  <c:v>45629</c:v>
                </c:pt>
                <c:pt idx="97">
                  <c:v>45630</c:v>
                </c:pt>
                <c:pt idx="98">
                  <c:v>45631</c:v>
                </c:pt>
                <c:pt idx="99">
                  <c:v>45632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45652</c:v>
                </c:pt>
                <c:pt idx="112">
                  <c:v>45653</c:v>
                </c:pt>
                <c:pt idx="113">
                  <c:v>45656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45666</c:v>
                </c:pt>
                <c:pt idx="120">
                  <c:v>45667</c:v>
                </c:pt>
                <c:pt idx="121">
                  <c:v>45670</c:v>
                </c:pt>
                <c:pt idx="122">
                  <c:v>45671</c:v>
                </c:pt>
                <c:pt idx="123">
                  <c:v>45672</c:v>
                </c:pt>
                <c:pt idx="124">
                  <c:v>45673</c:v>
                </c:pt>
                <c:pt idx="125">
                  <c:v>45674</c:v>
                </c:pt>
                <c:pt idx="126">
                  <c:v>45677</c:v>
                </c:pt>
                <c:pt idx="127">
                  <c:v>45678</c:v>
                </c:pt>
                <c:pt idx="128">
                  <c:v>45679</c:v>
                </c:pt>
                <c:pt idx="129">
                  <c:v>45680</c:v>
                </c:pt>
                <c:pt idx="130">
                  <c:v>45681</c:v>
                </c:pt>
                <c:pt idx="131">
                  <c:v>45684</c:v>
                </c:pt>
                <c:pt idx="132">
                  <c:v>45685</c:v>
                </c:pt>
                <c:pt idx="133">
                  <c:v>45686</c:v>
                </c:pt>
                <c:pt idx="134">
                  <c:v>45687</c:v>
                </c:pt>
                <c:pt idx="135">
                  <c:v>45688</c:v>
                </c:pt>
                <c:pt idx="136">
                  <c:v>45691</c:v>
                </c:pt>
                <c:pt idx="137">
                  <c:v>45692</c:v>
                </c:pt>
                <c:pt idx="138">
                  <c:v>45693</c:v>
                </c:pt>
                <c:pt idx="139">
                  <c:v>45694</c:v>
                </c:pt>
                <c:pt idx="140">
                  <c:v>45695</c:v>
                </c:pt>
                <c:pt idx="141">
                  <c:v>45698</c:v>
                </c:pt>
                <c:pt idx="142">
                  <c:v>45699</c:v>
                </c:pt>
                <c:pt idx="143">
                  <c:v>45700</c:v>
                </c:pt>
                <c:pt idx="144">
                  <c:v>45701</c:v>
                </c:pt>
                <c:pt idx="145">
                  <c:v>45702</c:v>
                </c:pt>
                <c:pt idx="146">
                  <c:v>45705</c:v>
                </c:pt>
                <c:pt idx="147">
                  <c:v>45706</c:v>
                </c:pt>
                <c:pt idx="148">
                  <c:v>45707</c:v>
                </c:pt>
                <c:pt idx="149">
                  <c:v>45708</c:v>
                </c:pt>
                <c:pt idx="150">
                  <c:v>45709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45726</c:v>
                </c:pt>
                <c:pt idx="160">
                  <c:v>45727</c:v>
                </c:pt>
                <c:pt idx="161">
                  <c:v>45728</c:v>
                </c:pt>
                <c:pt idx="162">
                  <c:v>45729</c:v>
                </c:pt>
                <c:pt idx="163">
                  <c:v>45730</c:v>
                </c:pt>
                <c:pt idx="164">
                  <c:v>45733</c:v>
                </c:pt>
                <c:pt idx="165">
                  <c:v>45734</c:v>
                </c:pt>
                <c:pt idx="166">
                  <c:v>45735</c:v>
                </c:pt>
                <c:pt idx="167">
                  <c:v>45736</c:v>
                </c:pt>
                <c:pt idx="168">
                  <c:v>45737</c:v>
                </c:pt>
                <c:pt idx="169">
                  <c:v>45740</c:v>
                </c:pt>
                <c:pt idx="170">
                  <c:v>45741</c:v>
                </c:pt>
                <c:pt idx="171">
                  <c:v>45742</c:v>
                </c:pt>
                <c:pt idx="172">
                  <c:v>45743</c:v>
                </c:pt>
                <c:pt idx="173">
                  <c:v>45744</c:v>
                </c:pt>
                <c:pt idx="174">
                  <c:v>45747</c:v>
                </c:pt>
                <c:pt idx="175">
                  <c:v>45748</c:v>
                </c:pt>
                <c:pt idx="176">
                  <c:v>45749</c:v>
                </c:pt>
                <c:pt idx="177">
                  <c:v>45750</c:v>
                </c:pt>
                <c:pt idx="178">
                  <c:v>45751</c:v>
                </c:pt>
                <c:pt idx="179">
                  <c:v>45754</c:v>
                </c:pt>
                <c:pt idx="180">
                  <c:v>45755</c:v>
                </c:pt>
                <c:pt idx="181">
                  <c:v>45756</c:v>
                </c:pt>
                <c:pt idx="182">
                  <c:v>45757</c:v>
                </c:pt>
                <c:pt idx="183">
                  <c:v>45758</c:v>
                </c:pt>
                <c:pt idx="184">
                  <c:v>45761</c:v>
                </c:pt>
                <c:pt idx="185">
                  <c:v>45762</c:v>
                </c:pt>
                <c:pt idx="186">
                  <c:v>45763</c:v>
                </c:pt>
                <c:pt idx="187">
                  <c:v>45764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45775</c:v>
                </c:pt>
                <c:pt idx="193">
                  <c:v>45776</c:v>
                </c:pt>
                <c:pt idx="194">
                  <c:v>45777</c:v>
                </c:pt>
                <c:pt idx="195">
                  <c:v>45779</c:v>
                </c:pt>
                <c:pt idx="196">
                  <c:v>45782</c:v>
                </c:pt>
                <c:pt idx="197">
                  <c:v>45783</c:v>
                </c:pt>
                <c:pt idx="198">
                  <c:v>45784</c:v>
                </c:pt>
                <c:pt idx="199">
                  <c:v>45785</c:v>
                </c:pt>
                <c:pt idx="200">
                  <c:v>45786</c:v>
                </c:pt>
                <c:pt idx="201">
                  <c:v>45789</c:v>
                </c:pt>
                <c:pt idx="202">
                  <c:v>45790</c:v>
                </c:pt>
                <c:pt idx="203">
                  <c:v>45791</c:v>
                </c:pt>
                <c:pt idx="204">
                  <c:v>45792</c:v>
                </c:pt>
                <c:pt idx="205">
                  <c:v>45793</c:v>
                </c:pt>
                <c:pt idx="206">
                  <c:v>45796</c:v>
                </c:pt>
                <c:pt idx="207">
                  <c:v>45797</c:v>
                </c:pt>
                <c:pt idx="208">
                  <c:v>45798</c:v>
                </c:pt>
                <c:pt idx="209">
                  <c:v>45799</c:v>
                </c:pt>
                <c:pt idx="210">
                  <c:v>45800</c:v>
                </c:pt>
                <c:pt idx="211">
                  <c:v>45803</c:v>
                </c:pt>
                <c:pt idx="212">
                  <c:v>45804</c:v>
                </c:pt>
                <c:pt idx="213">
                  <c:v>45805</c:v>
                </c:pt>
                <c:pt idx="214">
                  <c:v>45806</c:v>
                </c:pt>
                <c:pt idx="215">
                  <c:v>45807</c:v>
                </c:pt>
                <c:pt idx="216">
                  <c:v>45810</c:v>
                </c:pt>
                <c:pt idx="217">
                  <c:v>45811</c:v>
                </c:pt>
                <c:pt idx="218">
                  <c:v>45812</c:v>
                </c:pt>
                <c:pt idx="219">
                  <c:v>45813</c:v>
                </c:pt>
                <c:pt idx="220">
                  <c:v>45814</c:v>
                </c:pt>
                <c:pt idx="221">
                  <c:v>45817</c:v>
                </c:pt>
                <c:pt idx="222">
                  <c:v>45818</c:v>
                </c:pt>
                <c:pt idx="223">
                  <c:v>45819</c:v>
                </c:pt>
                <c:pt idx="224">
                  <c:v>45820</c:v>
                </c:pt>
                <c:pt idx="225">
                  <c:v>45821</c:v>
                </c:pt>
                <c:pt idx="226">
                  <c:v>45824</c:v>
                </c:pt>
                <c:pt idx="227">
                  <c:v>45825</c:v>
                </c:pt>
                <c:pt idx="228">
                  <c:v>45826</c:v>
                </c:pt>
                <c:pt idx="229">
                  <c:v>45828</c:v>
                </c:pt>
                <c:pt idx="230">
                  <c:v>45831</c:v>
                </c:pt>
                <c:pt idx="231">
                  <c:v>45832</c:v>
                </c:pt>
                <c:pt idx="232">
                  <c:v>45833</c:v>
                </c:pt>
                <c:pt idx="233">
                  <c:v>45834</c:v>
                </c:pt>
                <c:pt idx="234">
                  <c:v>45835</c:v>
                </c:pt>
                <c:pt idx="235">
                  <c:v>45838</c:v>
                </c:pt>
                <c:pt idx="236">
                  <c:v>45839</c:v>
                </c:pt>
                <c:pt idx="237">
                  <c:v>45840</c:v>
                </c:pt>
                <c:pt idx="238">
                  <c:v>45841</c:v>
                </c:pt>
                <c:pt idx="239">
                  <c:v>45842</c:v>
                </c:pt>
                <c:pt idx="240">
                  <c:v>45845</c:v>
                </c:pt>
                <c:pt idx="241">
                  <c:v>45846</c:v>
                </c:pt>
                <c:pt idx="242">
                  <c:v>45847</c:v>
                </c:pt>
                <c:pt idx="243">
                  <c:v>45848</c:v>
                </c:pt>
                <c:pt idx="244">
                  <c:v>45849</c:v>
                </c:pt>
                <c:pt idx="245">
                  <c:v>45852</c:v>
                </c:pt>
                <c:pt idx="246">
                  <c:v>45853</c:v>
                </c:pt>
                <c:pt idx="247">
                  <c:v>45854</c:v>
                </c:pt>
                <c:pt idx="248">
                  <c:v>45855</c:v>
                </c:pt>
                <c:pt idx="249">
                  <c:v>45856</c:v>
                </c:pt>
                <c:pt idx="250">
                  <c:v>45859</c:v>
                </c:pt>
                <c:pt idx="251">
                  <c:v>45860</c:v>
                </c:pt>
                <c:pt idx="252">
                  <c:v>45861</c:v>
                </c:pt>
                <c:pt idx="253">
                  <c:v>45862</c:v>
                </c:pt>
                <c:pt idx="254">
                  <c:v>45863</c:v>
                </c:pt>
                <c:pt idx="255">
                  <c:v>45866</c:v>
                </c:pt>
                <c:pt idx="256">
                  <c:v>45867</c:v>
                </c:pt>
                <c:pt idx="257">
                  <c:v>45868</c:v>
                </c:pt>
                <c:pt idx="258">
                  <c:v>45869</c:v>
                </c:pt>
                <c:pt idx="259">
                  <c:v>45870</c:v>
                </c:pt>
                <c:pt idx="260">
                  <c:v>45873</c:v>
                </c:pt>
                <c:pt idx="261">
                  <c:v>45874</c:v>
                </c:pt>
                <c:pt idx="262">
                  <c:v>45875</c:v>
                </c:pt>
                <c:pt idx="263">
                  <c:v>45876</c:v>
                </c:pt>
                <c:pt idx="264">
                  <c:v>45877</c:v>
                </c:pt>
                <c:pt idx="265">
                  <c:v>45880</c:v>
                </c:pt>
                <c:pt idx="266">
                  <c:v>45881</c:v>
                </c:pt>
                <c:pt idx="267">
                  <c:v>45882</c:v>
                </c:pt>
                <c:pt idx="268">
                  <c:v>45883</c:v>
                </c:pt>
                <c:pt idx="269">
                  <c:v>45884</c:v>
                </c:pt>
                <c:pt idx="270">
                  <c:v>45887</c:v>
                </c:pt>
                <c:pt idx="271">
                  <c:v>45888</c:v>
                </c:pt>
                <c:pt idx="272">
                  <c:v>45889</c:v>
                </c:pt>
                <c:pt idx="273">
                  <c:v>45890</c:v>
                </c:pt>
                <c:pt idx="274">
                  <c:v>45891</c:v>
                </c:pt>
                <c:pt idx="275">
                  <c:v>45894</c:v>
                </c:pt>
                <c:pt idx="276">
                  <c:v>45895</c:v>
                </c:pt>
                <c:pt idx="277">
                  <c:v>45896</c:v>
                </c:pt>
                <c:pt idx="278">
                  <c:v>45897</c:v>
                </c:pt>
                <c:pt idx="279">
                  <c:v>45898</c:v>
                </c:pt>
                <c:pt idx="280">
                  <c:v>45901</c:v>
                </c:pt>
                <c:pt idx="281">
                  <c:v>45902</c:v>
                </c:pt>
                <c:pt idx="282">
                  <c:v>45903</c:v>
                </c:pt>
                <c:pt idx="283">
                  <c:v>45904</c:v>
                </c:pt>
                <c:pt idx="284">
                  <c:v>45905</c:v>
                </c:pt>
                <c:pt idx="285">
                  <c:v>45908</c:v>
                </c:pt>
                <c:pt idx="286">
                  <c:v>45909</c:v>
                </c:pt>
                <c:pt idx="287">
                  <c:v>45910</c:v>
                </c:pt>
                <c:pt idx="288">
                  <c:v>45911</c:v>
                </c:pt>
                <c:pt idx="289">
                  <c:v>45912</c:v>
                </c:pt>
                <c:pt idx="290">
                  <c:v>45915</c:v>
                </c:pt>
                <c:pt idx="291">
                  <c:v>45916</c:v>
                </c:pt>
                <c:pt idx="292">
                  <c:v>45917</c:v>
                </c:pt>
                <c:pt idx="293">
                  <c:v>45918</c:v>
                </c:pt>
                <c:pt idx="294">
                  <c:v>45919</c:v>
                </c:pt>
                <c:pt idx="295">
                  <c:v>45922</c:v>
                </c:pt>
                <c:pt idx="296">
                  <c:v>45923</c:v>
                </c:pt>
                <c:pt idx="297">
                  <c:v>45924</c:v>
                </c:pt>
                <c:pt idx="298">
                  <c:v>45925</c:v>
                </c:pt>
                <c:pt idx="299">
                  <c:v>45926</c:v>
                </c:pt>
                <c:pt idx="300">
                  <c:v>45929</c:v>
                </c:pt>
                <c:pt idx="301">
                  <c:v>45930</c:v>
                </c:pt>
                <c:pt idx="302">
                  <c:v>45931</c:v>
                </c:pt>
                <c:pt idx="303">
                  <c:v>45932</c:v>
                </c:pt>
                <c:pt idx="304">
                  <c:v>45933</c:v>
                </c:pt>
                <c:pt idx="305">
                  <c:v>45936</c:v>
                </c:pt>
                <c:pt idx="306">
                  <c:v>45937</c:v>
                </c:pt>
                <c:pt idx="307">
                  <c:v>45938</c:v>
                </c:pt>
                <c:pt idx="308">
                  <c:v>45939</c:v>
                </c:pt>
                <c:pt idx="309">
                  <c:v>45940</c:v>
                </c:pt>
                <c:pt idx="310">
                  <c:v>45943</c:v>
                </c:pt>
                <c:pt idx="311">
                  <c:v>45944</c:v>
                </c:pt>
                <c:pt idx="312">
                  <c:v>45945</c:v>
                </c:pt>
                <c:pt idx="313">
                  <c:v>45946</c:v>
                </c:pt>
                <c:pt idx="314">
                  <c:v>45947</c:v>
                </c:pt>
                <c:pt idx="315">
                  <c:v>45950</c:v>
                </c:pt>
                <c:pt idx="316">
                  <c:v>45951</c:v>
                </c:pt>
                <c:pt idx="317">
                  <c:v>45952</c:v>
                </c:pt>
                <c:pt idx="318">
                  <c:v>45953</c:v>
                </c:pt>
                <c:pt idx="319">
                  <c:v>45954</c:v>
                </c:pt>
                <c:pt idx="320">
                  <c:v>45957</c:v>
                </c:pt>
                <c:pt idx="321">
                  <c:v>45958</c:v>
                </c:pt>
                <c:pt idx="322">
                  <c:v>45959</c:v>
                </c:pt>
                <c:pt idx="323">
                  <c:v>45960</c:v>
                </c:pt>
                <c:pt idx="324">
                  <c:v>45961</c:v>
                </c:pt>
                <c:pt idx="325">
                  <c:v>45964</c:v>
                </c:pt>
                <c:pt idx="326">
                  <c:v>45965</c:v>
                </c:pt>
                <c:pt idx="327">
                  <c:v>45966</c:v>
                </c:pt>
                <c:pt idx="328">
                  <c:v>45967</c:v>
                </c:pt>
                <c:pt idx="329">
                  <c:v>45968</c:v>
                </c:pt>
                <c:pt idx="330">
                  <c:v>45971</c:v>
                </c:pt>
                <c:pt idx="331">
                  <c:v>45972</c:v>
                </c:pt>
                <c:pt idx="332">
                  <c:v>45973</c:v>
                </c:pt>
                <c:pt idx="333">
                  <c:v>45974</c:v>
                </c:pt>
                <c:pt idx="334">
                  <c:v>45975</c:v>
                </c:pt>
                <c:pt idx="335">
                  <c:v>45978</c:v>
                </c:pt>
                <c:pt idx="336">
                  <c:v>45979</c:v>
                </c:pt>
                <c:pt idx="337">
                  <c:v>45980</c:v>
                </c:pt>
                <c:pt idx="338">
                  <c:v>45982</c:v>
                </c:pt>
                <c:pt idx="339">
                  <c:v>45985</c:v>
                </c:pt>
                <c:pt idx="340">
                  <c:v>45986</c:v>
                </c:pt>
                <c:pt idx="341">
                  <c:v>45987</c:v>
                </c:pt>
                <c:pt idx="342">
                  <c:v>45988</c:v>
                </c:pt>
                <c:pt idx="343">
                  <c:v>45989</c:v>
                </c:pt>
                <c:pt idx="344">
                  <c:v>45992</c:v>
                </c:pt>
                <c:pt idx="345">
                  <c:v>45993</c:v>
                </c:pt>
                <c:pt idx="346">
                  <c:v>45994</c:v>
                </c:pt>
                <c:pt idx="347">
                  <c:v>45995</c:v>
                </c:pt>
                <c:pt idx="348">
                  <c:v>45996</c:v>
                </c:pt>
                <c:pt idx="349">
                  <c:v>45999</c:v>
                </c:pt>
                <c:pt idx="350">
                  <c:v>46000</c:v>
                </c:pt>
                <c:pt idx="351">
                  <c:v>46001</c:v>
                </c:pt>
                <c:pt idx="352">
                  <c:v>46002</c:v>
                </c:pt>
                <c:pt idx="353">
                  <c:v>46003</c:v>
                </c:pt>
                <c:pt idx="354">
                  <c:v>46006</c:v>
                </c:pt>
                <c:pt idx="355">
                  <c:v>46007</c:v>
                </c:pt>
                <c:pt idx="356">
                  <c:v>46008</c:v>
                </c:pt>
                <c:pt idx="357">
                  <c:v>46009</c:v>
                </c:pt>
                <c:pt idx="358">
                  <c:v>46010</c:v>
                </c:pt>
                <c:pt idx="359">
                  <c:v>46013</c:v>
                </c:pt>
                <c:pt idx="360">
                  <c:v>46014</c:v>
                </c:pt>
                <c:pt idx="361">
                  <c:v>46017</c:v>
                </c:pt>
                <c:pt idx="362">
                  <c:v>46020</c:v>
                </c:pt>
                <c:pt idx="363">
                  <c:v>46021</c:v>
                </c:pt>
                <c:pt idx="364">
                  <c:v>46024</c:v>
                </c:pt>
                <c:pt idx="365">
                  <c:v>46027</c:v>
                </c:pt>
                <c:pt idx="366">
                  <c:v>46028</c:v>
                </c:pt>
                <c:pt idx="367">
                  <c:v>46029</c:v>
                </c:pt>
                <c:pt idx="368">
                  <c:v>46030</c:v>
                </c:pt>
                <c:pt idx="369">
                  <c:v>46031</c:v>
                </c:pt>
                <c:pt idx="370">
                  <c:v>46034</c:v>
                </c:pt>
                <c:pt idx="371">
                  <c:v>46035</c:v>
                </c:pt>
                <c:pt idx="372">
                  <c:v>46036</c:v>
                </c:pt>
                <c:pt idx="373">
                  <c:v>46037</c:v>
                </c:pt>
                <c:pt idx="374">
                  <c:v>46038</c:v>
                </c:pt>
                <c:pt idx="375">
                  <c:v>46041</c:v>
                </c:pt>
                <c:pt idx="376">
                  <c:v>46042</c:v>
                </c:pt>
                <c:pt idx="377">
                  <c:v>46043</c:v>
                </c:pt>
                <c:pt idx="378">
                  <c:v>46044</c:v>
                </c:pt>
                <c:pt idx="379">
                  <c:v>46045</c:v>
                </c:pt>
                <c:pt idx="380">
                  <c:v>46048</c:v>
                </c:pt>
                <c:pt idx="381">
                  <c:v>46049</c:v>
                </c:pt>
                <c:pt idx="382">
                  <c:v>46050</c:v>
                </c:pt>
                <c:pt idx="383">
                  <c:v>46051</c:v>
                </c:pt>
                <c:pt idx="384">
                  <c:v>46052</c:v>
                </c:pt>
                <c:pt idx="385">
                  <c:v>46055</c:v>
                </c:pt>
                <c:pt idx="386">
                  <c:v>46056</c:v>
                </c:pt>
                <c:pt idx="387">
                  <c:v>46057</c:v>
                </c:pt>
                <c:pt idx="388">
                  <c:v>46058</c:v>
                </c:pt>
                <c:pt idx="389">
                  <c:v>46059</c:v>
                </c:pt>
                <c:pt idx="390">
                  <c:v>46062</c:v>
                </c:pt>
                <c:pt idx="391">
                  <c:v>46063</c:v>
                </c:pt>
                <c:pt idx="392">
                  <c:v>46064</c:v>
                </c:pt>
                <c:pt idx="393">
                  <c:v>46065</c:v>
                </c:pt>
                <c:pt idx="394">
                  <c:v>46066</c:v>
                </c:pt>
                <c:pt idx="395">
                  <c:v>46071</c:v>
                </c:pt>
                <c:pt idx="396">
                  <c:v>46072</c:v>
                </c:pt>
                <c:pt idx="397">
                  <c:v>46073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46083</c:v>
                </c:pt>
                <c:pt idx="404">
                  <c:v>46084</c:v>
                </c:pt>
                <c:pt idx="405">
                  <c:v>46085</c:v>
                </c:pt>
                <c:pt idx="406">
                  <c:v>46086</c:v>
                </c:pt>
                <c:pt idx="407">
                  <c:v>46087</c:v>
                </c:pt>
                <c:pt idx="408">
                  <c:v>46090</c:v>
                </c:pt>
                <c:pt idx="409">
                  <c:v>46091</c:v>
                </c:pt>
                <c:pt idx="410">
                  <c:v>46092</c:v>
                </c:pt>
                <c:pt idx="411">
                  <c:v>46093</c:v>
                </c:pt>
                <c:pt idx="412">
                  <c:v>46094</c:v>
                </c:pt>
                <c:pt idx="413">
                  <c:v>46097</c:v>
                </c:pt>
                <c:pt idx="414">
                  <c:v>46098</c:v>
                </c:pt>
                <c:pt idx="415">
                  <c:v>46099</c:v>
                </c:pt>
                <c:pt idx="416">
                  <c:v>46100</c:v>
                </c:pt>
                <c:pt idx="417">
                  <c:v>46101</c:v>
                </c:pt>
                <c:pt idx="418">
                  <c:v>46104</c:v>
                </c:pt>
                <c:pt idx="419">
                  <c:v>46105</c:v>
                </c:pt>
                <c:pt idx="420">
                  <c:v>46106</c:v>
                </c:pt>
                <c:pt idx="421">
                  <c:v>46107</c:v>
                </c:pt>
                <c:pt idx="422">
                  <c:v>46108</c:v>
                </c:pt>
                <c:pt idx="423">
                  <c:v>46111</c:v>
                </c:pt>
                <c:pt idx="424">
                  <c:v>46112</c:v>
                </c:pt>
                <c:pt idx="425">
                  <c:v>46113</c:v>
                </c:pt>
                <c:pt idx="426">
                  <c:v>46114</c:v>
                </c:pt>
                <c:pt idx="427">
                  <c:v>46118</c:v>
                </c:pt>
                <c:pt idx="428">
                  <c:v>46119</c:v>
                </c:pt>
                <c:pt idx="429">
                  <c:v>46120</c:v>
                </c:pt>
                <c:pt idx="430">
                  <c:v>46121</c:v>
                </c:pt>
                <c:pt idx="431">
                  <c:v>46122</c:v>
                </c:pt>
                <c:pt idx="432">
                  <c:v>46125</c:v>
                </c:pt>
                <c:pt idx="433">
                  <c:v>46126</c:v>
                </c:pt>
                <c:pt idx="434">
                  <c:v>46127</c:v>
                </c:pt>
                <c:pt idx="435">
                  <c:v>46128</c:v>
                </c:pt>
                <c:pt idx="436">
                  <c:v>46129</c:v>
                </c:pt>
                <c:pt idx="437">
                  <c:v>46132</c:v>
                </c:pt>
                <c:pt idx="438">
                  <c:v>46134</c:v>
                </c:pt>
                <c:pt idx="439">
                  <c:v>46135</c:v>
                </c:pt>
                <c:pt idx="440">
                  <c:v>46136</c:v>
                </c:pt>
                <c:pt idx="441">
                  <c:v>46139</c:v>
                </c:pt>
                <c:pt idx="442">
                  <c:v>46140</c:v>
                </c:pt>
                <c:pt idx="443">
                  <c:v>46141</c:v>
                </c:pt>
                <c:pt idx="444">
                  <c:v>46142</c:v>
                </c:pt>
                <c:pt idx="445">
                  <c:v>46146</c:v>
                </c:pt>
                <c:pt idx="446">
                  <c:v>46147</c:v>
                </c:pt>
                <c:pt idx="447">
                  <c:v>46148</c:v>
                </c:pt>
                <c:pt idx="448">
                  <c:v>46149</c:v>
                </c:pt>
                <c:pt idx="449">
                  <c:v>46150</c:v>
                </c:pt>
                <c:pt idx="450">
                  <c:v>46153</c:v>
                </c:pt>
                <c:pt idx="451">
                  <c:v>46154</c:v>
                </c:pt>
                <c:pt idx="452">
                  <c:v>46155</c:v>
                </c:pt>
                <c:pt idx="453">
                  <c:v>46156</c:v>
                </c:pt>
                <c:pt idx="454">
                  <c:v>46157</c:v>
                </c:pt>
                <c:pt idx="455">
                  <c:v>46160</c:v>
                </c:pt>
                <c:pt idx="456">
                  <c:v>46161</c:v>
                </c:pt>
                <c:pt idx="457">
                  <c:v>46162</c:v>
                </c:pt>
                <c:pt idx="458">
                  <c:v>46163</c:v>
                </c:pt>
                <c:pt idx="459">
                  <c:v>46164</c:v>
                </c:pt>
                <c:pt idx="460">
                  <c:v>46167</c:v>
                </c:pt>
                <c:pt idx="461">
                  <c:v>46168</c:v>
                </c:pt>
                <c:pt idx="462">
                  <c:v>46169</c:v>
                </c:pt>
                <c:pt idx="463">
                  <c:v>46170</c:v>
                </c:pt>
                <c:pt idx="464">
                  <c:v>46171</c:v>
                </c:pt>
                <c:pt idx="465">
                  <c:v>46174</c:v>
                </c:pt>
                <c:pt idx="466">
                  <c:v>46175</c:v>
                </c:pt>
                <c:pt idx="467">
                  <c:v>46176</c:v>
                </c:pt>
                <c:pt idx="468">
                  <c:v>46178</c:v>
                </c:pt>
                <c:pt idx="469">
                  <c:v>46181</c:v>
                </c:pt>
                <c:pt idx="470">
                  <c:v>46182</c:v>
                </c:pt>
                <c:pt idx="471">
                  <c:v>46183</c:v>
                </c:pt>
                <c:pt idx="472">
                  <c:v>46184</c:v>
                </c:pt>
                <c:pt idx="473">
                  <c:v>46185</c:v>
                </c:pt>
                <c:pt idx="474">
                  <c:v>46188</c:v>
                </c:pt>
                <c:pt idx="475">
                  <c:v>46189</c:v>
                </c:pt>
                <c:pt idx="476">
                  <c:v>46190</c:v>
                </c:pt>
                <c:pt idx="477">
                  <c:v>46191</c:v>
                </c:pt>
                <c:pt idx="478">
                  <c:v>46192</c:v>
                </c:pt>
                <c:pt idx="479">
                  <c:v>46195</c:v>
                </c:pt>
                <c:pt idx="480">
                  <c:v>46196</c:v>
                </c:pt>
                <c:pt idx="481">
                  <c:v>46197</c:v>
                </c:pt>
                <c:pt idx="482">
                  <c:v>46198</c:v>
                </c:pt>
                <c:pt idx="483">
                  <c:v>46199</c:v>
                </c:pt>
                <c:pt idx="484">
                  <c:v>46202</c:v>
                </c:pt>
                <c:pt idx="485">
                  <c:v>46203</c:v>
                </c:pt>
                <c:pt idx="486">
                  <c:v>46204</c:v>
                </c:pt>
                <c:pt idx="487">
                  <c:v>46205</c:v>
                </c:pt>
                <c:pt idx="488">
                  <c:v>46206</c:v>
                </c:pt>
                <c:pt idx="489">
                  <c:v>46209</c:v>
                </c:pt>
                <c:pt idx="490">
                  <c:v>46210</c:v>
                </c:pt>
                <c:pt idx="491">
                  <c:v>46211</c:v>
                </c:pt>
                <c:pt idx="492">
                  <c:v>46212</c:v>
                </c:pt>
                <c:pt idx="493">
                  <c:v>46213</c:v>
                </c:pt>
                <c:pt idx="494">
                  <c:v>46216</c:v>
                </c:pt>
                <c:pt idx="495">
                  <c:v>46217</c:v>
                </c:pt>
                <c:pt idx="496">
                  <c:v>46218</c:v>
                </c:pt>
                <c:pt idx="497">
                  <c:v>46219</c:v>
                </c:pt>
                <c:pt idx="498">
                  <c:v>46220</c:v>
                </c:pt>
              </c:numCache>
            </c:numRef>
          </c:cat>
          <c:val>
            <c:numRef>
              <c:f>Análise_Variação!$E$3:$E$501</c:f>
              <c:numCache>
                <c:formatCode>0.00%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-4.6372475691845638E-3</c:v>
                </c:pt>
                <c:pt idx="6">
                  <c:v>-9.7232610321614284E-3</c:v>
                </c:pt>
                <c:pt idx="7">
                  <c:v>-9.8728496634255293E-3</c:v>
                </c:pt>
                <c:pt idx="8">
                  <c:v>-2.6776364996260169E-2</c:v>
                </c:pt>
                <c:pt idx="9">
                  <c:v>-3.3208676140613298E-2</c:v>
                </c:pt>
                <c:pt idx="10">
                  <c:v>-1.7501869857890616E-2</c:v>
                </c:pt>
                <c:pt idx="11">
                  <c:v>0</c:v>
                </c:pt>
                <c:pt idx="12">
                  <c:v>-2.0892404118788323E-3</c:v>
                </c:pt>
                <c:pt idx="13">
                  <c:v>-2.432472765258931E-2</c:v>
                </c:pt>
                <c:pt idx="14">
                  <c:v>-2.7757051186390082E-2</c:v>
                </c:pt>
                <c:pt idx="15">
                  <c:v>-2.8055514102372923E-2</c:v>
                </c:pt>
                <c:pt idx="16">
                  <c:v>-2.5817042232502668E-2</c:v>
                </c:pt>
                <c:pt idx="17">
                  <c:v>-2.1937024324727633E-2</c:v>
                </c:pt>
                <c:pt idx="18">
                  <c:v>-3.0293985972242962E-2</c:v>
                </c:pt>
                <c:pt idx="19">
                  <c:v>-3.4024772422026575E-2</c:v>
                </c:pt>
                <c:pt idx="20">
                  <c:v>-2.522011640053741E-2</c:v>
                </c:pt>
                <c:pt idx="21">
                  <c:v>-3.6710938665870885E-2</c:v>
                </c:pt>
                <c:pt idx="22">
                  <c:v>-2.730935681241603E-2</c:v>
                </c:pt>
                <c:pt idx="23">
                  <c:v>-2.1937024324727633E-2</c:v>
                </c:pt>
                <c:pt idx="24">
                  <c:v>-2.6413968064468142E-2</c:v>
                </c:pt>
                <c:pt idx="25">
                  <c:v>-2.1787792866736426E-2</c:v>
                </c:pt>
                <c:pt idx="26">
                  <c:v>-2.5817042232502668E-2</c:v>
                </c:pt>
                <c:pt idx="27">
                  <c:v>-2.8055514102372923E-2</c:v>
                </c:pt>
                <c:pt idx="28">
                  <c:v>-2.2235487240710474E-2</c:v>
                </c:pt>
                <c:pt idx="29">
                  <c:v>-2.2235487240710474E-2</c:v>
                </c:pt>
                <c:pt idx="30">
                  <c:v>-1.3580062677212517E-2</c:v>
                </c:pt>
                <c:pt idx="31">
                  <c:v>-2.0892404118788323E-3</c:v>
                </c:pt>
                <c:pt idx="32">
                  <c:v>-1.343083121922152E-3</c:v>
                </c:pt>
                <c:pt idx="33">
                  <c:v>0</c:v>
                </c:pt>
                <c:pt idx="34">
                  <c:v>0</c:v>
                </c:pt>
                <c:pt idx="35">
                  <c:v>-9.2051431911162399E-3</c:v>
                </c:pt>
                <c:pt idx="36">
                  <c:v>-2.4839275277615679E-3</c:v>
                </c:pt>
                <c:pt idx="37">
                  <c:v>0</c:v>
                </c:pt>
                <c:pt idx="38">
                  <c:v>-3.2993831588005993E-3</c:v>
                </c:pt>
                <c:pt idx="39">
                  <c:v>-6.8856692009753237E-3</c:v>
                </c:pt>
                <c:pt idx="40">
                  <c:v>-1.1332663893272013E-2</c:v>
                </c:pt>
                <c:pt idx="41">
                  <c:v>0</c:v>
                </c:pt>
                <c:pt idx="42">
                  <c:v>-4.9957179560378038E-3</c:v>
                </c:pt>
                <c:pt idx="43">
                  <c:v>-8.1358835284043307E-3</c:v>
                </c:pt>
                <c:pt idx="44">
                  <c:v>-2.2123893805309693E-2</c:v>
                </c:pt>
                <c:pt idx="45">
                  <c:v>-1.284613188695412E-2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-6.6695047537959256E-3</c:v>
                </c:pt>
                <c:pt idx="50">
                  <c:v>-1.4190435646381603E-4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-1.9452549673475139E-3</c:v>
                </c:pt>
                <c:pt idx="56">
                  <c:v>-2.3482006391552006E-2</c:v>
                </c:pt>
                <c:pt idx="57">
                  <c:v>-3.8071418646658257E-2</c:v>
                </c:pt>
                <c:pt idx="58">
                  <c:v>-2.7094622759483159E-2</c:v>
                </c:pt>
                <c:pt idx="59">
                  <c:v>-2.0147283590384923E-2</c:v>
                </c:pt>
                <c:pt idx="60">
                  <c:v>-1.1949423370848956E-2</c:v>
                </c:pt>
                <c:pt idx="61">
                  <c:v>-1.653466722245377E-2</c:v>
                </c:pt>
                <c:pt idx="62">
                  <c:v>-3.2652494094761626E-2</c:v>
                </c:pt>
                <c:pt idx="63">
                  <c:v>-1.5145199388634201E-2</c:v>
                </c:pt>
                <c:pt idx="64">
                  <c:v>-1.7229401139363554E-2</c:v>
                </c:pt>
                <c:pt idx="65">
                  <c:v>-9.0315409198277845E-3</c:v>
                </c:pt>
                <c:pt idx="66">
                  <c:v>-5.6968181186605061E-3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-3.4680538882220237E-3</c:v>
                </c:pt>
                <c:pt idx="73">
                  <c:v>0</c:v>
                </c:pt>
                <c:pt idx="74">
                  <c:v>-1.321178491214088E-3</c:v>
                </c:pt>
                <c:pt idx="75">
                  <c:v>-4.6241247192494953E-3</c:v>
                </c:pt>
                <c:pt idx="76">
                  <c:v>-2.7744748315496597E-3</c:v>
                </c:pt>
                <c:pt idx="77">
                  <c:v>-4.8883604174924638E-3</c:v>
                </c:pt>
                <c:pt idx="78">
                  <c:v>-1.5061434799841466E-2</c:v>
                </c:pt>
                <c:pt idx="79">
                  <c:v>-1.0437310080591783E-2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-2.2109507088048084E-3</c:v>
                </c:pt>
                <c:pt idx="84">
                  <c:v>-4.1617895695149872E-3</c:v>
                </c:pt>
                <c:pt idx="85">
                  <c:v>-1.768760567043828E-2</c:v>
                </c:pt>
                <c:pt idx="86">
                  <c:v>-2.8222135518272878E-2</c:v>
                </c:pt>
                <c:pt idx="87">
                  <c:v>-3.8106385745870816E-2</c:v>
                </c:pt>
                <c:pt idx="88">
                  <c:v>-4.6039797112758567E-2</c:v>
                </c:pt>
                <c:pt idx="89">
                  <c:v>-4.94212511379893E-2</c:v>
                </c:pt>
                <c:pt idx="90">
                  <c:v>-6.00858369098713E-2</c:v>
                </c:pt>
                <c:pt idx="91">
                  <c:v>-7.0620366757705902E-2</c:v>
                </c:pt>
                <c:pt idx="92">
                  <c:v>-6.7108856808427583E-2</c:v>
                </c:pt>
                <c:pt idx="93">
                  <c:v>-6.9840031213421833E-2</c:v>
                </c:pt>
                <c:pt idx="94">
                  <c:v>-5.5533879568214282E-2</c:v>
                </c:pt>
                <c:pt idx="95">
                  <c:v>-4.3828846403953757E-2</c:v>
                </c:pt>
                <c:pt idx="96">
                  <c:v>-4.7080244505137266E-2</c:v>
                </c:pt>
                <c:pt idx="97">
                  <c:v>-6.2166731694628705E-2</c:v>
                </c:pt>
                <c:pt idx="98">
                  <c:v>-4.6429964884900601E-2</c:v>
                </c:pt>
                <c:pt idx="99">
                  <c:v>-2.5230849265183999E-2</c:v>
                </c:pt>
                <c:pt idx="100">
                  <c:v>-1.3395760176876071E-2</c:v>
                </c:pt>
                <c:pt idx="101">
                  <c:v>-3.9016777214203588E-4</c:v>
                </c:pt>
                <c:pt idx="102">
                  <c:v>0</c:v>
                </c:pt>
                <c:pt idx="103">
                  <c:v>-1.639132679401149E-2</c:v>
                </c:pt>
                <c:pt idx="104">
                  <c:v>-2.568404749612815E-2</c:v>
                </c:pt>
                <c:pt idx="105">
                  <c:v>-3.2008260196179708E-2</c:v>
                </c:pt>
                <c:pt idx="106">
                  <c:v>-2.4135260712441979E-2</c:v>
                </c:pt>
                <c:pt idx="107">
                  <c:v>-2.181208053691272E-2</c:v>
                </c:pt>
                <c:pt idx="108">
                  <c:v>-3.2653588022715556E-2</c:v>
                </c:pt>
                <c:pt idx="109">
                  <c:v>-4.0526587506453285E-2</c:v>
                </c:pt>
                <c:pt idx="110">
                  <c:v>-3.9235931853381596E-2</c:v>
                </c:pt>
                <c:pt idx="111">
                  <c:v>-4.2462570986060995E-2</c:v>
                </c:pt>
                <c:pt idx="112">
                  <c:v>-4.2333505420753759E-2</c:v>
                </c:pt>
                <c:pt idx="113">
                  <c:v>-3.6009292720702198E-2</c:v>
                </c:pt>
                <c:pt idx="114">
                  <c:v>-4.1688177594217911E-2</c:v>
                </c:pt>
                <c:pt idx="115">
                  <c:v>-4.8399586990191014E-2</c:v>
                </c:pt>
                <c:pt idx="116">
                  <c:v>-3.2653588022715556E-2</c:v>
                </c:pt>
                <c:pt idx="117">
                  <c:v>-3.7299948373773879E-2</c:v>
                </c:pt>
                <c:pt idx="118">
                  <c:v>-3.1879194630872465E-2</c:v>
                </c:pt>
                <c:pt idx="119">
                  <c:v>-2.284460505937029E-2</c:v>
                </c:pt>
                <c:pt idx="120">
                  <c:v>-7.4858027878161879E-3</c:v>
                </c:pt>
                <c:pt idx="121">
                  <c:v>0</c:v>
                </c:pt>
                <c:pt idx="122">
                  <c:v>-9.3860984271944333E-3</c:v>
                </c:pt>
                <c:pt idx="123">
                  <c:v>-2.3972602739726033E-2</c:v>
                </c:pt>
                <c:pt idx="124">
                  <c:v>-4.6676813800101559E-2</c:v>
                </c:pt>
                <c:pt idx="125">
                  <c:v>-4.0208016235413514E-2</c:v>
                </c:pt>
                <c:pt idx="126">
                  <c:v>-2.181633688483002E-2</c:v>
                </c:pt>
                <c:pt idx="127">
                  <c:v>-3.0695078640284139E-2</c:v>
                </c:pt>
                <c:pt idx="128">
                  <c:v>-4.7564687975646877E-2</c:v>
                </c:pt>
                <c:pt idx="129">
                  <c:v>-4.3632673769660041E-2</c:v>
                </c:pt>
                <c:pt idx="130">
                  <c:v>-5.9614408929477454E-2</c:v>
                </c:pt>
                <c:pt idx="131">
                  <c:v>-6.0882800608827968E-2</c:v>
                </c:pt>
                <c:pt idx="132">
                  <c:v>-6.3419583967529169E-2</c:v>
                </c:pt>
                <c:pt idx="133">
                  <c:v>-5.2511415525114159E-2</c:v>
                </c:pt>
                <c:pt idx="134">
                  <c:v>-4.8579401319127323E-2</c:v>
                </c:pt>
                <c:pt idx="135">
                  <c:v>-5.5301877219685429E-2</c:v>
                </c:pt>
                <c:pt idx="136">
                  <c:v>-5.3526128868594605E-2</c:v>
                </c:pt>
                <c:pt idx="137">
                  <c:v>-4.0461694571283582E-2</c:v>
                </c:pt>
                <c:pt idx="138">
                  <c:v>-2.5114155251141603E-2</c:v>
                </c:pt>
                <c:pt idx="139">
                  <c:v>-2.3084728564180711E-2</c:v>
                </c:pt>
                <c:pt idx="140">
                  <c:v>-2.2704211060375522E-2</c:v>
                </c:pt>
                <c:pt idx="141">
                  <c:v>-9.5129375951293754E-3</c:v>
                </c:pt>
                <c:pt idx="142">
                  <c:v>-2.0167427701674321E-2</c:v>
                </c:pt>
                <c:pt idx="143">
                  <c:v>-1.7630644342973116E-2</c:v>
                </c:pt>
                <c:pt idx="144">
                  <c:v>-1.7757483510908239E-3</c:v>
                </c:pt>
                <c:pt idx="145">
                  <c:v>0</c:v>
                </c:pt>
                <c:pt idx="146">
                  <c:v>-3.3923859781380857E-3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-1.6555502620295388E-2</c:v>
                </c:pt>
                <c:pt idx="152">
                  <c:v>-2.9776083849452121E-3</c:v>
                </c:pt>
                <c:pt idx="153">
                  <c:v>0</c:v>
                </c:pt>
                <c:pt idx="154">
                  <c:v>0</c:v>
                </c:pt>
                <c:pt idx="155">
                  <c:v>-1.1684973124561149E-3</c:v>
                </c:pt>
                <c:pt idx="156">
                  <c:v>-4.4402897873334363E-3</c:v>
                </c:pt>
                <c:pt idx="157">
                  <c:v>-8.1794811871924731E-4</c:v>
                </c:pt>
                <c:pt idx="158">
                  <c:v>-7.9457817247019467E-3</c:v>
                </c:pt>
                <c:pt idx="159">
                  <c:v>0</c:v>
                </c:pt>
                <c:pt idx="160">
                  <c:v>-3.4594095940959084E-3</c:v>
                </c:pt>
                <c:pt idx="161">
                  <c:v>-6.2269372693726024E-3</c:v>
                </c:pt>
                <c:pt idx="162">
                  <c:v>-3.8053505535055156E-3</c:v>
                </c:pt>
                <c:pt idx="163">
                  <c:v>-2.0756457564574792E-3</c:v>
                </c:pt>
                <c:pt idx="164">
                  <c:v>0</c:v>
                </c:pt>
                <c:pt idx="165">
                  <c:v>0</c:v>
                </c:pt>
                <c:pt idx="166">
                  <c:v>-1.3867656693601179E-2</c:v>
                </c:pt>
                <c:pt idx="167">
                  <c:v>-4.8700589648394778E-2</c:v>
                </c:pt>
                <c:pt idx="168">
                  <c:v>-5.7108538982310594E-2</c:v>
                </c:pt>
                <c:pt idx="169">
                  <c:v>-5.9292421926184675E-2</c:v>
                </c:pt>
                <c:pt idx="170">
                  <c:v>-8.0039309892989713E-2</c:v>
                </c:pt>
                <c:pt idx="171">
                  <c:v>-8.7573706049355715E-2</c:v>
                </c:pt>
                <c:pt idx="172">
                  <c:v>-8.462546407512557E-2</c:v>
                </c:pt>
                <c:pt idx="173">
                  <c:v>-8.6263376283031143E-2</c:v>
                </c:pt>
                <c:pt idx="174">
                  <c:v>-8.047608648176463E-2</c:v>
                </c:pt>
                <c:pt idx="175">
                  <c:v>-6.9556671762393593E-2</c:v>
                </c:pt>
                <c:pt idx="176">
                  <c:v>-8.5171434811094099E-2</c:v>
                </c:pt>
                <c:pt idx="177">
                  <c:v>-9.3033413409041227E-2</c:v>
                </c:pt>
                <c:pt idx="178">
                  <c:v>-9.5654072941690385E-2</c:v>
                </c:pt>
                <c:pt idx="179">
                  <c:v>-7.1194583970299152E-2</c:v>
                </c:pt>
                <c:pt idx="180">
                  <c:v>-5.0666084297881643E-2</c:v>
                </c:pt>
                <c:pt idx="181">
                  <c:v>-5.7763703865472728E-2</c:v>
                </c:pt>
                <c:pt idx="182">
                  <c:v>-4.6079930115745786E-2</c:v>
                </c:pt>
                <c:pt idx="183">
                  <c:v>-6.082113998689663E-2</c:v>
                </c:pt>
                <c:pt idx="184">
                  <c:v>-6.6280847346582156E-2</c:v>
                </c:pt>
                <c:pt idx="185">
                  <c:v>-7.3160078619786018E-2</c:v>
                </c:pt>
                <c:pt idx="186">
                  <c:v>-8.8884035815680287E-2</c:v>
                </c:pt>
                <c:pt idx="187">
                  <c:v>-9.1504695348329279E-2</c:v>
                </c:pt>
                <c:pt idx="188">
                  <c:v>-8.2878357720026247E-2</c:v>
                </c:pt>
                <c:pt idx="189">
                  <c:v>-9.4452937322559424E-2</c:v>
                </c:pt>
                <c:pt idx="190">
                  <c:v>-8.7573706049355715E-2</c:v>
                </c:pt>
                <c:pt idx="191">
                  <c:v>-8.6481764577418671E-2</c:v>
                </c:pt>
                <c:pt idx="192">
                  <c:v>-0.10526315789473685</c:v>
                </c:pt>
                <c:pt idx="193">
                  <c:v>-9.5654072941690385E-2</c:v>
                </c:pt>
                <c:pt idx="194">
                  <c:v>-0.10034942127101985</c:v>
                </c:pt>
                <c:pt idx="195">
                  <c:v>-9.2378248525878948E-2</c:v>
                </c:pt>
                <c:pt idx="196">
                  <c:v>-0.10875737060493551</c:v>
                </c:pt>
                <c:pt idx="197">
                  <c:v>-0.11345271893426513</c:v>
                </c:pt>
                <c:pt idx="198">
                  <c:v>-0.11672854335007642</c:v>
                </c:pt>
                <c:pt idx="199">
                  <c:v>-0.12175147412098702</c:v>
                </c:pt>
                <c:pt idx="200">
                  <c:v>-0.12863070539419089</c:v>
                </c:pt>
                <c:pt idx="201">
                  <c:v>-0.1385673727888185</c:v>
                </c:pt>
                <c:pt idx="202">
                  <c:v>-0.14763048700589645</c:v>
                </c:pt>
                <c:pt idx="203">
                  <c:v>-0.13572832496178197</c:v>
                </c:pt>
                <c:pt idx="204">
                  <c:v>-0.13987770255514306</c:v>
                </c:pt>
                <c:pt idx="205">
                  <c:v>-0.14511902162044105</c:v>
                </c:pt>
                <c:pt idx="206">
                  <c:v>-0.15461891242629391</c:v>
                </c:pt>
                <c:pt idx="207">
                  <c:v>-0.14118803232146748</c:v>
                </c:pt>
                <c:pt idx="208">
                  <c:v>-0.1143262721118148</c:v>
                </c:pt>
                <c:pt idx="209">
                  <c:v>-0.13845817864162474</c:v>
                </c:pt>
                <c:pt idx="210">
                  <c:v>-0.14107883817427389</c:v>
                </c:pt>
                <c:pt idx="211">
                  <c:v>-0.13223411225158332</c:v>
                </c:pt>
                <c:pt idx="212">
                  <c:v>-0.1181480672635946</c:v>
                </c:pt>
                <c:pt idx="213">
                  <c:v>-0.13758462546407507</c:v>
                </c:pt>
                <c:pt idx="214">
                  <c:v>-0.14883162262502725</c:v>
                </c:pt>
                <c:pt idx="215">
                  <c:v>-0.13987770255514306</c:v>
                </c:pt>
                <c:pt idx="216">
                  <c:v>-0.14588338065079712</c:v>
                </c:pt>
                <c:pt idx="217">
                  <c:v>-0.13441799519545755</c:v>
                </c:pt>
                <c:pt idx="218">
                  <c:v>-0.12568246341996075</c:v>
                </c:pt>
                <c:pt idx="219">
                  <c:v>-0.12655601659751042</c:v>
                </c:pt>
                <c:pt idx="220">
                  <c:v>-0.12469971609521732</c:v>
                </c:pt>
                <c:pt idx="221">
                  <c:v>-0.13136055907403366</c:v>
                </c:pt>
                <c:pt idx="222">
                  <c:v>-0.12655601659751042</c:v>
                </c:pt>
                <c:pt idx="223">
                  <c:v>-0.13660187813933178</c:v>
                </c:pt>
                <c:pt idx="224">
                  <c:v>-0.14741209871150907</c:v>
                </c:pt>
                <c:pt idx="225">
                  <c:v>-0.14391788600131025</c:v>
                </c:pt>
                <c:pt idx="226">
                  <c:v>-0.15352697095435688</c:v>
                </c:pt>
                <c:pt idx="227">
                  <c:v>-0.14642935138676563</c:v>
                </c:pt>
                <c:pt idx="228">
                  <c:v>-0.14981436994977068</c:v>
                </c:pt>
                <c:pt idx="229">
                  <c:v>-0.15123389386328887</c:v>
                </c:pt>
                <c:pt idx="230">
                  <c:v>-0.14828565188905873</c:v>
                </c:pt>
                <c:pt idx="231">
                  <c:v>-0.13987770255514306</c:v>
                </c:pt>
                <c:pt idx="232">
                  <c:v>-0.15887748416684863</c:v>
                </c:pt>
                <c:pt idx="233">
                  <c:v>-0.1684865691198951</c:v>
                </c:pt>
                <c:pt idx="234">
                  <c:v>-0.16870495741428262</c:v>
                </c:pt>
                <c:pt idx="235">
                  <c:v>-0.1721991701244813</c:v>
                </c:pt>
                <c:pt idx="236">
                  <c:v>-0.17744048918977942</c:v>
                </c:pt>
                <c:pt idx="237">
                  <c:v>-0.17438305306835553</c:v>
                </c:pt>
                <c:pt idx="238">
                  <c:v>-0.16313605590740335</c:v>
                </c:pt>
                <c:pt idx="239">
                  <c:v>-0.17088884035815671</c:v>
                </c:pt>
                <c:pt idx="240">
                  <c:v>-0.17176239353570652</c:v>
                </c:pt>
                <c:pt idx="241">
                  <c:v>-0.1665210744704084</c:v>
                </c:pt>
                <c:pt idx="242">
                  <c:v>-0.14795806944747758</c:v>
                </c:pt>
                <c:pt idx="243">
                  <c:v>-0.16117056125791662</c:v>
                </c:pt>
                <c:pt idx="244">
                  <c:v>-0.14642935138676563</c:v>
                </c:pt>
                <c:pt idx="245">
                  <c:v>-0.14391788600131025</c:v>
                </c:pt>
                <c:pt idx="246">
                  <c:v>-0.15309019436558197</c:v>
                </c:pt>
                <c:pt idx="247">
                  <c:v>-0.14337191526534174</c:v>
                </c:pt>
                <c:pt idx="248">
                  <c:v>-0.13703865472810656</c:v>
                </c:pt>
                <c:pt idx="249">
                  <c:v>-0.12568246341996075</c:v>
                </c:pt>
                <c:pt idx="250">
                  <c:v>-0.13081458833806511</c:v>
                </c:pt>
                <c:pt idx="251">
                  <c:v>-0.12775715221664122</c:v>
                </c:pt>
                <c:pt idx="252">
                  <c:v>-0.13015942345490283</c:v>
                </c:pt>
                <c:pt idx="253">
                  <c:v>-0.12240663900414932</c:v>
                </c:pt>
                <c:pt idx="254">
                  <c:v>-0.1230618038873116</c:v>
                </c:pt>
                <c:pt idx="255">
                  <c:v>-0.13157894736842102</c:v>
                </c:pt>
                <c:pt idx="256">
                  <c:v>-0.12972264686612792</c:v>
                </c:pt>
                <c:pt idx="257">
                  <c:v>-0.1075562349858047</c:v>
                </c:pt>
                <c:pt idx="258">
                  <c:v>-0.10853898231054813</c:v>
                </c:pt>
                <c:pt idx="259">
                  <c:v>-0.10559074033631799</c:v>
                </c:pt>
                <c:pt idx="260">
                  <c:v>-0.11039528281284122</c:v>
                </c:pt>
                <c:pt idx="261">
                  <c:v>-0.12207905656256816</c:v>
                </c:pt>
                <c:pt idx="262">
                  <c:v>-0.12502729853679845</c:v>
                </c:pt>
                <c:pt idx="263">
                  <c:v>-0.12131469753221227</c:v>
                </c:pt>
                <c:pt idx="264">
                  <c:v>-0.1291766761301594</c:v>
                </c:pt>
                <c:pt idx="265">
                  <c:v>-0.12775715221664122</c:v>
                </c:pt>
                <c:pt idx="266">
                  <c:v>-0.13507316007861983</c:v>
                </c:pt>
                <c:pt idx="267">
                  <c:v>-0.13387202445948904</c:v>
                </c:pt>
                <c:pt idx="268">
                  <c:v>-0.1379122079056562</c:v>
                </c:pt>
                <c:pt idx="269">
                  <c:v>-0.13430880104826379</c:v>
                </c:pt>
                <c:pt idx="270">
                  <c:v>-0.11967678532430655</c:v>
                </c:pt>
                <c:pt idx="271">
                  <c:v>-0.11552740773094561</c:v>
                </c:pt>
                <c:pt idx="272">
                  <c:v>-0.1284123170998035</c:v>
                </c:pt>
                <c:pt idx="273">
                  <c:v>-0.11399868967023365</c:v>
                </c:pt>
                <c:pt idx="274">
                  <c:v>-0.11705612579165756</c:v>
                </c:pt>
                <c:pt idx="275">
                  <c:v>-0.11716531993885132</c:v>
                </c:pt>
                <c:pt idx="276">
                  <c:v>-0.11672854335007642</c:v>
                </c:pt>
                <c:pt idx="277">
                  <c:v>-0.12207905656256816</c:v>
                </c:pt>
                <c:pt idx="278">
                  <c:v>-0.13048700589648399</c:v>
                </c:pt>
                <c:pt idx="279">
                  <c:v>-0.12568246341996075</c:v>
                </c:pt>
                <c:pt idx="280">
                  <c:v>-0.13212491810438953</c:v>
                </c:pt>
                <c:pt idx="281">
                  <c:v>-0.13190652981000217</c:v>
                </c:pt>
                <c:pt idx="282">
                  <c:v>-0.1284123170998035</c:v>
                </c:pt>
                <c:pt idx="283">
                  <c:v>-0.12710198733347894</c:v>
                </c:pt>
                <c:pt idx="284">
                  <c:v>-0.13452718934265115</c:v>
                </c:pt>
                <c:pt idx="285">
                  <c:v>-0.13245250054597069</c:v>
                </c:pt>
                <c:pt idx="286">
                  <c:v>-0.13267088884035808</c:v>
                </c:pt>
                <c:pt idx="287">
                  <c:v>-0.1348547717842323</c:v>
                </c:pt>
                <c:pt idx="288">
                  <c:v>-0.1367110722865254</c:v>
                </c:pt>
                <c:pt idx="289">
                  <c:v>-0.1329984712819392</c:v>
                </c:pt>
                <c:pt idx="290">
                  <c:v>-0.14369949770692286</c:v>
                </c:pt>
                <c:pt idx="291">
                  <c:v>-0.14227997379340468</c:v>
                </c:pt>
                <c:pt idx="292">
                  <c:v>-0.14511902162044105</c:v>
                </c:pt>
                <c:pt idx="293">
                  <c:v>-0.14511902162044105</c:v>
                </c:pt>
                <c:pt idx="294">
                  <c:v>-0.14380869185411663</c:v>
                </c:pt>
                <c:pt idx="295">
                  <c:v>-0.15385455339593801</c:v>
                </c:pt>
                <c:pt idx="296">
                  <c:v>-0.1559292421926185</c:v>
                </c:pt>
                <c:pt idx="297">
                  <c:v>-0.15876829001965487</c:v>
                </c:pt>
                <c:pt idx="298">
                  <c:v>-0.15516488316226243</c:v>
                </c:pt>
                <c:pt idx="299">
                  <c:v>-0.15844070757807388</c:v>
                </c:pt>
                <c:pt idx="300">
                  <c:v>-0.15964184319720467</c:v>
                </c:pt>
                <c:pt idx="301">
                  <c:v>-0.17012448132780081</c:v>
                </c:pt>
                <c:pt idx="302">
                  <c:v>-0.16663026861760216</c:v>
                </c:pt>
                <c:pt idx="303">
                  <c:v>-0.16510155055689021</c:v>
                </c:pt>
                <c:pt idx="304">
                  <c:v>-0.16106136711072286</c:v>
                </c:pt>
                <c:pt idx="305">
                  <c:v>-0.15614763048700586</c:v>
                </c:pt>
                <c:pt idx="306">
                  <c:v>-0.15658440707578078</c:v>
                </c:pt>
                <c:pt idx="307">
                  <c:v>-0.15341777680716312</c:v>
                </c:pt>
                <c:pt idx="308">
                  <c:v>-0.14490063332605368</c:v>
                </c:pt>
                <c:pt idx="309">
                  <c:v>-0.13714784887530032</c:v>
                </c:pt>
                <c:pt idx="310">
                  <c:v>-0.14577418650360335</c:v>
                </c:pt>
                <c:pt idx="311">
                  <c:v>-0.13747543131688145</c:v>
                </c:pt>
                <c:pt idx="312">
                  <c:v>-0.14129722646866125</c:v>
                </c:pt>
                <c:pt idx="313">
                  <c:v>-0.13660187813933178</c:v>
                </c:pt>
                <c:pt idx="314">
                  <c:v>-0.12961345271893432</c:v>
                </c:pt>
                <c:pt idx="315">
                  <c:v>-0.12295260974011799</c:v>
                </c:pt>
                <c:pt idx="316">
                  <c:v>-0.12939506442454679</c:v>
                </c:pt>
                <c:pt idx="317">
                  <c:v>-0.12808473465822237</c:v>
                </c:pt>
                <c:pt idx="318">
                  <c:v>-0.14577418650360335</c:v>
                </c:pt>
                <c:pt idx="319">
                  <c:v>-0.14577418650360335</c:v>
                </c:pt>
                <c:pt idx="320">
                  <c:v>-0.13682026643371917</c:v>
                </c:pt>
                <c:pt idx="321">
                  <c:v>-0.14140642061585501</c:v>
                </c:pt>
                <c:pt idx="322">
                  <c:v>-0.12961345271893432</c:v>
                </c:pt>
                <c:pt idx="323">
                  <c:v>-0.13987770255514306</c:v>
                </c:pt>
                <c:pt idx="324">
                  <c:v>-0.13507316007861983</c:v>
                </c:pt>
                <c:pt idx="325">
                  <c:v>-0.13037781174929022</c:v>
                </c:pt>
                <c:pt idx="326">
                  <c:v>-0.13398121860668263</c:v>
                </c:pt>
                <c:pt idx="327">
                  <c:v>-0.12994103516051531</c:v>
                </c:pt>
                <c:pt idx="328">
                  <c:v>-0.1329984712819392</c:v>
                </c:pt>
                <c:pt idx="329">
                  <c:v>-0.13911334352478702</c:v>
                </c:pt>
                <c:pt idx="330">
                  <c:v>-0.13813059620004359</c:v>
                </c:pt>
                <c:pt idx="331">
                  <c:v>-0.13845817864162474</c:v>
                </c:pt>
                <c:pt idx="332">
                  <c:v>-0.1348547717842323</c:v>
                </c:pt>
                <c:pt idx="333">
                  <c:v>-0.13179733566280841</c:v>
                </c:pt>
                <c:pt idx="334">
                  <c:v>-0.13234330639877709</c:v>
                </c:pt>
                <c:pt idx="335">
                  <c:v>-0.12601004586154174</c:v>
                </c:pt>
                <c:pt idx="336">
                  <c:v>-0.12808473465822237</c:v>
                </c:pt>
                <c:pt idx="337">
                  <c:v>-0.1329984712819392</c:v>
                </c:pt>
                <c:pt idx="338">
                  <c:v>-0.12928587027735317</c:v>
                </c:pt>
                <c:pt idx="339">
                  <c:v>-0.1291766761301594</c:v>
                </c:pt>
                <c:pt idx="340">
                  <c:v>-0.1200043677658877</c:v>
                </c:pt>
                <c:pt idx="341">
                  <c:v>-0.10395282812841228</c:v>
                </c:pt>
                <c:pt idx="342">
                  <c:v>-0.10133216859576329</c:v>
                </c:pt>
                <c:pt idx="343">
                  <c:v>-0.10471718715876834</c:v>
                </c:pt>
                <c:pt idx="344">
                  <c:v>-9.2378248525878948E-2</c:v>
                </c:pt>
                <c:pt idx="345">
                  <c:v>-7.0648613234330623E-2</c:v>
                </c:pt>
                <c:pt idx="346">
                  <c:v>-8.2878357720026247E-2</c:v>
                </c:pt>
                <c:pt idx="347">
                  <c:v>-9.0740336317973389E-2</c:v>
                </c:pt>
                <c:pt idx="348">
                  <c:v>-9.4452937322559424E-2</c:v>
                </c:pt>
                <c:pt idx="349">
                  <c:v>-8.8993229962873899E-2</c:v>
                </c:pt>
                <c:pt idx="350">
                  <c:v>-8.811967678532423E-2</c:v>
                </c:pt>
                <c:pt idx="351">
                  <c:v>-0.10853898231054813</c:v>
                </c:pt>
                <c:pt idx="352">
                  <c:v>-0.11585499017252675</c:v>
                </c:pt>
                <c:pt idx="353">
                  <c:v>-0.11956759117711294</c:v>
                </c:pt>
                <c:pt idx="354">
                  <c:v>-0.12568246341996075</c:v>
                </c:pt>
                <c:pt idx="355">
                  <c:v>-0.12142389167940604</c:v>
                </c:pt>
                <c:pt idx="356">
                  <c:v>-0.12076872679624374</c:v>
                </c:pt>
                <c:pt idx="357">
                  <c:v>-0.12972264686612792</c:v>
                </c:pt>
                <c:pt idx="358">
                  <c:v>-0.13234330639877709</c:v>
                </c:pt>
                <c:pt idx="359">
                  <c:v>-0.13179733566280841</c:v>
                </c:pt>
                <c:pt idx="360">
                  <c:v>-0.13387202445948904</c:v>
                </c:pt>
                <c:pt idx="361">
                  <c:v>-0.14293513867656699</c:v>
                </c:pt>
                <c:pt idx="362">
                  <c:v>-0.14107883817427389</c:v>
                </c:pt>
                <c:pt idx="363">
                  <c:v>-0.14107883817427389</c:v>
                </c:pt>
                <c:pt idx="364">
                  <c:v>-0.14457305088447253</c:v>
                </c:pt>
                <c:pt idx="365">
                  <c:v>-0.14894081677222101</c:v>
                </c:pt>
                <c:pt idx="366">
                  <c:v>-0.15046953483293296</c:v>
                </c:pt>
                <c:pt idx="367">
                  <c:v>-0.16007861978597943</c:v>
                </c:pt>
                <c:pt idx="368">
                  <c:v>-0.1646647739681153</c:v>
                </c:pt>
                <c:pt idx="369">
                  <c:v>-0.16215330858265992</c:v>
                </c:pt>
                <c:pt idx="370">
                  <c:v>-0.17001528718060704</c:v>
                </c:pt>
                <c:pt idx="371">
                  <c:v>-0.17471063550993668</c:v>
                </c:pt>
                <c:pt idx="372">
                  <c:v>-0.17492902380432404</c:v>
                </c:pt>
                <c:pt idx="373">
                  <c:v>-0.18082550775278447</c:v>
                </c:pt>
                <c:pt idx="374">
                  <c:v>-0.18148067263594678</c:v>
                </c:pt>
                <c:pt idx="375">
                  <c:v>-0.18268180825507757</c:v>
                </c:pt>
                <c:pt idx="376">
                  <c:v>-0.18508407949333919</c:v>
                </c:pt>
                <c:pt idx="377">
                  <c:v>-0.19818737715658433</c:v>
                </c:pt>
                <c:pt idx="378">
                  <c:v>-0.20397466695785099</c:v>
                </c:pt>
                <c:pt idx="379">
                  <c:v>-0.2086700152871806</c:v>
                </c:pt>
                <c:pt idx="380">
                  <c:v>-0.20692290893208126</c:v>
                </c:pt>
                <c:pt idx="381">
                  <c:v>-0.20757807381524357</c:v>
                </c:pt>
                <c:pt idx="382">
                  <c:v>-0.21882507097619558</c:v>
                </c:pt>
                <c:pt idx="383">
                  <c:v>-0.21271019873334793</c:v>
                </c:pt>
                <c:pt idx="384">
                  <c:v>-0.20495741428259442</c:v>
                </c:pt>
                <c:pt idx="385">
                  <c:v>-0.20353789036907624</c:v>
                </c:pt>
                <c:pt idx="386">
                  <c:v>-0.19305525223847994</c:v>
                </c:pt>
                <c:pt idx="387">
                  <c:v>-0.19775060056780958</c:v>
                </c:pt>
                <c:pt idx="388">
                  <c:v>-0.19414719371041714</c:v>
                </c:pt>
                <c:pt idx="389">
                  <c:v>-0.20703210307927489</c:v>
                </c:pt>
                <c:pt idx="390">
                  <c:v>-0.20856082113998684</c:v>
                </c:pt>
                <c:pt idx="391">
                  <c:v>-0.19644027080148499</c:v>
                </c:pt>
                <c:pt idx="392">
                  <c:v>-0.19567591177112909</c:v>
                </c:pt>
                <c:pt idx="393">
                  <c:v>-0.18672199170124476</c:v>
                </c:pt>
                <c:pt idx="394">
                  <c:v>-0.18257261410788381</c:v>
                </c:pt>
                <c:pt idx="395">
                  <c:v>-0.18442891461017691</c:v>
                </c:pt>
                <c:pt idx="396">
                  <c:v>-0.18049792531120334</c:v>
                </c:pt>
                <c:pt idx="397">
                  <c:v>-0.17230836427167506</c:v>
                </c:pt>
                <c:pt idx="398">
                  <c:v>-0.18017034286962219</c:v>
                </c:pt>
                <c:pt idx="399">
                  <c:v>-0.18726796243721328</c:v>
                </c:pt>
                <c:pt idx="400">
                  <c:v>-0.18912426293950638</c:v>
                </c:pt>
                <c:pt idx="401">
                  <c:v>-0.17864162480891024</c:v>
                </c:pt>
                <c:pt idx="402">
                  <c:v>-0.16903253985586378</c:v>
                </c:pt>
                <c:pt idx="403">
                  <c:v>-0.17405547062677437</c:v>
                </c:pt>
                <c:pt idx="404">
                  <c:v>-0.16663026861760216</c:v>
                </c:pt>
                <c:pt idx="405">
                  <c:v>-0.17623935357064863</c:v>
                </c:pt>
                <c:pt idx="406">
                  <c:v>-0.17285433500764358</c:v>
                </c:pt>
                <c:pt idx="407">
                  <c:v>-0.1548373007206813</c:v>
                </c:pt>
                <c:pt idx="408">
                  <c:v>-0.14271675038217943</c:v>
                </c:pt>
                <c:pt idx="409">
                  <c:v>-0.1502511465385456</c:v>
                </c:pt>
                <c:pt idx="410">
                  <c:v>-0.14369949770692286</c:v>
                </c:pt>
                <c:pt idx="411">
                  <c:v>-0.15068792312732035</c:v>
                </c:pt>
                <c:pt idx="412">
                  <c:v>-0.14959598165538329</c:v>
                </c:pt>
                <c:pt idx="413">
                  <c:v>-0.18257261410788381</c:v>
                </c:pt>
                <c:pt idx="414">
                  <c:v>-0.18530246778772658</c:v>
                </c:pt>
                <c:pt idx="415">
                  <c:v>-0.18115309019436562</c:v>
                </c:pt>
                <c:pt idx="416">
                  <c:v>-0.18672199170124476</c:v>
                </c:pt>
                <c:pt idx="417">
                  <c:v>-0.18694037999563229</c:v>
                </c:pt>
                <c:pt idx="418">
                  <c:v>-0.18672199170124476</c:v>
                </c:pt>
                <c:pt idx="419">
                  <c:v>-0.18781393317318196</c:v>
                </c:pt>
                <c:pt idx="420">
                  <c:v>-0.18628521511247001</c:v>
                </c:pt>
                <c:pt idx="421">
                  <c:v>-0.18628521511247001</c:v>
                </c:pt>
                <c:pt idx="422">
                  <c:v>-0.18486569119895166</c:v>
                </c:pt>
                <c:pt idx="423">
                  <c:v>-0.16761301594234543</c:v>
                </c:pt>
                <c:pt idx="424">
                  <c:v>-0.17667613015942338</c:v>
                </c:pt>
                <c:pt idx="425">
                  <c:v>-0.19447477615199829</c:v>
                </c:pt>
                <c:pt idx="426">
                  <c:v>-0.18999781611705605</c:v>
                </c:pt>
                <c:pt idx="427">
                  <c:v>-0.19796898886219694</c:v>
                </c:pt>
                <c:pt idx="428">
                  <c:v>-0.20877920943437436</c:v>
                </c:pt>
                <c:pt idx="429">
                  <c:v>-0.2192618475649705</c:v>
                </c:pt>
                <c:pt idx="430">
                  <c:v>-0.2248307490718498</c:v>
                </c:pt>
                <c:pt idx="431">
                  <c:v>-0.22898012666521073</c:v>
                </c:pt>
                <c:pt idx="432">
                  <c:v>-0.23618694037999557</c:v>
                </c:pt>
                <c:pt idx="433">
                  <c:v>-0.23989954138458178</c:v>
                </c:pt>
                <c:pt idx="434">
                  <c:v>-0.25180170342869623</c:v>
                </c:pt>
                <c:pt idx="435">
                  <c:v>-0.2557326927276698</c:v>
                </c:pt>
                <c:pt idx="436">
                  <c:v>-0.25791657567154408</c:v>
                </c:pt>
                <c:pt idx="437">
                  <c:v>-0.23706049355754524</c:v>
                </c:pt>
                <c:pt idx="438">
                  <c:v>-0.22046298318410132</c:v>
                </c:pt>
                <c:pt idx="439">
                  <c:v>-0.22253767198078178</c:v>
                </c:pt>
                <c:pt idx="440">
                  <c:v>-0.22035378903690755</c:v>
                </c:pt>
                <c:pt idx="441">
                  <c:v>-0.2135837519108976</c:v>
                </c:pt>
                <c:pt idx="442">
                  <c:v>-0.21445730508844726</c:v>
                </c:pt>
                <c:pt idx="443">
                  <c:v>-0.21325616946931647</c:v>
                </c:pt>
                <c:pt idx="444">
                  <c:v>-0.21816990609303347</c:v>
                </c:pt>
                <c:pt idx="445">
                  <c:v>-0.22253767198078178</c:v>
                </c:pt>
                <c:pt idx="446">
                  <c:v>-0.23291111596418432</c:v>
                </c:pt>
                <c:pt idx="447">
                  <c:v>-0.24273858921161831</c:v>
                </c:pt>
                <c:pt idx="448">
                  <c:v>-0.24120987115090636</c:v>
                </c:pt>
                <c:pt idx="449">
                  <c:v>-0.23869840576545098</c:v>
                </c:pt>
                <c:pt idx="450">
                  <c:v>-0.23389386328892775</c:v>
                </c:pt>
                <c:pt idx="451">
                  <c:v>-0.22908932081240449</c:v>
                </c:pt>
                <c:pt idx="452">
                  <c:v>-0.23454902817209003</c:v>
                </c:pt>
                <c:pt idx="453">
                  <c:v>-0.23782485258790131</c:v>
                </c:pt>
                <c:pt idx="454">
                  <c:v>-0.23968115309019439</c:v>
                </c:pt>
                <c:pt idx="455">
                  <c:v>-0.23716968770473901</c:v>
                </c:pt>
                <c:pt idx="456">
                  <c:v>-0.23782485258790131</c:v>
                </c:pt>
                <c:pt idx="457">
                  <c:v>-0.23749727014632016</c:v>
                </c:pt>
                <c:pt idx="458">
                  <c:v>-0.23564096964402706</c:v>
                </c:pt>
                <c:pt idx="459">
                  <c:v>-0.23629613452718937</c:v>
                </c:pt>
                <c:pt idx="460">
                  <c:v>-0.2411006770037126</c:v>
                </c:pt>
                <c:pt idx="461">
                  <c:v>-0.24710635509936663</c:v>
                </c:pt>
                <c:pt idx="462">
                  <c:v>-0.25420397466695788</c:v>
                </c:pt>
                <c:pt idx="463">
                  <c:v>-0.24939943219043464</c:v>
                </c:pt>
                <c:pt idx="464">
                  <c:v>-0.2563878576108321</c:v>
                </c:pt>
                <c:pt idx="465">
                  <c:v>-0.26020965276261193</c:v>
                </c:pt>
                <c:pt idx="466">
                  <c:v>-0.2688359903909151</c:v>
                </c:pt>
                <c:pt idx="467">
                  <c:v>-0.25529591613889491</c:v>
                </c:pt>
                <c:pt idx="468">
                  <c:v>-0.24874426730727234</c:v>
                </c:pt>
                <c:pt idx="469">
                  <c:v>-0.26348547717842319</c:v>
                </c:pt>
                <c:pt idx="470">
                  <c:v>-0.26337628303122956</c:v>
                </c:pt>
                <c:pt idx="471">
                  <c:v>-0.27058309674601444</c:v>
                </c:pt>
                <c:pt idx="472">
                  <c:v>-0.27429569775060064</c:v>
                </c:pt>
                <c:pt idx="473">
                  <c:v>-0.27025551430443329</c:v>
                </c:pt>
                <c:pt idx="474">
                  <c:v>-0.26894518453810873</c:v>
                </c:pt>
                <c:pt idx="475">
                  <c:v>-0.26839921380214021</c:v>
                </c:pt>
                <c:pt idx="476">
                  <c:v>-0.26534177768071626</c:v>
                </c:pt>
                <c:pt idx="477">
                  <c:v>-0.26807163136055906</c:v>
                </c:pt>
                <c:pt idx="478">
                  <c:v>-0.27058309674601444</c:v>
                </c:pt>
                <c:pt idx="479">
                  <c:v>-0.27222100895391999</c:v>
                </c:pt>
                <c:pt idx="480">
                  <c:v>-0.26621533085826593</c:v>
                </c:pt>
                <c:pt idx="481">
                  <c:v>-0.26304870058964841</c:v>
                </c:pt>
                <c:pt idx="482">
                  <c:v>-0.25747979908276913</c:v>
                </c:pt>
                <c:pt idx="483">
                  <c:v>-0.25791657567154408</c:v>
                </c:pt>
                <c:pt idx="484">
                  <c:v>-0.26151998252893649</c:v>
                </c:pt>
                <c:pt idx="485">
                  <c:v>-0.25529591613889491</c:v>
                </c:pt>
                <c:pt idx="486">
                  <c:v>-0.25354880978379557</c:v>
                </c:pt>
                <c:pt idx="487">
                  <c:v>-0.25758899322996293</c:v>
                </c:pt>
                <c:pt idx="488">
                  <c:v>-0.26839921380214021</c:v>
                </c:pt>
                <c:pt idx="489">
                  <c:v>-0.25365800393098936</c:v>
                </c:pt>
                <c:pt idx="490">
                  <c:v>-0.25529591613889491</c:v>
                </c:pt>
                <c:pt idx="491">
                  <c:v>-0.25704302249399424</c:v>
                </c:pt>
                <c:pt idx="492">
                  <c:v>-0.26348547717842319</c:v>
                </c:pt>
                <c:pt idx="493">
                  <c:v>-0.26566936012229742</c:v>
                </c:pt>
                <c:pt idx="494">
                  <c:v>-0.25857174055470616</c:v>
                </c:pt>
                <c:pt idx="495">
                  <c:v>-0.26381305962000434</c:v>
                </c:pt>
                <c:pt idx="496">
                  <c:v>-0.25562349858047606</c:v>
                </c:pt>
                <c:pt idx="497">
                  <c:v>-0.25278445075343953</c:v>
                </c:pt>
                <c:pt idx="498">
                  <c:v>-0.24874426730727234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7-4C58-91DD-D6C51B2EF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118143"/>
        <c:axId val="1092433407"/>
      </c:areaChart>
      <c:dateAx>
        <c:axId val="16981181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33407"/>
        <c:crosses val="autoZero"/>
        <c:auto val="1"/>
        <c:lblOffset val="100"/>
        <c:baseTimeUnit val="days"/>
        <c:majorUnit val="50"/>
        <c:majorTimeUnit val="months"/>
      </c:dateAx>
      <c:valAx>
        <c:axId val="10924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11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Semanal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Variação Semanal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Análise_Variação!$G$3:$G$109</c:f>
              <c:strCache>
                <c:ptCount val="107"/>
                <c:pt idx="0">
                  <c:v>2024-S29</c:v>
                </c:pt>
                <c:pt idx="1">
                  <c:v>2024-S30</c:v>
                </c:pt>
                <c:pt idx="2">
                  <c:v>2024-S31</c:v>
                </c:pt>
                <c:pt idx="3">
                  <c:v>2024-S32</c:v>
                </c:pt>
                <c:pt idx="4">
                  <c:v>2024-S33</c:v>
                </c:pt>
                <c:pt idx="5">
                  <c:v>2024-S34</c:v>
                </c:pt>
                <c:pt idx="6">
                  <c:v>2024-S35</c:v>
                </c:pt>
                <c:pt idx="7">
                  <c:v>2024-S36</c:v>
                </c:pt>
                <c:pt idx="8">
                  <c:v>2024-S37</c:v>
                </c:pt>
                <c:pt idx="9">
                  <c:v>2024-S38</c:v>
                </c:pt>
                <c:pt idx="10">
                  <c:v>2024-S39</c:v>
                </c:pt>
                <c:pt idx="11">
                  <c:v>2024-S40</c:v>
                </c:pt>
                <c:pt idx="12">
                  <c:v>2024-S41</c:v>
                </c:pt>
                <c:pt idx="13">
                  <c:v>2024-S42</c:v>
                </c:pt>
                <c:pt idx="14">
                  <c:v>2024-S43</c:v>
                </c:pt>
                <c:pt idx="15">
                  <c:v>2024-S44</c:v>
                </c:pt>
                <c:pt idx="16">
                  <c:v>2024-S45</c:v>
                </c:pt>
                <c:pt idx="17">
                  <c:v>2024-S46</c:v>
                </c:pt>
                <c:pt idx="18">
                  <c:v>2024-S47</c:v>
                </c:pt>
                <c:pt idx="19">
                  <c:v>2024-S48</c:v>
                </c:pt>
                <c:pt idx="20">
                  <c:v>2024-S49</c:v>
                </c:pt>
                <c:pt idx="21">
                  <c:v>2024-S50</c:v>
                </c:pt>
                <c:pt idx="22">
                  <c:v>2024-S51</c:v>
                </c:pt>
                <c:pt idx="23">
                  <c:v>2024-S52</c:v>
                </c:pt>
                <c:pt idx="24">
                  <c:v>2024-S53</c:v>
                </c:pt>
                <c:pt idx="25">
                  <c:v>2025-S01</c:v>
                </c:pt>
                <c:pt idx="26">
                  <c:v>2025-S02</c:v>
                </c:pt>
                <c:pt idx="27">
                  <c:v>2025-S03</c:v>
                </c:pt>
                <c:pt idx="28">
                  <c:v>2025-S04</c:v>
                </c:pt>
                <c:pt idx="29">
                  <c:v>2025-S05</c:v>
                </c:pt>
                <c:pt idx="30">
                  <c:v>2025-S06</c:v>
                </c:pt>
                <c:pt idx="31">
                  <c:v>2025-S07</c:v>
                </c:pt>
                <c:pt idx="32">
                  <c:v>2025-S08</c:v>
                </c:pt>
                <c:pt idx="33">
                  <c:v>2025-S09</c:v>
                </c:pt>
                <c:pt idx="34">
                  <c:v>2025-S10</c:v>
                </c:pt>
                <c:pt idx="35">
                  <c:v>2025-S11</c:v>
                </c:pt>
                <c:pt idx="36">
                  <c:v>2025-S12</c:v>
                </c:pt>
                <c:pt idx="37">
                  <c:v>2025-S13</c:v>
                </c:pt>
                <c:pt idx="38">
                  <c:v>2025-S14</c:v>
                </c:pt>
                <c:pt idx="39">
                  <c:v>2025-S15</c:v>
                </c:pt>
                <c:pt idx="40">
                  <c:v>2025-S16</c:v>
                </c:pt>
                <c:pt idx="41">
                  <c:v>2025-S17</c:v>
                </c:pt>
                <c:pt idx="42">
                  <c:v>2025-S18</c:v>
                </c:pt>
                <c:pt idx="43">
                  <c:v>2025-S19</c:v>
                </c:pt>
                <c:pt idx="44">
                  <c:v>2025-S20</c:v>
                </c:pt>
                <c:pt idx="45">
                  <c:v>2025-S21</c:v>
                </c:pt>
                <c:pt idx="46">
                  <c:v>2025-S22</c:v>
                </c:pt>
                <c:pt idx="47">
                  <c:v>2025-S23</c:v>
                </c:pt>
                <c:pt idx="48">
                  <c:v>2025-S24</c:v>
                </c:pt>
                <c:pt idx="49">
                  <c:v>2025-S25</c:v>
                </c:pt>
                <c:pt idx="50">
                  <c:v>2025-S26</c:v>
                </c:pt>
                <c:pt idx="51">
                  <c:v>2025-S27</c:v>
                </c:pt>
                <c:pt idx="52">
                  <c:v>2025-S28</c:v>
                </c:pt>
                <c:pt idx="53">
                  <c:v>2025-S29</c:v>
                </c:pt>
                <c:pt idx="54">
                  <c:v>2025-S30</c:v>
                </c:pt>
                <c:pt idx="55">
                  <c:v>2025-S31</c:v>
                </c:pt>
                <c:pt idx="56">
                  <c:v>2025-S32</c:v>
                </c:pt>
                <c:pt idx="57">
                  <c:v>2025-S33</c:v>
                </c:pt>
                <c:pt idx="58">
                  <c:v>2025-S34</c:v>
                </c:pt>
                <c:pt idx="59">
                  <c:v>2025-S35</c:v>
                </c:pt>
                <c:pt idx="60">
                  <c:v>2025-S36</c:v>
                </c:pt>
                <c:pt idx="61">
                  <c:v>2025-S37</c:v>
                </c:pt>
                <c:pt idx="62">
                  <c:v>2025-S38</c:v>
                </c:pt>
                <c:pt idx="63">
                  <c:v>2025-S39</c:v>
                </c:pt>
                <c:pt idx="64">
                  <c:v>2025-S40</c:v>
                </c:pt>
                <c:pt idx="65">
                  <c:v>2025-S41</c:v>
                </c:pt>
                <c:pt idx="66">
                  <c:v>2025-S42</c:v>
                </c:pt>
                <c:pt idx="67">
                  <c:v>2025-S43</c:v>
                </c:pt>
                <c:pt idx="68">
                  <c:v>2025-S44</c:v>
                </c:pt>
                <c:pt idx="69">
                  <c:v>2025-S45</c:v>
                </c:pt>
                <c:pt idx="70">
                  <c:v>2025-S46</c:v>
                </c:pt>
                <c:pt idx="71">
                  <c:v>2025-S47</c:v>
                </c:pt>
                <c:pt idx="72">
                  <c:v>2025-S48</c:v>
                </c:pt>
                <c:pt idx="73">
                  <c:v>2025-S49</c:v>
                </c:pt>
                <c:pt idx="74">
                  <c:v>2025-S50</c:v>
                </c:pt>
                <c:pt idx="75">
                  <c:v>2025-S51</c:v>
                </c:pt>
                <c:pt idx="76">
                  <c:v>2025-S52</c:v>
                </c:pt>
                <c:pt idx="77">
                  <c:v>2025-S53</c:v>
                </c:pt>
                <c:pt idx="78">
                  <c:v>2026-S01</c:v>
                </c:pt>
                <c:pt idx="79">
                  <c:v>2026-S02</c:v>
                </c:pt>
                <c:pt idx="80">
                  <c:v>2026-S03</c:v>
                </c:pt>
                <c:pt idx="81">
                  <c:v>2026-S04</c:v>
                </c:pt>
                <c:pt idx="82">
                  <c:v>2026-S05</c:v>
                </c:pt>
                <c:pt idx="83">
                  <c:v>2026-S06</c:v>
                </c:pt>
                <c:pt idx="84">
                  <c:v>2026-S07</c:v>
                </c:pt>
                <c:pt idx="85">
                  <c:v>2026-S08</c:v>
                </c:pt>
                <c:pt idx="86">
                  <c:v>2026-S09</c:v>
                </c:pt>
                <c:pt idx="87">
                  <c:v>2026-S10</c:v>
                </c:pt>
                <c:pt idx="88">
                  <c:v>2026-S11</c:v>
                </c:pt>
                <c:pt idx="89">
                  <c:v>2026-S12</c:v>
                </c:pt>
                <c:pt idx="90">
                  <c:v>2026-S13</c:v>
                </c:pt>
                <c:pt idx="91">
                  <c:v>2026-S14</c:v>
                </c:pt>
                <c:pt idx="92">
                  <c:v>2026-S15</c:v>
                </c:pt>
                <c:pt idx="93">
                  <c:v>2026-S16</c:v>
                </c:pt>
                <c:pt idx="94">
                  <c:v>2026-S17</c:v>
                </c:pt>
                <c:pt idx="95">
                  <c:v>2026-S18</c:v>
                </c:pt>
                <c:pt idx="96">
                  <c:v>2026-S19</c:v>
                </c:pt>
                <c:pt idx="97">
                  <c:v>2026-S20</c:v>
                </c:pt>
                <c:pt idx="98">
                  <c:v>2026-S21</c:v>
                </c:pt>
                <c:pt idx="99">
                  <c:v>2026-S22</c:v>
                </c:pt>
                <c:pt idx="100">
                  <c:v>2026-S23</c:v>
                </c:pt>
                <c:pt idx="101">
                  <c:v>2026-S24</c:v>
                </c:pt>
                <c:pt idx="102">
                  <c:v>2026-S25</c:v>
                </c:pt>
                <c:pt idx="103">
                  <c:v>2026-S26</c:v>
                </c:pt>
                <c:pt idx="104">
                  <c:v>2026-S27</c:v>
                </c:pt>
                <c:pt idx="105">
                  <c:v>2026-S28</c:v>
                </c:pt>
                <c:pt idx="106">
                  <c:v>2026-S29</c:v>
                </c:pt>
              </c:strCache>
            </c:strRef>
          </c:cat>
          <c:val>
            <c:numRef>
              <c:f>Análise_Variação!$I$3:$I$109</c:f>
              <c:numCache>
                <c:formatCode>0.00%</c:formatCode>
                <c:ptCount val="107"/>
                <c:pt idx="0">
                  <c:v>0</c:v>
                </c:pt>
                <c:pt idx="1">
                  <c:v>3.276131045241823E-2</c:v>
                </c:pt>
                <c:pt idx="2">
                  <c:v>1.2235649546827829E-2</c:v>
                </c:pt>
                <c:pt idx="3">
                  <c:v>-2.5817042232502668E-2</c:v>
                </c:pt>
                <c:pt idx="4">
                  <c:v>-1.1182598039215747E-2</c:v>
                </c:pt>
                <c:pt idx="5">
                  <c:v>1.1309062742060481E-2</c:v>
                </c:pt>
                <c:pt idx="6">
                  <c:v>2.4356617647058876E-2</c:v>
                </c:pt>
                <c:pt idx="7">
                  <c:v>2.0936144758486486E-2</c:v>
                </c:pt>
                <c:pt idx="8">
                  <c:v>2.6219422879742292E-2</c:v>
                </c:pt>
                <c:pt idx="9">
                  <c:v>7.1367399371962824E-4</c:v>
                </c:pt>
                <c:pt idx="10">
                  <c:v>1.2551704464413E-2</c:v>
                </c:pt>
                <c:pt idx="11">
                  <c:v>-1.000140864910542E-2</c:v>
                </c:pt>
                <c:pt idx="12">
                  <c:v>7.1143995446784286E-3</c:v>
                </c:pt>
                <c:pt idx="13">
                  <c:v>1.1020062164453252E-2</c:v>
                </c:pt>
                <c:pt idx="14">
                  <c:v>4.7652319731693635E-2</c:v>
                </c:pt>
                <c:pt idx="15">
                  <c:v>6.8027210884354424E-3</c:v>
                </c:pt>
                <c:pt idx="16">
                  <c:v>1.1261261261261186E-2</c:v>
                </c:pt>
                <c:pt idx="17">
                  <c:v>-1.0480807022140668E-2</c:v>
                </c:pt>
                <c:pt idx="18">
                  <c:v>-3.230504435323709E-2</c:v>
                </c:pt>
                <c:pt idx="19">
                  <c:v>-6.4304282391571873E-3</c:v>
                </c:pt>
                <c:pt idx="20">
                  <c:v>3.2084825117047619E-2</c:v>
                </c:pt>
                <c:pt idx="21">
                  <c:v>7.2048032021346502E-3</c:v>
                </c:pt>
                <c:pt idx="22">
                  <c:v>-1.5233805802092881E-2</c:v>
                </c:pt>
                <c:pt idx="23">
                  <c:v>-1.8832391713747721E-3</c:v>
                </c:pt>
                <c:pt idx="24">
                  <c:v>6.6037735849055913E-3</c:v>
                </c:pt>
                <c:pt idx="25">
                  <c:v>-1.2853126255188028E-2</c:v>
                </c:pt>
                <c:pt idx="26">
                  <c:v>4.2994710429947125E-2</c:v>
                </c:pt>
                <c:pt idx="27">
                  <c:v>-1.5994798439531908E-2</c:v>
                </c:pt>
                <c:pt idx="28">
                  <c:v>-2.0219373595876847E-2</c:v>
                </c:pt>
                <c:pt idx="29">
                  <c:v>4.5859185325061152E-3</c:v>
                </c:pt>
                <c:pt idx="30">
                  <c:v>3.4505907626208282E-2</c:v>
                </c:pt>
                <c:pt idx="31">
                  <c:v>3.2965606748864458E-2</c:v>
                </c:pt>
                <c:pt idx="32">
                  <c:v>5.4906395275788292E-2</c:v>
                </c:pt>
                <c:pt idx="33">
                  <c:v>1.8103858980467014E-2</c:v>
                </c:pt>
                <c:pt idx="34">
                  <c:v>-6.7852129153018045E-3</c:v>
                </c:pt>
                <c:pt idx="35">
                  <c:v>1.9316843345111901E-2</c:v>
                </c:pt>
                <c:pt idx="36">
                  <c:v>-2.1955165241508198E-3</c:v>
                </c:pt>
                <c:pt idx="37">
                  <c:v>-3.0920671685002753E-2</c:v>
                </c:pt>
                <c:pt idx="38">
                  <c:v>-1.0277246653919856E-2</c:v>
                </c:pt>
                <c:pt idx="39">
                  <c:v>3.8517266360782565E-2</c:v>
                </c:pt>
                <c:pt idx="40">
                  <c:v>-3.2670619695384283E-2</c:v>
                </c:pt>
                <c:pt idx="41">
                  <c:v>5.5288461538460787E-3</c:v>
                </c:pt>
                <c:pt idx="42">
                  <c:v>-6.454697585464882E-3</c:v>
                </c:pt>
                <c:pt idx="43">
                  <c:v>-3.9942252165543882E-2</c:v>
                </c:pt>
                <c:pt idx="44">
                  <c:v>-1.8922305764410913E-2</c:v>
                </c:pt>
                <c:pt idx="45">
                  <c:v>4.726018648614003E-3</c:v>
                </c:pt>
                <c:pt idx="46">
                  <c:v>1.3984235952199267E-3</c:v>
                </c:pt>
                <c:pt idx="47">
                  <c:v>1.7646312047733918E-2</c:v>
                </c:pt>
                <c:pt idx="48">
                  <c:v>-2.1956087824351184E-2</c:v>
                </c:pt>
                <c:pt idx="49">
                  <c:v>-8.5459183673469597E-3</c:v>
                </c:pt>
                <c:pt idx="50">
                  <c:v>-2.0584073073459521E-2</c:v>
                </c:pt>
                <c:pt idx="51">
                  <c:v>-2.627085248916178E-3</c:v>
                </c:pt>
                <c:pt idx="52">
                  <c:v>2.9500856051626428E-2</c:v>
                </c:pt>
                <c:pt idx="53">
                  <c:v>2.4305999744147263E-2</c:v>
                </c:pt>
                <c:pt idx="54">
                  <c:v>2.9973772948671054E-3</c:v>
                </c:pt>
                <c:pt idx="55">
                  <c:v>1.9922799153280966E-2</c:v>
                </c:pt>
                <c:pt idx="56">
                  <c:v>-2.6370406543767509E-2</c:v>
                </c:pt>
                <c:pt idx="57">
                  <c:v>-5.8934169278996723E-3</c:v>
                </c:pt>
                <c:pt idx="58">
                  <c:v>1.9929364278506539E-2</c:v>
                </c:pt>
                <c:pt idx="59">
                  <c:v>-9.7699727924809091E-3</c:v>
                </c:pt>
                <c:pt idx="60">
                  <c:v>-1.0116148370175947E-2</c:v>
                </c:pt>
                <c:pt idx="61">
                  <c:v>1.7663386323492375E-3</c:v>
                </c:pt>
                <c:pt idx="62">
                  <c:v>-1.2468513853904396E-2</c:v>
                </c:pt>
                <c:pt idx="63">
                  <c:v>-1.7089656931513882E-2</c:v>
                </c:pt>
                <c:pt idx="64">
                  <c:v>-3.1140521603736202E-3</c:v>
                </c:pt>
                <c:pt idx="65">
                  <c:v>2.8504490433424415E-2</c:v>
                </c:pt>
                <c:pt idx="66">
                  <c:v>8.7319665907364934E-3</c:v>
                </c:pt>
                <c:pt idx="67">
                  <c:v>-1.8567306486011667E-2</c:v>
                </c:pt>
                <c:pt idx="68">
                  <c:v>1.2527163492266263E-2</c:v>
                </c:pt>
                <c:pt idx="69">
                  <c:v>-4.6711273829060772E-3</c:v>
                </c:pt>
                <c:pt idx="70">
                  <c:v>7.8640284119734939E-3</c:v>
                </c:pt>
                <c:pt idx="71">
                  <c:v>3.5237855524792496E-3</c:v>
                </c:pt>
                <c:pt idx="72">
                  <c:v>2.8216704288939055E-2</c:v>
                </c:pt>
                <c:pt idx="73">
                  <c:v>1.1464812782046738E-2</c:v>
                </c:pt>
                <c:pt idx="74">
                  <c:v>-2.773423369106489E-2</c:v>
                </c:pt>
                <c:pt idx="75">
                  <c:v>-1.4510728016867192E-2</c:v>
                </c:pt>
                <c:pt idx="76">
                  <c:v>-1.2207399949660193E-2</c:v>
                </c:pt>
                <c:pt idx="77">
                  <c:v>2.1658810039495695E-3</c:v>
                </c:pt>
                <c:pt idx="78">
                  <c:v>-4.0681413679124487E-3</c:v>
                </c:pt>
                <c:pt idx="79">
                  <c:v>-2.0551442430431444E-2</c:v>
                </c:pt>
                <c:pt idx="80">
                  <c:v>-2.306790043007963E-2</c:v>
                </c:pt>
                <c:pt idx="81">
                  <c:v>-3.3217716115261406E-2</c:v>
                </c:pt>
                <c:pt idx="82">
                  <c:v>4.6915965226990951E-3</c:v>
                </c:pt>
                <c:pt idx="83">
                  <c:v>-2.6095316577392901E-3</c:v>
                </c:pt>
                <c:pt idx="84">
                  <c:v>3.0845497108234574E-2</c:v>
                </c:pt>
                <c:pt idx="85">
                  <c:v>1.2556772642265531E-2</c:v>
                </c:pt>
                <c:pt idx="86">
                  <c:v>3.9577836411609129E-3</c:v>
                </c:pt>
                <c:pt idx="87">
                  <c:v>1.7082785808147326E-2</c:v>
                </c:pt>
                <c:pt idx="88">
                  <c:v>6.2015503875967664E-3</c:v>
                </c:pt>
                <c:pt idx="89">
                  <c:v>-4.3913713405238856E-2</c:v>
                </c:pt>
                <c:pt idx="90">
                  <c:v>2.5517056137525107E-3</c:v>
                </c:pt>
                <c:pt idx="91">
                  <c:v>-6.2960482250502183E-3</c:v>
                </c:pt>
                <c:pt idx="92">
                  <c:v>-4.8126179563224687E-2</c:v>
                </c:pt>
                <c:pt idx="93">
                  <c:v>-3.7530094887409798E-2</c:v>
                </c:pt>
                <c:pt idx="94">
                  <c:v>5.0618010594467515E-2</c:v>
                </c:pt>
                <c:pt idx="95">
                  <c:v>2.8011204481791121E-3</c:v>
                </c:pt>
                <c:pt idx="96">
                  <c:v>-2.6256983240223401E-2</c:v>
                </c:pt>
                <c:pt idx="97">
                  <c:v>-1.2908777969019422E-3</c:v>
                </c:pt>
                <c:pt idx="98">
                  <c:v>4.4521039781703622E-3</c:v>
                </c:pt>
                <c:pt idx="99">
                  <c:v>-2.6308264226479888E-2</c:v>
                </c:pt>
                <c:pt idx="100">
                  <c:v>1.0279001468428825E-2</c:v>
                </c:pt>
                <c:pt idx="101">
                  <c:v>-2.8633720930232542E-2</c:v>
                </c:pt>
                <c:pt idx="102">
                  <c:v>-4.4890019452343465E-4</c:v>
                </c:pt>
                <c:pt idx="103">
                  <c:v>1.7365269461077793E-2</c:v>
                </c:pt>
                <c:pt idx="104">
                  <c:v>-1.4125956444967537E-2</c:v>
                </c:pt>
                <c:pt idx="105">
                  <c:v>3.7313432835820895E-3</c:v>
                </c:pt>
                <c:pt idx="106">
                  <c:v>2.3048327137546426E-2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9-419A-9AC9-D212D565B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390063"/>
        <c:axId val="1092431487"/>
      </c:barChart>
      <c:catAx>
        <c:axId val="173939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31487"/>
        <c:crosses val="autoZero"/>
        <c:auto val="1"/>
        <c:lblAlgn val="ctr"/>
        <c:lblOffset val="100"/>
        <c:tickLblSkip val="10"/>
        <c:noMultiLvlLbl val="0"/>
      </c:catAx>
      <c:valAx>
        <c:axId val="109243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 Semanal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Drawdown</c:v>
          </c:tx>
          <c:spPr>
            <a:solidFill>
              <a:srgbClr val="C00000"/>
            </a:solidFill>
            <a:ln>
              <a:noFill/>
            </a:ln>
            <a:effectLst/>
          </c:spPr>
          <c:cat>
            <c:strRef>
              <c:f>Análise_Variação!$G$3:$G$109</c:f>
              <c:strCache>
                <c:ptCount val="107"/>
                <c:pt idx="0">
                  <c:v>2024-S29</c:v>
                </c:pt>
                <c:pt idx="1">
                  <c:v>2024-S30</c:v>
                </c:pt>
                <c:pt idx="2">
                  <c:v>2024-S31</c:v>
                </c:pt>
                <c:pt idx="3">
                  <c:v>2024-S32</c:v>
                </c:pt>
                <c:pt idx="4">
                  <c:v>2024-S33</c:v>
                </c:pt>
                <c:pt idx="5">
                  <c:v>2024-S34</c:v>
                </c:pt>
                <c:pt idx="6">
                  <c:v>2024-S35</c:v>
                </c:pt>
                <c:pt idx="7">
                  <c:v>2024-S36</c:v>
                </c:pt>
                <c:pt idx="8">
                  <c:v>2024-S37</c:v>
                </c:pt>
                <c:pt idx="9">
                  <c:v>2024-S38</c:v>
                </c:pt>
                <c:pt idx="10">
                  <c:v>2024-S39</c:v>
                </c:pt>
                <c:pt idx="11">
                  <c:v>2024-S40</c:v>
                </c:pt>
                <c:pt idx="12">
                  <c:v>2024-S41</c:v>
                </c:pt>
                <c:pt idx="13">
                  <c:v>2024-S42</c:v>
                </c:pt>
                <c:pt idx="14">
                  <c:v>2024-S43</c:v>
                </c:pt>
                <c:pt idx="15">
                  <c:v>2024-S44</c:v>
                </c:pt>
                <c:pt idx="16">
                  <c:v>2024-S45</c:v>
                </c:pt>
                <c:pt idx="17">
                  <c:v>2024-S46</c:v>
                </c:pt>
                <c:pt idx="18">
                  <c:v>2024-S47</c:v>
                </c:pt>
                <c:pt idx="19">
                  <c:v>2024-S48</c:v>
                </c:pt>
                <c:pt idx="20">
                  <c:v>2024-S49</c:v>
                </c:pt>
                <c:pt idx="21">
                  <c:v>2024-S50</c:v>
                </c:pt>
                <c:pt idx="22">
                  <c:v>2024-S51</c:v>
                </c:pt>
                <c:pt idx="23">
                  <c:v>2024-S52</c:v>
                </c:pt>
                <c:pt idx="24">
                  <c:v>2024-S53</c:v>
                </c:pt>
                <c:pt idx="25">
                  <c:v>2025-S01</c:v>
                </c:pt>
                <c:pt idx="26">
                  <c:v>2025-S02</c:v>
                </c:pt>
                <c:pt idx="27">
                  <c:v>2025-S03</c:v>
                </c:pt>
                <c:pt idx="28">
                  <c:v>2025-S04</c:v>
                </c:pt>
                <c:pt idx="29">
                  <c:v>2025-S05</c:v>
                </c:pt>
                <c:pt idx="30">
                  <c:v>2025-S06</c:v>
                </c:pt>
                <c:pt idx="31">
                  <c:v>2025-S07</c:v>
                </c:pt>
                <c:pt idx="32">
                  <c:v>2025-S08</c:v>
                </c:pt>
                <c:pt idx="33">
                  <c:v>2025-S09</c:v>
                </c:pt>
                <c:pt idx="34">
                  <c:v>2025-S10</c:v>
                </c:pt>
                <c:pt idx="35">
                  <c:v>2025-S11</c:v>
                </c:pt>
                <c:pt idx="36">
                  <c:v>2025-S12</c:v>
                </c:pt>
                <c:pt idx="37">
                  <c:v>2025-S13</c:v>
                </c:pt>
                <c:pt idx="38">
                  <c:v>2025-S14</c:v>
                </c:pt>
                <c:pt idx="39">
                  <c:v>2025-S15</c:v>
                </c:pt>
                <c:pt idx="40">
                  <c:v>2025-S16</c:v>
                </c:pt>
                <c:pt idx="41">
                  <c:v>2025-S17</c:v>
                </c:pt>
                <c:pt idx="42">
                  <c:v>2025-S18</c:v>
                </c:pt>
                <c:pt idx="43">
                  <c:v>2025-S19</c:v>
                </c:pt>
                <c:pt idx="44">
                  <c:v>2025-S20</c:v>
                </c:pt>
                <c:pt idx="45">
                  <c:v>2025-S21</c:v>
                </c:pt>
                <c:pt idx="46">
                  <c:v>2025-S22</c:v>
                </c:pt>
                <c:pt idx="47">
                  <c:v>2025-S23</c:v>
                </c:pt>
                <c:pt idx="48">
                  <c:v>2025-S24</c:v>
                </c:pt>
                <c:pt idx="49">
                  <c:v>2025-S25</c:v>
                </c:pt>
                <c:pt idx="50">
                  <c:v>2025-S26</c:v>
                </c:pt>
                <c:pt idx="51">
                  <c:v>2025-S27</c:v>
                </c:pt>
                <c:pt idx="52">
                  <c:v>2025-S28</c:v>
                </c:pt>
                <c:pt idx="53">
                  <c:v>2025-S29</c:v>
                </c:pt>
                <c:pt idx="54">
                  <c:v>2025-S30</c:v>
                </c:pt>
                <c:pt idx="55">
                  <c:v>2025-S31</c:v>
                </c:pt>
                <c:pt idx="56">
                  <c:v>2025-S32</c:v>
                </c:pt>
                <c:pt idx="57">
                  <c:v>2025-S33</c:v>
                </c:pt>
                <c:pt idx="58">
                  <c:v>2025-S34</c:v>
                </c:pt>
                <c:pt idx="59">
                  <c:v>2025-S35</c:v>
                </c:pt>
                <c:pt idx="60">
                  <c:v>2025-S36</c:v>
                </c:pt>
                <c:pt idx="61">
                  <c:v>2025-S37</c:v>
                </c:pt>
                <c:pt idx="62">
                  <c:v>2025-S38</c:v>
                </c:pt>
                <c:pt idx="63">
                  <c:v>2025-S39</c:v>
                </c:pt>
                <c:pt idx="64">
                  <c:v>2025-S40</c:v>
                </c:pt>
                <c:pt idx="65">
                  <c:v>2025-S41</c:v>
                </c:pt>
                <c:pt idx="66">
                  <c:v>2025-S42</c:v>
                </c:pt>
                <c:pt idx="67">
                  <c:v>2025-S43</c:v>
                </c:pt>
                <c:pt idx="68">
                  <c:v>2025-S44</c:v>
                </c:pt>
                <c:pt idx="69">
                  <c:v>2025-S45</c:v>
                </c:pt>
                <c:pt idx="70">
                  <c:v>2025-S46</c:v>
                </c:pt>
                <c:pt idx="71">
                  <c:v>2025-S47</c:v>
                </c:pt>
                <c:pt idx="72">
                  <c:v>2025-S48</c:v>
                </c:pt>
                <c:pt idx="73">
                  <c:v>2025-S49</c:v>
                </c:pt>
                <c:pt idx="74">
                  <c:v>2025-S50</c:v>
                </c:pt>
                <c:pt idx="75">
                  <c:v>2025-S51</c:v>
                </c:pt>
                <c:pt idx="76">
                  <c:v>2025-S52</c:v>
                </c:pt>
                <c:pt idx="77">
                  <c:v>2025-S53</c:v>
                </c:pt>
                <c:pt idx="78">
                  <c:v>2026-S01</c:v>
                </c:pt>
                <c:pt idx="79">
                  <c:v>2026-S02</c:v>
                </c:pt>
                <c:pt idx="80">
                  <c:v>2026-S03</c:v>
                </c:pt>
                <c:pt idx="81">
                  <c:v>2026-S04</c:v>
                </c:pt>
                <c:pt idx="82">
                  <c:v>2026-S05</c:v>
                </c:pt>
                <c:pt idx="83">
                  <c:v>2026-S06</c:v>
                </c:pt>
                <c:pt idx="84">
                  <c:v>2026-S07</c:v>
                </c:pt>
                <c:pt idx="85">
                  <c:v>2026-S08</c:v>
                </c:pt>
                <c:pt idx="86">
                  <c:v>2026-S09</c:v>
                </c:pt>
                <c:pt idx="87">
                  <c:v>2026-S10</c:v>
                </c:pt>
                <c:pt idx="88">
                  <c:v>2026-S11</c:v>
                </c:pt>
                <c:pt idx="89">
                  <c:v>2026-S12</c:v>
                </c:pt>
                <c:pt idx="90">
                  <c:v>2026-S13</c:v>
                </c:pt>
                <c:pt idx="91">
                  <c:v>2026-S14</c:v>
                </c:pt>
                <c:pt idx="92">
                  <c:v>2026-S15</c:v>
                </c:pt>
                <c:pt idx="93">
                  <c:v>2026-S16</c:v>
                </c:pt>
                <c:pt idx="94">
                  <c:v>2026-S17</c:v>
                </c:pt>
                <c:pt idx="95">
                  <c:v>2026-S18</c:v>
                </c:pt>
                <c:pt idx="96">
                  <c:v>2026-S19</c:v>
                </c:pt>
                <c:pt idx="97">
                  <c:v>2026-S20</c:v>
                </c:pt>
                <c:pt idx="98">
                  <c:v>2026-S21</c:v>
                </c:pt>
                <c:pt idx="99">
                  <c:v>2026-S22</c:v>
                </c:pt>
                <c:pt idx="100">
                  <c:v>2026-S23</c:v>
                </c:pt>
                <c:pt idx="101">
                  <c:v>2026-S24</c:v>
                </c:pt>
                <c:pt idx="102">
                  <c:v>2026-S25</c:v>
                </c:pt>
                <c:pt idx="103">
                  <c:v>2026-S26</c:v>
                </c:pt>
                <c:pt idx="104">
                  <c:v>2026-S27</c:v>
                </c:pt>
                <c:pt idx="105">
                  <c:v>2026-S28</c:v>
                </c:pt>
                <c:pt idx="106">
                  <c:v>2026-S29</c:v>
                </c:pt>
              </c:strCache>
            </c:strRef>
          </c:cat>
          <c:val>
            <c:numRef>
              <c:f>Análise_Variação!$K$3:$K$109</c:f>
              <c:numCache>
                <c:formatCode>0.00%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-2.5817042232502668E-2</c:v>
                </c:pt>
                <c:pt idx="4">
                  <c:v>-3.6710938665870885E-2</c:v>
                </c:pt>
                <c:pt idx="5">
                  <c:v>-2.5817042232502668E-2</c:v>
                </c:pt>
                <c:pt idx="6">
                  <c:v>-2.0892404118788323E-3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-1.000140864910542E-2</c:v>
                </c:pt>
                <c:pt idx="12">
                  <c:v>-2.9581631215663301E-3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-1.0480807022140668E-2</c:v>
                </c:pt>
                <c:pt idx="18">
                  <c:v>-4.244726843966979E-2</c:v>
                </c:pt>
                <c:pt idx="19">
                  <c:v>-4.8604742565177439E-2</c:v>
                </c:pt>
                <c:pt idx="20">
                  <c:v>-1.8079392113192656E-2</c:v>
                </c:pt>
                <c:pt idx="21">
                  <c:v>-1.1004847373247785E-2</c:v>
                </c:pt>
                <c:pt idx="22">
                  <c:v>-2.6071007467574937E-2</c:v>
                </c:pt>
                <c:pt idx="23">
                  <c:v>-2.7905148696449569E-2</c:v>
                </c:pt>
                <c:pt idx="24">
                  <c:v>-2.1485654395388454E-2</c:v>
                </c:pt>
                <c:pt idx="25">
                  <c:v>-3.4062622821957218E-2</c:v>
                </c:pt>
                <c:pt idx="26">
                  <c:v>0</c:v>
                </c:pt>
                <c:pt idx="27">
                  <c:v>-1.5994798439531908E-2</c:v>
                </c:pt>
                <c:pt idx="28">
                  <c:v>-3.5890767230169117E-2</c:v>
                </c:pt>
                <c:pt idx="29">
                  <c:v>-3.1469440832249694E-2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-6.7852129153018045E-3</c:v>
                </c:pt>
                <c:pt idx="35">
                  <c:v>0</c:v>
                </c:pt>
                <c:pt idx="36">
                  <c:v>-2.1955165241508198E-3</c:v>
                </c:pt>
                <c:pt idx="37">
                  <c:v>-3.3048301363531304E-2</c:v>
                </c:pt>
                <c:pt idx="38">
                  <c:v>-4.2985902472845075E-2</c:v>
                </c:pt>
                <c:pt idx="39">
                  <c:v>-6.1243355673677039E-3</c:v>
                </c:pt>
                <c:pt idx="40">
                  <c:v>-3.8594869424543599E-2</c:v>
                </c:pt>
                <c:pt idx="41">
                  <c:v>-3.3279408366073598E-2</c:v>
                </c:pt>
                <c:pt idx="42">
                  <c:v>-3.9519297434712289E-2</c:v>
                </c:pt>
                <c:pt idx="43">
                  <c:v>-7.788305985671376E-2</c:v>
                </c:pt>
                <c:pt idx="44">
                  <c:v>-9.5331638548648012E-2</c:v>
                </c:pt>
                <c:pt idx="45">
                  <c:v>-9.1056159001617856E-2</c:v>
                </c:pt>
                <c:pt idx="46">
                  <c:v>-8.9785070487635885E-2</c:v>
                </c:pt>
                <c:pt idx="47">
                  <c:v>-7.3723133810954578E-2</c:v>
                </c:pt>
                <c:pt idx="48">
                  <c:v>-9.4060550034666054E-2</c:v>
                </c:pt>
                <c:pt idx="49">
                  <c:v>-0.101802634619829</c:v>
                </c:pt>
                <c:pt idx="50">
                  <c:v>-0.12029119482320326</c:v>
                </c:pt>
                <c:pt idx="51">
                  <c:v>-0.1226022648486249</c:v>
                </c:pt>
                <c:pt idx="52">
                  <c:v>-9.6718280563901138E-2</c:v>
                </c:pt>
                <c:pt idx="53">
                  <c:v>-7.4763115322394408E-2</c:v>
                </c:pt>
                <c:pt idx="54">
                  <c:v>-7.1989831291888184E-2</c:v>
                </c:pt>
                <c:pt idx="55">
                  <c:v>-5.3501271088514088E-2</c:v>
                </c:pt>
                <c:pt idx="56">
                  <c:v>-7.8460827363069169E-2</c:v>
                </c:pt>
                <c:pt idx="57">
                  <c:v>-8.3891841922810309E-2</c:v>
                </c:pt>
                <c:pt idx="58">
                  <c:v>-6.5634388721978354E-2</c:v>
                </c:pt>
                <c:pt idx="59">
                  <c:v>-7.4763115322394408E-2</c:v>
                </c:pt>
                <c:pt idx="60">
                  <c:v>-8.412294892535245E-2</c:v>
                </c:pt>
                <c:pt idx="61">
                  <c:v>-8.2505199907557197E-2</c:v>
                </c:pt>
                <c:pt idx="62">
                  <c:v>-9.3944996533395067E-2</c:v>
                </c:pt>
                <c:pt idx="63">
                  <c:v>-0.10942916570372097</c:v>
                </c:pt>
                <c:pt idx="64">
                  <c:v>-0.11220244973422704</c:v>
                </c:pt>
                <c:pt idx="65">
                  <c:v>-8.6896232955858674E-2</c:v>
                </c:pt>
                <c:pt idx="66">
                  <c:v>-7.892304136815359E-2</c:v>
                </c:pt>
                <c:pt idx="67">
                  <c:v>-9.6024959556274575E-2</c:v>
                </c:pt>
                <c:pt idx="68">
                  <c:v>-8.4700716431708026E-2</c:v>
                </c:pt>
                <c:pt idx="69">
                  <c:v>-8.8976195978738182E-2</c:v>
                </c:pt>
                <c:pt idx="70">
                  <c:v>-8.1811878899930801E-2</c:v>
                </c:pt>
                <c:pt idx="71">
                  <c:v>-7.8576380864340309E-2</c:v>
                </c:pt>
                <c:pt idx="72">
                  <c:v>-5.2576843078345405E-2</c:v>
                </c:pt>
                <c:pt idx="73">
                  <c:v>-4.1714813958862944E-2</c:v>
                </c:pt>
                <c:pt idx="74">
                  <c:v>-6.8292119251213437E-2</c:v>
                </c:pt>
                <c:pt idx="75">
                  <c:v>-8.1811878899930801E-2</c:v>
                </c:pt>
                <c:pt idx="76">
                  <c:v>-9.3020568523226377E-2</c:v>
                </c:pt>
                <c:pt idx="77">
                  <c:v>-9.1056159001617856E-2</c:v>
                </c:pt>
                <c:pt idx="78">
                  <c:v>-9.4753871042292603E-2</c:v>
                </c:pt>
                <c:pt idx="79">
                  <c:v>-0.11335798474693785</c:v>
                </c:pt>
                <c:pt idx="80">
                  <c:v>-0.13381095447192062</c:v>
                </c:pt>
                <c:pt idx="81">
                  <c:v>-0.16258377628842161</c:v>
                </c:pt>
                <c:pt idx="82">
                  <c:v>-0.15865495724520456</c:v>
                </c:pt>
                <c:pt idx="83">
                  <c:v>-0.16085047376935521</c:v>
                </c:pt>
                <c:pt idx="84">
                  <c:v>-0.13496648948463144</c:v>
                </c:pt>
                <c:pt idx="85">
                  <c:v>-0.12410446036514916</c:v>
                </c:pt>
                <c:pt idx="86">
                  <c:v>-0.12063785532701654</c:v>
                </c:pt>
                <c:pt idx="87">
                  <c:v>-0.1056159001617749</c:v>
                </c:pt>
                <c:pt idx="88">
                  <c:v>-0.10006933210076277</c:v>
                </c:pt>
                <c:pt idx="89">
                  <c:v>-0.13958862953547507</c:v>
                </c:pt>
                <c:pt idx="90">
                  <c:v>-0.13739311301132423</c:v>
                </c:pt>
                <c:pt idx="91">
                  <c:v>-0.14282412757106538</c:v>
                </c:pt>
                <c:pt idx="92">
                  <c:v>-0.18407672752484408</c:v>
                </c:pt>
                <c:pt idx="93">
                  <c:v>-0.21469840536168258</c:v>
                </c:pt>
                <c:pt idx="94">
                  <c:v>-0.174948000924428</c:v>
                </c:pt>
                <c:pt idx="95">
                  <c:v>-0.17263693089900636</c:v>
                </c:pt>
                <c:pt idx="96">
                  <c:v>-0.19436098913797095</c:v>
                </c:pt>
                <c:pt idx="97">
                  <c:v>-0.19540097064941078</c:v>
                </c:pt>
                <c:pt idx="98">
                  <c:v>-0.19181881211000701</c:v>
                </c:pt>
                <c:pt idx="99">
                  <c:v>-0.21308065634388734</c:v>
                </c:pt>
                <c:pt idx="100">
                  <c:v>-0.20499191125491112</c:v>
                </c:pt>
                <c:pt idx="101">
                  <c:v>-0.22775595100531554</c:v>
                </c:pt>
                <c:pt idx="102">
                  <c:v>-0.22810261150912881</c:v>
                </c:pt>
                <c:pt idx="103">
                  <c:v>-0.21469840536168258</c:v>
                </c:pt>
                <c:pt idx="104">
                  <c:v>-0.225791541483707</c:v>
                </c:pt>
                <c:pt idx="105">
                  <c:v>-0.22290270395192979</c:v>
                </c:pt>
                <c:pt idx="106">
                  <c:v>-0.20499191125491112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6-4894-8C11-4657E5265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644959"/>
        <c:axId val="1092434367"/>
      </c:areaChart>
      <c:catAx>
        <c:axId val="1089644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34367"/>
        <c:crosses val="autoZero"/>
        <c:auto val="1"/>
        <c:lblAlgn val="ctr"/>
        <c:lblOffset val="100"/>
        <c:tickLblSkip val="10"/>
        <c:noMultiLvlLbl val="0"/>
      </c:catAx>
      <c:valAx>
        <c:axId val="109243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4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Mensal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Variação Mensal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Análise_Variação!$M$3:$M$27</c:f>
              <c:strCache>
                <c:ptCount val="25"/>
                <c:pt idx="0">
                  <c:v>jul/24</c:v>
                </c:pt>
                <c:pt idx="1">
                  <c:v>Ago/2024</c:v>
                </c:pt>
                <c:pt idx="2">
                  <c:v>Set/2024</c:v>
                </c:pt>
                <c:pt idx="3">
                  <c:v>Out/2024</c:v>
                </c:pt>
                <c:pt idx="4">
                  <c:v>nov/24</c:v>
                </c:pt>
                <c:pt idx="5">
                  <c:v>Dez/2024</c:v>
                </c:pt>
                <c:pt idx="6">
                  <c:v>jan/25</c:v>
                </c:pt>
                <c:pt idx="7">
                  <c:v>Fev/2025</c:v>
                </c:pt>
                <c:pt idx="8">
                  <c:v>mar/25</c:v>
                </c:pt>
                <c:pt idx="9">
                  <c:v>Abr/2025</c:v>
                </c:pt>
                <c:pt idx="10">
                  <c:v>Mai/2025</c:v>
                </c:pt>
                <c:pt idx="11">
                  <c:v>jun/25</c:v>
                </c:pt>
                <c:pt idx="12">
                  <c:v>jul/25</c:v>
                </c:pt>
                <c:pt idx="13">
                  <c:v>Ago/2025</c:v>
                </c:pt>
                <c:pt idx="14">
                  <c:v>Set/2025</c:v>
                </c:pt>
                <c:pt idx="15">
                  <c:v>Out/2025</c:v>
                </c:pt>
                <c:pt idx="16">
                  <c:v>nov/25</c:v>
                </c:pt>
                <c:pt idx="17">
                  <c:v>Dez/2025</c:v>
                </c:pt>
                <c:pt idx="18">
                  <c:v>jan/26</c:v>
                </c:pt>
                <c:pt idx="19">
                  <c:v>Fev/2026</c:v>
                </c:pt>
                <c:pt idx="20">
                  <c:v>mar/26</c:v>
                </c:pt>
                <c:pt idx="21">
                  <c:v>Abr/2026</c:v>
                </c:pt>
                <c:pt idx="22">
                  <c:v>Mai/2026</c:v>
                </c:pt>
                <c:pt idx="23">
                  <c:v>jun/26</c:v>
                </c:pt>
                <c:pt idx="24">
                  <c:v>jul/26</c:v>
                </c:pt>
              </c:strCache>
            </c:strRef>
          </c:cat>
          <c:val>
            <c:numRef>
              <c:f>Análise_Variação!$O$3:$O$27</c:f>
              <c:numCache>
                <c:formatCode>0.00%</c:formatCode>
                <c:ptCount val="25"/>
                <c:pt idx="0">
                  <c:v>0</c:v>
                </c:pt>
                <c:pt idx="1">
                  <c:v>1.8118148599269149E-2</c:v>
                </c:pt>
                <c:pt idx="2">
                  <c:v>6.6247943771496814E-2</c:v>
                </c:pt>
                <c:pt idx="3">
                  <c:v>5.8625525946704164E-2</c:v>
                </c:pt>
                <c:pt idx="4">
                  <c:v>-3.7890832008479057E-2</c:v>
                </c:pt>
                <c:pt idx="5">
                  <c:v>2.8504544202698885E-2</c:v>
                </c:pt>
                <c:pt idx="6">
                  <c:v>-2.8116213683223156E-3</c:v>
                </c:pt>
                <c:pt idx="7">
                  <c:v>0.14769065520945218</c:v>
                </c:pt>
                <c:pt idx="8">
                  <c:v>-3.1586335985026933E-3</c:v>
                </c:pt>
                <c:pt idx="9">
                  <c:v>-3.3094707193991241E-2</c:v>
                </c:pt>
                <c:pt idx="10">
                  <c:v>-4.3937371040174832E-2</c:v>
                </c:pt>
                <c:pt idx="11">
                  <c:v>-4.3671448521010507E-2</c:v>
                </c:pt>
                <c:pt idx="12">
                  <c:v>8.7348997743262949E-2</c:v>
                </c:pt>
                <c:pt idx="13">
                  <c:v>-2.9666707361738404E-2</c:v>
                </c:pt>
                <c:pt idx="14">
                  <c:v>-3.9758429793658914E-2</c:v>
                </c:pt>
                <c:pt idx="15">
                  <c:v>3.7866876310272544E-2</c:v>
                </c:pt>
                <c:pt idx="16">
                  <c:v>4.9362454235576454E-2</c:v>
                </c:pt>
                <c:pt idx="17">
                  <c:v>-5.3657362848893261E-2</c:v>
                </c:pt>
                <c:pt idx="18">
                  <c:v>-7.4370709382150957E-2</c:v>
                </c:pt>
                <c:pt idx="19">
                  <c:v>4.5186100810328138E-2</c:v>
                </c:pt>
                <c:pt idx="20">
                  <c:v>-3.0617608409986841E-2</c:v>
                </c:pt>
                <c:pt idx="21">
                  <c:v>-2.941575166056665E-2</c:v>
                </c:pt>
                <c:pt idx="22">
                  <c:v>-5.3770949720670314E-2</c:v>
                </c:pt>
                <c:pt idx="23">
                  <c:v>9.0036900369003612E-3</c:v>
                </c:pt>
                <c:pt idx="24">
                  <c:v>6.4365125804563741E-3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4-4439-A7D5-A9AB5EDB9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71871"/>
        <c:axId val="1747995551"/>
      </c:barChart>
      <c:catAx>
        <c:axId val="108967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995551"/>
        <c:crosses val="autoZero"/>
        <c:auto val="1"/>
        <c:lblAlgn val="ctr"/>
        <c:lblOffset val="100"/>
        <c:noMultiLvlLbl val="0"/>
      </c:catAx>
      <c:valAx>
        <c:axId val="174799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7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 Mensal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Drawdown</c:v>
          </c:tx>
          <c:spPr>
            <a:solidFill>
              <a:srgbClr val="C00000"/>
            </a:solidFill>
            <a:ln>
              <a:noFill/>
            </a:ln>
            <a:effectLst/>
          </c:spPr>
          <c:cat>
            <c:strRef>
              <c:f>Análise_Variação!$M$3:$M$27</c:f>
              <c:strCache>
                <c:ptCount val="25"/>
                <c:pt idx="0">
                  <c:v>jul/24</c:v>
                </c:pt>
                <c:pt idx="1">
                  <c:v>Ago/2024</c:v>
                </c:pt>
                <c:pt idx="2">
                  <c:v>Set/2024</c:v>
                </c:pt>
                <c:pt idx="3">
                  <c:v>Out/2024</c:v>
                </c:pt>
                <c:pt idx="4">
                  <c:v>nov/24</c:v>
                </c:pt>
                <c:pt idx="5">
                  <c:v>Dez/2024</c:v>
                </c:pt>
                <c:pt idx="6">
                  <c:v>jan/25</c:v>
                </c:pt>
                <c:pt idx="7">
                  <c:v>Fev/2025</c:v>
                </c:pt>
                <c:pt idx="8">
                  <c:v>mar/25</c:v>
                </c:pt>
                <c:pt idx="9">
                  <c:v>Abr/2025</c:v>
                </c:pt>
                <c:pt idx="10">
                  <c:v>Mai/2025</c:v>
                </c:pt>
                <c:pt idx="11">
                  <c:v>jun/25</c:v>
                </c:pt>
                <c:pt idx="12">
                  <c:v>jul/25</c:v>
                </c:pt>
                <c:pt idx="13">
                  <c:v>Ago/2025</c:v>
                </c:pt>
                <c:pt idx="14">
                  <c:v>Set/2025</c:v>
                </c:pt>
                <c:pt idx="15">
                  <c:v>Out/2025</c:v>
                </c:pt>
                <c:pt idx="16">
                  <c:v>nov/25</c:v>
                </c:pt>
                <c:pt idx="17">
                  <c:v>Dez/2025</c:v>
                </c:pt>
                <c:pt idx="18">
                  <c:v>jan/26</c:v>
                </c:pt>
                <c:pt idx="19">
                  <c:v>Fev/2026</c:v>
                </c:pt>
                <c:pt idx="20">
                  <c:v>mar/26</c:v>
                </c:pt>
                <c:pt idx="21">
                  <c:v>Abr/2026</c:v>
                </c:pt>
                <c:pt idx="22">
                  <c:v>Mai/2026</c:v>
                </c:pt>
                <c:pt idx="23">
                  <c:v>jun/26</c:v>
                </c:pt>
                <c:pt idx="24">
                  <c:v>jul/26</c:v>
                </c:pt>
              </c:strCache>
            </c:strRef>
          </c:cat>
          <c:val>
            <c:numRef>
              <c:f>Análise_Variação!$Q$3:$Q$27</c:f>
              <c:numCache>
                <c:formatCode>0.00%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-3.7890832008479057E-2</c:v>
                </c:pt>
                <c:pt idx="5">
                  <c:v>-1.0466348701642902E-2</c:v>
                </c:pt>
                <c:pt idx="6">
                  <c:v>-1.3248542660307365E-2</c:v>
                </c:pt>
                <c:pt idx="7">
                  <c:v>0</c:v>
                </c:pt>
                <c:pt idx="8">
                  <c:v>-3.1586335985026933E-3</c:v>
                </c:pt>
                <c:pt idx="9">
                  <c:v>-3.6148806738418381E-2</c:v>
                </c:pt>
                <c:pt idx="10">
                  <c:v>-7.8497894244267757E-2</c:v>
                </c:pt>
                <c:pt idx="11">
                  <c:v>-0.118741226017782</c:v>
                </c:pt>
                <c:pt idx="12">
                  <c:v>-4.1764155357978561E-2</c:v>
                </c:pt>
                <c:pt idx="13">
                  <c:v>-7.0191857744501637E-2</c:v>
                </c:pt>
                <c:pt idx="14">
                  <c:v>-0.10715956948993929</c:v>
                </c:pt>
                <c:pt idx="15">
                  <c:v>-7.3350491343004323E-2</c:v>
                </c:pt>
                <c:pt idx="16">
                  <c:v>-2.7608797379503971E-2</c:v>
                </c:pt>
                <c:pt idx="17">
                  <c:v>-7.9784744969583613E-2</c:v>
                </c:pt>
                <c:pt idx="18">
                  <c:v>-0.14822180627047263</c:v>
                </c:pt>
                <c:pt idx="19">
                  <c:v>-0.109733270940571</c:v>
                </c:pt>
                <c:pt idx="20">
                  <c:v>-0.13699110903135245</c:v>
                </c:pt>
                <c:pt idx="21">
                  <c:v>-0.16237716424894721</c:v>
                </c:pt>
                <c:pt idx="22">
                  <c:v>-0.20741693963500238</c:v>
                </c:pt>
                <c:pt idx="23">
                  <c:v>-0.20028076743097806</c:v>
                </c:pt>
                <c:pt idx="24">
                  <c:v>-0.19513336452971464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1-40B5-8CDE-1D522449B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681615"/>
        <c:axId val="1748033951"/>
      </c:areaChart>
      <c:catAx>
        <c:axId val="1089681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33951"/>
        <c:crosses val="autoZero"/>
        <c:auto val="1"/>
        <c:lblAlgn val="ctr"/>
        <c:lblOffset val="100"/>
        <c:noMultiLvlLbl val="0"/>
      </c:catAx>
      <c:valAx>
        <c:axId val="17480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81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Bandas de Desvio Padrão - Comparativo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Análise_Variação!$W$2</c:f>
              <c:strCache>
                <c:ptCount val="1"/>
                <c:pt idx="0">
                  <c:v>Diário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Análise_Variação!$V$3:$V$9</c:f>
              <c:strCache>
                <c:ptCount val="7"/>
                <c:pt idx="0">
                  <c:v>Média - 3σ</c:v>
                </c:pt>
                <c:pt idx="1">
                  <c:v>Média - 2σ</c:v>
                </c:pt>
                <c:pt idx="2">
                  <c:v>Média - 1σ</c:v>
                </c:pt>
                <c:pt idx="3">
                  <c:v>Média</c:v>
                </c:pt>
                <c:pt idx="4">
                  <c:v>Média + 1σ</c:v>
                </c:pt>
                <c:pt idx="5">
                  <c:v>Média + 2σ</c:v>
                </c:pt>
                <c:pt idx="6">
                  <c:v>Média + 3σ</c:v>
                </c:pt>
              </c:strCache>
            </c:strRef>
          </c:cat>
          <c:val>
            <c:numRef>
              <c:f>Análise_Variação!$W$3:$W$9</c:f>
              <c:numCache>
                <c:formatCode>0.00%</c:formatCode>
                <c:ptCount val="7"/>
                <c:pt idx="0">
                  <c:v>-3.0800030994894759E-2</c:v>
                </c:pt>
                <c:pt idx="1">
                  <c:v>-2.0458005374174176E-2</c:v>
                </c:pt>
                <c:pt idx="2">
                  <c:v>-1.0115979753453592E-2</c:v>
                </c:pt>
                <c:pt idx="3">
                  <c:v>2.2604586726699218E-4</c:v>
                </c:pt>
                <c:pt idx="4">
                  <c:v>1.0568071487987576E-2</c:v>
                </c:pt>
                <c:pt idx="5">
                  <c:v>2.091009710870816E-2</c:v>
                </c:pt>
                <c:pt idx="6">
                  <c:v>3.1252122729428747E-2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A-430D-8597-30603231B654}"/>
            </c:ext>
          </c:extLst>
        </c:ser>
        <c:ser>
          <c:idx val="1"/>
          <c:order val="1"/>
          <c:tx>
            <c:strRef>
              <c:f>Análise_Variação!$X$2</c:f>
              <c:strCache>
                <c:ptCount val="1"/>
                <c:pt idx="0">
                  <c:v>Semanal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Análise_Variação!$V$3:$V$9</c:f>
              <c:strCache>
                <c:ptCount val="7"/>
                <c:pt idx="0">
                  <c:v>Média - 3σ</c:v>
                </c:pt>
                <c:pt idx="1">
                  <c:v>Média - 2σ</c:v>
                </c:pt>
                <c:pt idx="2">
                  <c:v>Média - 1σ</c:v>
                </c:pt>
                <c:pt idx="3">
                  <c:v>Média</c:v>
                </c:pt>
                <c:pt idx="4">
                  <c:v>Média + 1σ</c:v>
                </c:pt>
                <c:pt idx="5">
                  <c:v>Média + 2σ</c:v>
                </c:pt>
                <c:pt idx="6">
                  <c:v>Média + 3σ</c:v>
                </c:pt>
              </c:strCache>
            </c:strRef>
          </c:cat>
          <c:val>
            <c:numRef>
              <c:f>Análise_Variação!$X$3:$X$9</c:f>
              <c:numCache>
                <c:formatCode>0.00%</c:formatCode>
                <c:ptCount val="7"/>
                <c:pt idx="0">
                  <c:v>-6.2791208819187969E-2</c:v>
                </c:pt>
                <c:pt idx="1">
                  <c:v>-4.1563992978812886E-2</c:v>
                </c:pt>
                <c:pt idx="2">
                  <c:v>-2.0336777138437814E-2</c:v>
                </c:pt>
                <c:pt idx="3">
                  <c:v>8.904387019372579E-4</c:v>
                </c:pt>
                <c:pt idx="4">
                  <c:v>2.2117654542312331E-2</c:v>
                </c:pt>
                <c:pt idx="5">
                  <c:v>4.3344870382687403E-2</c:v>
                </c:pt>
                <c:pt idx="6">
                  <c:v>6.4572086223062472E-2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AA-430D-8597-30603231B654}"/>
            </c:ext>
          </c:extLst>
        </c:ser>
        <c:ser>
          <c:idx val="2"/>
          <c:order val="2"/>
          <c:tx>
            <c:strRef>
              <c:f>Análise_Variação!$Y$2</c:f>
              <c:strCache>
                <c:ptCount val="1"/>
                <c:pt idx="0">
                  <c:v>Mensal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Análise_Variação!$V$3:$V$9</c:f>
              <c:strCache>
                <c:ptCount val="7"/>
                <c:pt idx="0">
                  <c:v>Média - 3σ</c:v>
                </c:pt>
                <c:pt idx="1">
                  <c:v>Média - 2σ</c:v>
                </c:pt>
                <c:pt idx="2">
                  <c:v>Média - 1σ</c:v>
                </c:pt>
                <c:pt idx="3">
                  <c:v>Média</c:v>
                </c:pt>
                <c:pt idx="4">
                  <c:v>Média + 1σ</c:v>
                </c:pt>
                <c:pt idx="5">
                  <c:v>Média + 2σ</c:v>
                </c:pt>
                <c:pt idx="6">
                  <c:v>Média + 3σ</c:v>
                </c:pt>
              </c:strCache>
            </c:strRef>
          </c:cat>
          <c:val>
            <c:numRef>
              <c:f>Análise_Variação!$Y$3:$Y$9</c:f>
              <c:numCache>
                <c:formatCode>0.00%</c:formatCode>
                <c:ptCount val="7"/>
                <c:pt idx="0">
                  <c:v>-0.1575992401578887</c:v>
                </c:pt>
                <c:pt idx="1">
                  <c:v>-0.10397491959778314</c:v>
                </c:pt>
                <c:pt idx="2">
                  <c:v>-5.0350599037677572E-2</c:v>
                </c:pt>
                <c:pt idx="3">
                  <c:v>3.2737215224279991E-3</c:v>
                </c:pt>
                <c:pt idx="4">
                  <c:v>5.6898042082533566E-2</c:v>
                </c:pt>
                <c:pt idx="5">
                  <c:v>0.11052236264263914</c:v>
                </c:pt>
                <c:pt idx="6">
                  <c:v>0.1641466832027447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AA-430D-8597-30603231B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0654223"/>
        <c:axId val="1092445887"/>
      </c:barChart>
      <c:catAx>
        <c:axId val="1100654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5887"/>
        <c:crosses val="autoZero"/>
        <c:auto val="1"/>
        <c:lblAlgn val="ctr"/>
        <c:lblOffset val="100"/>
        <c:noMultiLvlLbl val="0"/>
      </c:catAx>
      <c:valAx>
        <c:axId val="109244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5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 - Comparativo por Período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Análise_Variação!$W$34</c:f>
              <c:strCache>
                <c:ptCount val="1"/>
                <c:pt idx="0">
                  <c:v>Diário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Análise_Variação!$V$35:$V$36</c:f>
              <c:strCache>
                <c:ptCount val="2"/>
                <c:pt idx="0">
                  <c:v>Drawdown Máximo</c:v>
                </c:pt>
                <c:pt idx="1">
                  <c:v>Drawdown Médio</c:v>
                </c:pt>
              </c:strCache>
            </c:strRef>
          </c:cat>
          <c:val>
            <c:numRef>
              <c:f>Análise_Variação!$W$35:$W$36</c:f>
              <c:numCache>
                <c:formatCode>0.00%</c:formatCode>
                <c:ptCount val="2"/>
                <c:pt idx="0">
                  <c:v>-0.27429569775060064</c:v>
                </c:pt>
                <c:pt idx="1">
                  <c:v>-0.11457431134581388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9-4724-B1F3-77A5ABB279C5}"/>
            </c:ext>
          </c:extLst>
        </c:ser>
        <c:ser>
          <c:idx val="1"/>
          <c:order val="1"/>
          <c:tx>
            <c:strRef>
              <c:f>Análise_Variação!$X$34</c:f>
              <c:strCache>
                <c:ptCount val="1"/>
                <c:pt idx="0">
                  <c:v>Semanal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Análise_Variação!$V$35:$V$36</c:f>
              <c:strCache>
                <c:ptCount val="2"/>
                <c:pt idx="0">
                  <c:v>Drawdown Máximo</c:v>
                </c:pt>
                <c:pt idx="1">
                  <c:v>Drawdown Médio</c:v>
                </c:pt>
              </c:strCache>
            </c:strRef>
          </c:cat>
          <c:val>
            <c:numRef>
              <c:f>Análise_Variação!$X$35:$X$36</c:f>
              <c:numCache>
                <c:formatCode>0.00%</c:formatCode>
                <c:ptCount val="2"/>
                <c:pt idx="0">
                  <c:v>-0.22810261150912881</c:v>
                </c:pt>
                <c:pt idx="1">
                  <c:v>-7.9455481849291146E-2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9-4724-B1F3-77A5ABB279C5}"/>
            </c:ext>
          </c:extLst>
        </c:ser>
        <c:ser>
          <c:idx val="2"/>
          <c:order val="2"/>
          <c:tx>
            <c:strRef>
              <c:f>Análise_Variação!$Y$34</c:f>
              <c:strCache>
                <c:ptCount val="1"/>
                <c:pt idx="0">
                  <c:v>Mensal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Análise_Variação!$V$35:$V$36</c:f>
              <c:strCache>
                <c:ptCount val="2"/>
                <c:pt idx="0">
                  <c:v>Drawdown Máximo</c:v>
                </c:pt>
                <c:pt idx="1">
                  <c:v>Drawdown Médio</c:v>
                </c:pt>
              </c:strCache>
            </c:strRef>
          </c:cat>
          <c:val>
            <c:numRef>
              <c:f>Análise_Variação!$Y$35:$Y$36</c:f>
              <c:numCache>
                <c:formatCode>0.00%</c:formatCode>
                <c:ptCount val="2"/>
                <c:pt idx="0">
                  <c:v>-0.20741693963500238</c:v>
                </c:pt>
                <c:pt idx="1">
                  <c:v>-7.432665289363799E-2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9-4724-B1F3-77A5ABB27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0664431"/>
        <c:axId val="1748044031"/>
      </c:barChart>
      <c:catAx>
        <c:axId val="1100664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44031"/>
        <c:crosses val="autoZero"/>
        <c:auto val="1"/>
        <c:lblAlgn val="ctr"/>
        <c:lblOffset val="100"/>
        <c:noMultiLvlLbl val="0"/>
      </c:catAx>
      <c:valAx>
        <c:axId val="174804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6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Fechamento Diário - À Vista R$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Análise_À_Vista!$A$3:$A$1136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Análise_À_Vista!$B$3:$B$1136</c:f>
              <c:numCache>
                <c:formatCode>#,##0.00</c:formatCode>
                <c:ptCount val="1134"/>
                <c:pt idx="0">
                  <c:v>92.01</c:v>
                </c:pt>
                <c:pt idx="1">
                  <c:v>92.72</c:v>
                </c:pt>
                <c:pt idx="2">
                  <c:v>92.81</c:v>
                </c:pt>
                <c:pt idx="3">
                  <c:v>93.28</c:v>
                </c:pt>
                <c:pt idx="4">
                  <c:v>93.52</c:v>
                </c:pt>
                <c:pt idx="5">
                  <c:v>94.43</c:v>
                </c:pt>
                <c:pt idx="6">
                  <c:v>95.13</c:v>
                </c:pt>
                <c:pt idx="7">
                  <c:v>95.27</c:v>
                </c:pt>
                <c:pt idx="8">
                  <c:v>96.5</c:v>
                </c:pt>
                <c:pt idx="9">
                  <c:v>96.77</c:v>
                </c:pt>
                <c:pt idx="10">
                  <c:v>97.16</c:v>
                </c:pt>
                <c:pt idx="11">
                  <c:v>97.39</c:v>
                </c:pt>
                <c:pt idx="12">
                  <c:v>97.7</c:v>
                </c:pt>
                <c:pt idx="13">
                  <c:v>98.13</c:v>
                </c:pt>
                <c:pt idx="14">
                  <c:v>98.33</c:v>
                </c:pt>
                <c:pt idx="15">
                  <c:v>97.93</c:v>
                </c:pt>
                <c:pt idx="16">
                  <c:v>97.76</c:v>
                </c:pt>
                <c:pt idx="17">
                  <c:v>97.9</c:v>
                </c:pt>
                <c:pt idx="18">
                  <c:v>97.37</c:v>
                </c:pt>
                <c:pt idx="19">
                  <c:v>97.4</c:v>
                </c:pt>
                <c:pt idx="20">
                  <c:v>97.42</c:v>
                </c:pt>
                <c:pt idx="21">
                  <c:v>97.4</c:v>
                </c:pt>
                <c:pt idx="22">
                  <c:v>97.14</c:v>
                </c:pt>
                <c:pt idx="23">
                  <c:v>96.82</c:v>
                </c:pt>
                <c:pt idx="24">
                  <c:v>97.13</c:v>
                </c:pt>
                <c:pt idx="25">
                  <c:v>96.97</c:v>
                </c:pt>
                <c:pt idx="26">
                  <c:v>97.14</c:v>
                </c:pt>
                <c:pt idx="27">
                  <c:v>96.93</c:v>
                </c:pt>
                <c:pt idx="28">
                  <c:v>97.08</c:v>
                </c:pt>
                <c:pt idx="29">
                  <c:v>97.05</c:v>
                </c:pt>
                <c:pt idx="30">
                  <c:v>95.98</c:v>
                </c:pt>
                <c:pt idx="31">
                  <c:v>96.55</c:v>
                </c:pt>
                <c:pt idx="32">
                  <c:v>96.53</c:v>
                </c:pt>
                <c:pt idx="33">
                  <c:v>96.51</c:v>
                </c:pt>
                <c:pt idx="34">
                  <c:v>96.49</c:v>
                </c:pt>
                <c:pt idx="35">
                  <c:v>96.52</c:v>
                </c:pt>
                <c:pt idx="36">
                  <c:v>96.8</c:v>
                </c:pt>
                <c:pt idx="37">
                  <c:v>96.85</c:v>
                </c:pt>
                <c:pt idx="38">
                  <c:v>96.89</c:v>
                </c:pt>
                <c:pt idx="39">
                  <c:v>97.34</c:v>
                </c:pt>
                <c:pt idx="40">
                  <c:v>97.2</c:v>
                </c:pt>
                <c:pt idx="41">
                  <c:v>97.72</c:v>
                </c:pt>
                <c:pt idx="42">
                  <c:v>98.15</c:v>
                </c:pt>
                <c:pt idx="43">
                  <c:v>100.19</c:v>
                </c:pt>
                <c:pt idx="44">
                  <c:v>101.36</c:v>
                </c:pt>
                <c:pt idx="45">
                  <c:v>101.25</c:v>
                </c:pt>
                <c:pt idx="46">
                  <c:v>101.42</c:v>
                </c:pt>
                <c:pt idx="47">
                  <c:v>103.57</c:v>
                </c:pt>
                <c:pt idx="48">
                  <c:v>103.9</c:v>
                </c:pt>
                <c:pt idx="49">
                  <c:v>103.87</c:v>
                </c:pt>
                <c:pt idx="50">
                  <c:v>103.74</c:v>
                </c:pt>
                <c:pt idx="51">
                  <c:v>103.57</c:v>
                </c:pt>
                <c:pt idx="52">
                  <c:v>102.59</c:v>
                </c:pt>
                <c:pt idx="53">
                  <c:v>102.63</c:v>
                </c:pt>
                <c:pt idx="54">
                  <c:v>101.29</c:v>
                </c:pt>
                <c:pt idx="55">
                  <c:v>99.93</c:v>
                </c:pt>
                <c:pt idx="56">
                  <c:v>99.2</c:v>
                </c:pt>
                <c:pt idx="57">
                  <c:v>96.98</c:v>
                </c:pt>
                <c:pt idx="58">
                  <c:v>96.16</c:v>
                </c:pt>
                <c:pt idx="59">
                  <c:v>92.77</c:v>
                </c:pt>
                <c:pt idx="60">
                  <c:v>92.7</c:v>
                </c:pt>
                <c:pt idx="61">
                  <c:v>93.09</c:v>
                </c:pt>
                <c:pt idx="62">
                  <c:v>92.04</c:v>
                </c:pt>
                <c:pt idx="63">
                  <c:v>91.55</c:v>
                </c:pt>
                <c:pt idx="64">
                  <c:v>90.19</c:v>
                </c:pt>
                <c:pt idx="65">
                  <c:v>89.46</c:v>
                </c:pt>
                <c:pt idx="66">
                  <c:v>89.06</c:v>
                </c:pt>
                <c:pt idx="67">
                  <c:v>89.02</c:v>
                </c:pt>
                <c:pt idx="68">
                  <c:v>88.9</c:v>
                </c:pt>
                <c:pt idx="69">
                  <c:v>88.17</c:v>
                </c:pt>
                <c:pt idx="70">
                  <c:v>87.56</c:v>
                </c:pt>
                <c:pt idx="71">
                  <c:v>87.3</c:v>
                </c:pt>
                <c:pt idx="72">
                  <c:v>87.63</c:v>
                </c:pt>
                <c:pt idx="73">
                  <c:v>88.03</c:v>
                </c:pt>
                <c:pt idx="74">
                  <c:v>87.87</c:v>
                </c:pt>
                <c:pt idx="75">
                  <c:v>87.93</c:v>
                </c:pt>
                <c:pt idx="76">
                  <c:v>88.71</c:v>
                </c:pt>
                <c:pt idx="77">
                  <c:v>88.51</c:v>
                </c:pt>
                <c:pt idx="78">
                  <c:v>88.21</c:v>
                </c:pt>
                <c:pt idx="79">
                  <c:v>88.38</c:v>
                </c:pt>
                <c:pt idx="80">
                  <c:v>88.25</c:v>
                </c:pt>
                <c:pt idx="81">
                  <c:v>87.87</c:v>
                </c:pt>
                <c:pt idx="82">
                  <c:v>87.6</c:v>
                </c:pt>
                <c:pt idx="83">
                  <c:v>87.55</c:v>
                </c:pt>
                <c:pt idx="84">
                  <c:v>87.41</c:v>
                </c:pt>
                <c:pt idx="85">
                  <c:v>86.63</c:v>
                </c:pt>
                <c:pt idx="86">
                  <c:v>86.15</c:v>
                </c:pt>
                <c:pt idx="87">
                  <c:v>85.83</c:v>
                </c:pt>
                <c:pt idx="88">
                  <c:v>86.08</c:v>
                </c:pt>
                <c:pt idx="89">
                  <c:v>86.4</c:v>
                </c:pt>
                <c:pt idx="90">
                  <c:v>86.54</c:v>
                </c:pt>
                <c:pt idx="91">
                  <c:v>87.97</c:v>
                </c:pt>
                <c:pt idx="92">
                  <c:v>89.09</c:v>
                </c:pt>
                <c:pt idx="93">
                  <c:v>89.28</c:v>
                </c:pt>
                <c:pt idx="94">
                  <c:v>89.23</c:v>
                </c:pt>
                <c:pt idx="95">
                  <c:v>88.48</c:v>
                </c:pt>
                <c:pt idx="96">
                  <c:v>88.03</c:v>
                </c:pt>
                <c:pt idx="97">
                  <c:v>87.43</c:v>
                </c:pt>
                <c:pt idx="98">
                  <c:v>87.33</c:v>
                </c:pt>
                <c:pt idx="99">
                  <c:v>86.99</c:v>
                </c:pt>
                <c:pt idx="100">
                  <c:v>86.9</c:v>
                </c:pt>
                <c:pt idx="101">
                  <c:v>86.84</c:v>
                </c:pt>
                <c:pt idx="102">
                  <c:v>86.25</c:v>
                </c:pt>
                <c:pt idx="103">
                  <c:v>85.8</c:v>
                </c:pt>
                <c:pt idx="104">
                  <c:v>85.52</c:v>
                </c:pt>
                <c:pt idx="105">
                  <c:v>85.07</c:v>
                </c:pt>
                <c:pt idx="106">
                  <c:v>84.8</c:v>
                </c:pt>
                <c:pt idx="107">
                  <c:v>85.56</c:v>
                </c:pt>
                <c:pt idx="108">
                  <c:v>85.86</c:v>
                </c:pt>
                <c:pt idx="109">
                  <c:v>85.85</c:v>
                </c:pt>
                <c:pt idx="110">
                  <c:v>85.42</c:v>
                </c:pt>
                <c:pt idx="111">
                  <c:v>85.41</c:v>
                </c:pt>
                <c:pt idx="112">
                  <c:v>86.42</c:v>
                </c:pt>
                <c:pt idx="113">
                  <c:v>86.25</c:v>
                </c:pt>
                <c:pt idx="114">
                  <c:v>86.32</c:v>
                </c:pt>
                <c:pt idx="115">
                  <c:v>87.42</c:v>
                </c:pt>
                <c:pt idx="116">
                  <c:v>87.15</c:v>
                </c:pt>
                <c:pt idx="117">
                  <c:v>87.04</c:v>
                </c:pt>
                <c:pt idx="118">
                  <c:v>85.92</c:v>
                </c:pt>
                <c:pt idx="119">
                  <c:v>85.65</c:v>
                </c:pt>
                <c:pt idx="120">
                  <c:v>84.75</c:v>
                </c:pt>
                <c:pt idx="121">
                  <c:v>83.9</c:v>
                </c:pt>
                <c:pt idx="122">
                  <c:v>84.85</c:v>
                </c:pt>
                <c:pt idx="123">
                  <c:v>83.55</c:v>
                </c:pt>
                <c:pt idx="124">
                  <c:v>83.16</c:v>
                </c:pt>
                <c:pt idx="125">
                  <c:v>83.24</c:v>
                </c:pt>
                <c:pt idx="126">
                  <c:v>82.6</c:v>
                </c:pt>
                <c:pt idx="127">
                  <c:v>82.19</c:v>
                </c:pt>
                <c:pt idx="128">
                  <c:v>81.680000000000007</c:v>
                </c:pt>
                <c:pt idx="129">
                  <c:v>81.5</c:v>
                </c:pt>
                <c:pt idx="130">
                  <c:v>82.36</c:v>
                </c:pt>
                <c:pt idx="131">
                  <c:v>83.12</c:v>
                </c:pt>
                <c:pt idx="132">
                  <c:v>82.73</c:v>
                </c:pt>
                <c:pt idx="133">
                  <c:v>82.58</c:v>
                </c:pt>
                <c:pt idx="134">
                  <c:v>82.46</c:v>
                </c:pt>
                <c:pt idx="135">
                  <c:v>82.36</c:v>
                </c:pt>
                <c:pt idx="136">
                  <c:v>81.67</c:v>
                </c:pt>
                <c:pt idx="137">
                  <c:v>81.41</c:v>
                </c:pt>
                <c:pt idx="138">
                  <c:v>80.849999999999994</c:v>
                </c:pt>
                <c:pt idx="139">
                  <c:v>80.06</c:v>
                </c:pt>
                <c:pt idx="140">
                  <c:v>80.2</c:v>
                </c:pt>
                <c:pt idx="141">
                  <c:v>81.27</c:v>
                </c:pt>
                <c:pt idx="142">
                  <c:v>81.400000000000006</c:v>
                </c:pt>
                <c:pt idx="143">
                  <c:v>81.78</c:v>
                </c:pt>
                <c:pt idx="144">
                  <c:v>82.93</c:v>
                </c:pt>
                <c:pt idx="145">
                  <c:v>82.64</c:v>
                </c:pt>
                <c:pt idx="146">
                  <c:v>82.58</c:v>
                </c:pt>
                <c:pt idx="147">
                  <c:v>82.41</c:v>
                </c:pt>
                <c:pt idx="148">
                  <c:v>82.24</c:v>
                </c:pt>
                <c:pt idx="149">
                  <c:v>81.91</c:v>
                </c:pt>
                <c:pt idx="150">
                  <c:v>82.05</c:v>
                </c:pt>
                <c:pt idx="151">
                  <c:v>81.63</c:v>
                </c:pt>
                <c:pt idx="152">
                  <c:v>82.76</c:v>
                </c:pt>
                <c:pt idx="153">
                  <c:v>81.94</c:v>
                </c:pt>
                <c:pt idx="154">
                  <c:v>81.55</c:v>
                </c:pt>
                <c:pt idx="155">
                  <c:v>81.41</c:v>
                </c:pt>
                <c:pt idx="156">
                  <c:v>82.11</c:v>
                </c:pt>
                <c:pt idx="157">
                  <c:v>82.77</c:v>
                </c:pt>
                <c:pt idx="158">
                  <c:v>82.1</c:v>
                </c:pt>
                <c:pt idx="159">
                  <c:v>82.16</c:v>
                </c:pt>
                <c:pt idx="160">
                  <c:v>81.900000000000006</c:v>
                </c:pt>
                <c:pt idx="161">
                  <c:v>82.69</c:v>
                </c:pt>
                <c:pt idx="162">
                  <c:v>82.77</c:v>
                </c:pt>
                <c:pt idx="163">
                  <c:v>83.31</c:v>
                </c:pt>
                <c:pt idx="164">
                  <c:v>83.6</c:v>
                </c:pt>
                <c:pt idx="165">
                  <c:v>83.8</c:v>
                </c:pt>
                <c:pt idx="166">
                  <c:v>83.73</c:v>
                </c:pt>
                <c:pt idx="167">
                  <c:v>83.94</c:v>
                </c:pt>
                <c:pt idx="168">
                  <c:v>83.66</c:v>
                </c:pt>
                <c:pt idx="169">
                  <c:v>83.39</c:v>
                </c:pt>
                <c:pt idx="170">
                  <c:v>83.26</c:v>
                </c:pt>
                <c:pt idx="171">
                  <c:v>83.54</c:v>
                </c:pt>
                <c:pt idx="172">
                  <c:v>83.25</c:v>
                </c:pt>
                <c:pt idx="173">
                  <c:v>83.43</c:v>
                </c:pt>
                <c:pt idx="174">
                  <c:v>83.95</c:v>
                </c:pt>
                <c:pt idx="175">
                  <c:v>83.72</c:v>
                </c:pt>
                <c:pt idx="176">
                  <c:v>84.28</c:v>
                </c:pt>
                <c:pt idx="177">
                  <c:v>84.55</c:v>
                </c:pt>
                <c:pt idx="178">
                  <c:v>84.35</c:v>
                </c:pt>
                <c:pt idx="179">
                  <c:v>84.02</c:v>
                </c:pt>
                <c:pt idx="180">
                  <c:v>84.21</c:v>
                </c:pt>
                <c:pt idx="181">
                  <c:v>84.24</c:v>
                </c:pt>
                <c:pt idx="182">
                  <c:v>84.56</c:v>
                </c:pt>
                <c:pt idx="183">
                  <c:v>84.54</c:v>
                </c:pt>
                <c:pt idx="184">
                  <c:v>84.58</c:v>
                </c:pt>
                <c:pt idx="185">
                  <c:v>84.72</c:v>
                </c:pt>
                <c:pt idx="186">
                  <c:v>84.25</c:v>
                </c:pt>
                <c:pt idx="187">
                  <c:v>84.24</c:v>
                </c:pt>
                <c:pt idx="188">
                  <c:v>84.42</c:v>
                </c:pt>
                <c:pt idx="189">
                  <c:v>84.14</c:v>
                </c:pt>
                <c:pt idx="190">
                  <c:v>83.27</c:v>
                </c:pt>
                <c:pt idx="191">
                  <c:v>82.91</c:v>
                </c:pt>
                <c:pt idx="192">
                  <c:v>83.04</c:v>
                </c:pt>
                <c:pt idx="193">
                  <c:v>83.05</c:v>
                </c:pt>
                <c:pt idx="194">
                  <c:v>83.5</c:v>
                </c:pt>
                <c:pt idx="195">
                  <c:v>83.86</c:v>
                </c:pt>
                <c:pt idx="196">
                  <c:v>84.42</c:v>
                </c:pt>
                <c:pt idx="197">
                  <c:v>84.67</c:v>
                </c:pt>
                <c:pt idx="198">
                  <c:v>84.86</c:v>
                </c:pt>
                <c:pt idx="199">
                  <c:v>85.38</c:v>
                </c:pt>
                <c:pt idx="200">
                  <c:v>85.41</c:v>
                </c:pt>
                <c:pt idx="201">
                  <c:v>85.21</c:v>
                </c:pt>
                <c:pt idx="202">
                  <c:v>85.28</c:v>
                </c:pt>
                <c:pt idx="203">
                  <c:v>85.08</c:v>
                </c:pt>
                <c:pt idx="204">
                  <c:v>84.91</c:v>
                </c:pt>
                <c:pt idx="205">
                  <c:v>85.12</c:v>
                </c:pt>
                <c:pt idx="206">
                  <c:v>85.35</c:v>
                </c:pt>
                <c:pt idx="207">
                  <c:v>85.69</c:v>
                </c:pt>
                <c:pt idx="208">
                  <c:v>85.35</c:v>
                </c:pt>
                <c:pt idx="209">
                  <c:v>85.11</c:v>
                </c:pt>
                <c:pt idx="210">
                  <c:v>84.76</c:v>
                </c:pt>
                <c:pt idx="211">
                  <c:v>84.95</c:v>
                </c:pt>
                <c:pt idx="212">
                  <c:v>85.19</c:v>
                </c:pt>
                <c:pt idx="213">
                  <c:v>85.3</c:v>
                </c:pt>
                <c:pt idx="214">
                  <c:v>84.76</c:v>
                </c:pt>
                <c:pt idx="215">
                  <c:v>84.48</c:v>
                </c:pt>
                <c:pt idx="216">
                  <c:v>83.74</c:v>
                </c:pt>
                <c:pt idx="217">
                  <c:v>84</c:v>
                </c:pt>
                <c:pt idx="218">
                  <c:v>83.69</c:v>
                </c:pt>
                <c:pt idx="219">
                  <c:v>84.06</c:v>
                </c:pt>
                <c:pt idx="220">
                  <c:v>84.77</c:v>
                </c:pt>
                <c:pt idx="221">
                  <c:v>85.08</c:v>
                </c:pt>
                <c:pt idx="222">
                  <c:v>85.19</c:v>
                </c:pt>
                <c:pt idx="223">
                  <c:v>85.51</c:v>
                </c:pt>
                <c:pt idx="224">
                  <c:v>85.87</c:v>
                </c:pt>
                <c:pt idx="225">
                  <c:v>85.48</c:v>
                </c:pt>
                <c:pt idx="226">
                  <c:v>85.96</c:v>
                </c:pt>
                <c:pt idx="227">
                  <c:v>85.76</c:v>
                </c:pt>
                <c:pt idx="228">
                  <c:v>86.2</c:v>
                </c:pt>
                <c:pt idx="229">
                  <c:v>86</c:v>
                </c:pt>
                <c:pt idx="230">
                  <c:v>86.03</c:v>
                </c:pt>
                <c:pt idx="231">
                  <c:v>85.54</c:v>
                </c:pt>
                <c:pt idx="232">
                  <c:v>86.1</c:v>
                </c:pt>
                <c:pt idx="233">
                  <c:v>86.19</c:v>
                </c:pt>
                <c:pt idx="234">
                  <c:v>85.9</c:v>
                </c:pt>
                <c:pt idx="235">
                  <c:v>86.08</c:v>
                </c:pt>
                <c:pt idx="236">
                  <c:v>86.15</c:v>
                </c:pt>
                <c:pt idx="237">
                  <c:v>86</c:v>
                </c:pt>
                <c:pt idx="238">
                  <c:v>85.79</c:v>
                </c:pt>
                <c:pt idx="239">
                  <c:v>85.91</c:v>
                </c:pt>
                <c:pt idx="240">
                  <c:v>86.44</c:v>
                </c:pt>
                <c:pt idx="241">
                  <c:v>86.05</c:v>
                </c:pt>
                <c:pt idx="242">
                  <c:v>85.98</c:v>
                </c:pt>
                <c:pt idx="243">
                  <c:v>85.82</c:v>
                </c:pt>
                <c:pt idx="244">
                  <c:v>85.58</c:v>
                </c:pt>
                <c:pt idx="245">
                  <c:v>85.8</c:v>
                </c:pt>
                <c:pt idx="246">
                  <c:v>85.79</c:v>
                </c:pt>
                <c:pt idx="247">
                  <c:v>86.61</c:v>
                </c:pt>
                <c:pt idx="248">
                  <c:v>86.42</c:v>
                </c:pt>
                <c:pt idx="249">
                  <c:v>86.07</c:v>
                </c:pt>
                <c:pt idx="250">
                  <c:v>86.09</c:v>
                </c:pt>
                <c:pt idx="251">
                  <c:v>86.07</c:v>
                </c:pt>
                <c:pt idx="252">
                  <c:v>86.35</c:v>
                </c:pt>
                <c:pt idx="253">
                  <c:v>87.72</c:v>
                </c:pt>
                <c:pt idx="254">
                  <c:v>87.5</c:v>
                </c:pt>
                <c:pt idx="255">
                  <c:v>87.27</c:v>
                </c:pt>
                <c:pt idx="256">
                  <c:v>87.33</c:v>
                </c:pt>
                <c:pt idx="257">
                  <c:v>87.19</c:v>
                </c:pt>
                <c:pt idx="258">
                  <c:v>86.86</c:v>
                </c:pt>
                <c:pt idx="259">
                  <c:v>86.87</c:v>
                </c:pt>
                <c:pt idx="260">
                  <c:v>86.39</c:v>
                </c:pt>
                <c:pt idx="261">
                  <c:v>86.19</c:v>
                </c:pt>
                <c:pt idx="262">
                  <c:v>85.9</c:v>
                </c:pt>
                <c:pt idx="263">
                  <c:v>85.38</c:v>
                </c:pt>
                <c:pt idx="264">
                  <c:v>85.33</c:v>
                </c:pt>
                <c:pt idx="265">
                  <c:v>85.43</c:v>
                </c:pt>
                <c:pt idx="266">
                  <c:v>85.17</c:v>
                </c:pt>
                <c:pt idx="267">
                  <c:v>85.22</c:v>
                </c:pt>
                <c:pt idx="268">
                  <c:v>84.88</c:v>
                </c:pt>
                <c:pt idx="269">
                  <c:v>84.74</c:v>
                </c:pt>
                <c:pt idx="270">
                  <c:v>84.95</c:v>
                </c:pt>
                <c:pt idx="271">
                  <c:v>85.49</c:v>
                </c:pt>
                <c:pt idx="272">
                  <c:v>85.76</c:v>
                </c:pt>
                <c:pt idx="273">
                  <c:v>85.04</c:v>
                </c:pt>
                <c:pt idx="274">
                  <c:v>84.98</c:v>
                </c:pt>
                <c:pt idx="275">
                  <c:v>85.12</c:v>
                </c:pt>
                <c:pt idx="276">
                  <c:v>84.87</c:v>
                </c:pt>
                <c:pt idx="277">
                  <c:v>84.9</c:v>
                </c:pt>
                <c:pt idx="278">
                  <c:v>85.96</c:v>
                </c:pt>
                <c:pt idx="279">
                  <c:v>86.03</c:v>
                </c:pt>
                <c:pt idx="280">
                  <c:v>85.86</c:v>
                </c:pt>
                <c:pt idx="281">
                  <c:v>86.26</c:v>
                </c:pt>
                <c:pt idx="282">
                  <c:v>86.06</c:v>
                </c:pt>
                <c:pt idx="283">
                  <c:v>86.24</c:v>
                </c:pt>
                <c:pt idx="284">
                  <c:v>85.73</c:v>
                </c:pt>
                <c:pt idx="285">
                  <c:v>86.06</c:v>
                </c:pt>
                <c:pt idx="286">
                  <c:v>86.22</c:v>
                </c:pt>
                <c:pt idx="287">
                  <c:v>85.83</c:v>
                </c:pt>
                <c:pt idx="288">
                  <c:v>86.4</c:v>
                </c:pt>
                <c:pt idx="289">
                  <c:v>86.08</c:v>
                </c:pt>
                <c:pt idx="290">
                  <c:v>86.11</c:v>
                </c:pt>
                <c:pt idx="291">
                  <c:v>86.36</c:v>
                </c:pt>
                <c:pt idx="292">
                  <c:v>86.22</c:v>
                </c:pt>
                <c:pt idx="293">
                  <c:v>86.15</c:v>
                </c:pt>
                <c:pt idx="294">
                  <c:v>85.84</c:v>
                </c:pt>
                <c:pt idx="295">
                  <c:v>86.03</c:v>
                </c:pt>
                <c:pt idx="296">
                  <c:v>85.47</c:v>
                </c:pt>
                <c:pt idx="297">
                  <c:v>85.32</c:v>
                </c:pt>
                <c:pt idx="298">
                  <c:v>85.61</c:v>
                </c:pt>
                <c:pt idx="299">
                  <c:v>85.42</c:v>
                </c:pt>
                <c:pt idx="300">
                  <c:v>85.49</c:v>
                </c:pt>
                <c:pt idx="301">
                  <c:v>85.37</c:v>
                </c:pt>
                <c:pt idx="302">
                  <c:v>85.24</c:v>
                </c:pt>
                <c:pt idx="303">
                  <c:v>84.66</c:v>
                </c:pt>
                <c:pt idx="304">
                  <c:v>84.46</c:v>
                </c:pt>
                <c:pt idx="305">
                  <c:v>84.36</c:v>
                </c:pt>
                <c:pt idx="306">
                  <c:v>83.91</c:v>
                </c:pt>
                <c:pt idx="307">
                  <c:v>84.18</c:v>
                </c:pt>
                <c:pt idx="308">
                  <c:v>84</c:v>
                </c:pt>
                <c:pt idx="309">
                  <c:v>83.39</c:v>
                </c:pt>
                <c:pt idx="310">
                  <c:v>83.17</c:v>
                </c:pt>
                <c:pt idx="311">
                  <c:v>82.9</c:v>
                </c:pt>
                <c:pt idx="312">
                  <c:v>82.6</c:v>
                </c:pt>
                <c:pt idx="313">
                  <c:v>82.4</c:v>
                </c:pt>
                <c:pt idx="314">
                  <c:v>81.12</c:v>
                </c:pt>
                <c:pt idx="315">
                  <c:v>80.89</c:v>
                </c:pt>
                <c:pt idx="316">
                  <c:v>80.239999999999995</c:v>
                </c:pt>
                <c:pt idx="317">
                  <c:v>79.39</c:v>
                </c:pt>
                <c:pt idx="318">
                  <c:v>78.34</c:v>
                </c:pt>
                <c:pt idx="319">
                  <c:v>77.66</c:v>
                </c:pt>
                <c:pt idx="320">
                  <c:v>76.88</c:v>
                </c:pt>
                <c:pt idx="321">
                  <c:v>75.989999999999995</c:v>
                </c:pt>
                <c:pt idx="322">
                  <c:v>75.290000000000006</c:v>
                </c:pt>
                <c:pt idx="323">
                  <c:v>73.92</c:v>
                </c:pt>
                <c:pt idx="324">
                  <c:v>72.760000000000005</c:v>
                </c:pt>
                <c:pt idx="325">
                  <c:v>70.599999999999994</c:v>
                </c:pt>
                <c:pt idx="326">
                  <c:v>70.11</c:v>
                </c:pt>
                <c:pt idx="327">
                  <c:v>69.75</c:v>
                </c:pt>
                <c:pt idx="328">
                  <c:v>68.680000000000007</c:v>
                </c:pt>
                <c:pt idx="329">
                  <c:v>67.709999999999994</c:v>
                </c:pt>
                <c:pt idx="330">
                  <c:v>65.61</c:v>
                </c:pt>
                <c:pt idx="331">
                  <c:v>64.5</c:v>
                </c:pt>
                <c:pt idx="332">
                  <c:v>64.150000000000006</c:v>
                </c:pt>
                <c:pt idx="333">
                  <c:v>62.85</c:v>
                </c:pt>
                <c:pt idx="334">
                  <c:v>62.32</c:v>
                </c:pt>
                <c:pt idx="335">
                  <c:v>61.75</c:v>
                </c:pt>
                <c:pt idx="336">
                  <c:v>60.46</c:v>
                </c:pt>
                <c:pt idx="337">
                  <c:v>60.13</c:v>
                </c:pt>
                <c:pt idx="338">
                  <c:v>58.69</c:v>
                </c:pt>
                <c:pt idx="339">
                  <c:v>58.79</c:v>
                </c:pt>
                <c:pt idx="340">
                  <c:v>58.83</c:v>
                </c:pt>
                <c:pt idx="341">
                  <c:v>58.84</c:v>
                </c:pt>
                <c:pt idx="342">
                  <c:v>57.43</c:v>
                </c:pt>
                <c:pt idx="343">
                  <c:v>56.51</c:v>
                </c:pt>
                <c:pt idx="344">
                  <c:v>56.04</c:v>
                </c:pt>
                <c:pt idx="345">
                  <c:v>55.83</c:v>
                </c:pt>
                <c:pt idx="346">
                  <c:v>55.16</c:v>
                </c:pt>
                <c:pt idx="347">
                  <c:v>54.56</c:v>
                </c:pt>
                <c:pt idx="348">
                  <c:v>55</c:v>
                </c:pt>
                <c:pt idx="349">
                  <c:v>54.82</c:v>
                </c:pt>
                <c:pt idx="350">
                  <c:v>54.83</c:v>
                </c:pt>
                <c:pt idx="351">
                  <c:v>54.27</c:v>
                </c:pt>
                <c:pt idx="352">
                  <c:v>53.77</c:v>
                </c:pt>
                <c:pt idx="353">
                  <c:v>53.9</c:v>
                </c:pt>
                <c:pt idx="354">
                  <c:v>53.72</c:v>
                </c:pt>
                <c:pt idx="355">
                  <c:v>53.63</c:v>
                </c:pt>
                <c:pt idx="356">
                  <c:v>54.07</c:v>
                </c:pt>
                <c:pt idx="357">
                  <c:v>53.72</c:v>
                </c:pt>
                <c:pt idx="358">
                  <c:v>53.73</c:v>
                </c:pt>
                <c:pt idx="359">
                  <c:v>53.77</c:v>
                </c:pt>
                <c:pt idx="360">
                  <c:v>54.07</c:v>
                </c:pt>
                <c:pt idx="361">
                  <c:v>54.33</c:v>
                </c:pt>
                <c:pt idx="362">
                  <c:v>54.35</c:v>
                </c:pt>
                <c:pt idx="363">
                  <c:v>54.36</c:v>
                </c:pt>
                <c:pt idx="364">
                  <c:v>54.47</c:v>
                </c:pt>
                <c:pt idx="365">
                  <c:v>54.83</c:v>
                </c:pt>
                <c:pt idx="366">
                  <c:v>55.52</c:v>
                </c:pt>
                <c:pt idx="367">
                  <c:v>57.07</c:v>
                </c:pt>
                <c:pt idx="368">
                  <c:v>57.36</c:v>
                </c:pt>
                <c:pt idx="369">
                  <c:v>57.41</c:v>
                </c:pt>
                <c:pt idx="370">
                  <c:v>57.67</c:v>
                </c:pt>
                <c:pt idx="371">
                  <c:v>56.36</c:v>
                </c:pt>
                <c:pt idx="372">
                  <c:v>56.12</c:v>
                </c:pt>
                <c:pt idx="373">
                  <c:v>55.36</c:v>
                </c:pt>
                <c:pt idx="374">
                  <c:v>55.53</c:v>
                </c:pt>
                <c:pt idx="375">
                  <c:v>55.68</c:v>
                </c:pt>
                <c:pt idx="376">
                  <c:v>56.12</c:v>
                </c:pt>
                <c:pt idx="377">
                  <c:v>55.35</c:v>
                </c:pt>
                <c:pt idx="378">
                  <c:v>55.88</c:v>
                </c:pt>
                <c:pt idx="379">
                  <c:v>55.79</c:v>
                </c:pt>
                <c:pt idx="380">
                  <c:v>55.24</c:v>
                </c:pt>
                <c:pt idx="381">
                  <c:v>55.29</c:v>
                </c:pt>
                <c:pt idx="382">
                  <c:v>54.06</c:v>
                </c:pt>
                <c:pt idx="383">
                  <c:v>54.28</c:v>
                </c:pt>
                <c:pt idx="384">
                  <c:v>54.52</c:v>
                </c:pt>
                <c:pt idx="385">
                  <c:v>54.57</c:v>
                </c:pt>
                <c:pt idx="386">
                  <c:v>55.04</c:v>
                </c:pt>
                <c:pt idx="387">
                  <c:v>54.68</c:v>
                </c:pt>
                <c:pt idx="388">
                  <c:v>53.74</c:v>
                </c:pt>
                <c:pt idx="389">
                  <c:v>55.06</c:v>
                </c:pt>
                <c:pt idx="390">
                  <c:v>55.28</c:v>
                </c:pt>
                <c:pt idx="391">
                  <c:v>55.12</c:v>
                </c:pt>
                <c:pt idx="392">
                  <c:v>54.71</c:v>
                </c:pt>
                <c:pt idx="393">
                  <c:v>54.92</c:v>
                </c:pt>
                <c:pt idx="394">
                  <c:v>53.62</c:v>
                </c:pt>
                <c:pt idx="395">
                  <c:v>53.75</c:v>
                </c:pt>
                <c:pt idx="396">
                  <c:v>53.22</c:v>
                </c:pt>
                <c:pt idx="397">
                  <c:v>53.47</c:v>
                </c:pt>
                <c:pt idx="398">
                  <c:v>53.19</c:v>
                </c:pt>
                <c:pt idx="399">
                  <c:v>53.13</c:v>
                </c:pt>
                <c:pt idx="400">
                  <c:v>52.96</c:v>
                </c:pt>
                <c:pt idx="401">
                  <c:v>52.97</c:v>
                </c:pt>
                <c:pt idx="402">
                  <c:v>52.65</c:v>
                </c:pt>
                <c:pt idx="403">
                  <c:v>52.84</c:v>
                </c:pt>
                <c:pt idx="404">
                  <c:v>53.26</c:v>
                </c:pt>
                <c:pt idx="405">
                  <c:v>53.33</c:v>
                </c:pt>
                <c:pt idx="406">
                  <c:v>53.19</c:v>
                </c:pt>
                <c:pt idx="407">
                  <c:v>53.22</c:v>
                </c:pt>
                <c:pt idx="408">
                  <c:v>53.55</c:v>
                </c:pt>
                <c:pt idx="409">
                  <c:v>53.65</c:v>
                </c:pt>
                <c:pt idx="410">
                  <c:v>53.47</c:v>
                </c:pt>
                <c:pt idx="411">
                  <c:v>53.96</c:v>
                </c:pt>
                <c:pt idx="412">
                  <c:v>53.56</c:v>
                </c:pt>
                <c:pt idx="413">
                  <c:v>53.38</c:v>
                </c:pt>
                <c:pt idx="414">
                  <c:v>53.44</c:v>
                </c:pt>
                <c:pt idx="415">
                  <c:v>53.5</c:v>
                </c:pt>
                <c:pt idx="416">
                  <c:v>53.7</c:v>
                </c:pt>
                <c:pt idx="417">
                  <c:v>53.54</c:v>
                </c:pt>
                <c:pt idx="418">
                  <c:v>53.88</c:v>
                </c:pt>
                <c:pt idx="419">
                  <c:v>53.82</c:v>
                </c:pt>
                <c:pt idx="420">
                  <c:v>54</c:v>
                </c:pt>
                <c:pt idx="421">
                  <c:v>53.86</c:v>
                </c:pt>
                <c:pt idx="422">
                  <c:v>54.56</c:v>
                </c:pt>
                <c:pt idx="423">
                  <c:v>53.82</c:v>
                </c:pt>
                <c:pt idx="424">
                  <c:v>53.28</c:v>
                </c:pt>
                <c:pt idx="425">
                  <c:v>53.06</c:v>
                </c:pt>
                <c:pt idx="426">
                  <c:v>53.99</c:v>
                </c:pt>
                <c:pt idx="427">
                  <c:v>53.87</c:v>
                </c:pt>
                <c:pt idx="428">
                  <c:v>53.82</c:v>
                </c:pt>
                <c:pt idx="429">
                  <c:v>54.29</c:v>
                </c:pt>
                <c:pt idx="430">
                  <c:v>54.34</c:v>
                </c:pt>
                <c:pt idx="431">
                  <c:v>54.43</c:v>
                </c:pt>
                <c:pt idx="432">
                  <c:v>54.9</c:v>
                </c:pt>
                <c:pt idx="433">
                  <c:v>55.73</c:v>
                </c:pt>
                <c:pt idx="434">
                  <c:v>55.97</c:v>
                </c:pt>
                <c:pt idx="435">
                  <c:v>56.39</c:v>
                </c:pt>
                <c:pt idx="436">
                  <c:v>57.02</c:v>
                </c:pt>
                <c:pt idx="437">
                  <c:v>57.47</c:v>
                </c:pt>
                <c:pt idx="438">
                  <c:v>58.08</c:v>
                </c:pt>
                <c:pt idx="439">
                  <c:v>57.81</c:v>
                </c:pt>
                <c:pt idx="440">
                  <c:v>58.47</c:v>
                </c:pt>
                <c:pt idx="441">
                  <c:v>59.19</c:v>
                </c:pt>
                <c:pt idx="442">
                  <c:v>59.72</c:v>
                </c:pt>
                <c:pt idx="443">
                  <c:v>59.96</c:v>
                </c:pt>
                <c:pt idx="444">
                  <c:v>60.52</c:v>
                </c:pt>
                <c:pt idx="445">
                  <c:v>60.34</c:v>
                </c:pt>
                <c:pt idx="446">
                  <c:v>59.74</c:v>
                </c:pt>
                <c:pt idx="447">
                  <c:v>59.42</c:v>
                </c:pt>
                <c:pt idx="448">
                  <c:v>58.81</c:v>
                </c:pt>
                <c:pt idx="449">
                  <c:v>58.48</c:v>
                </c:pt>
                <c:pt idx="450">
                  <c:v>58.53</c:v>
                </c:pt>
                <c:pt idx="451">
                  <c:v>58.84</c:v>
                </c:pt>
                <c:pt idx="452">
                  <c:v>59</c:v>
                </c:pt>
                <c:pt idx="453">
                  <c:v>58.92</c:v>
                </c:pt>
                <c:pt idx="454">
                  <c:v>58.91</c:v>
                </c:pt>
                <c:pt idx="455">
                  <c:v>58.81</c:v>
                </c:pt>
                <c:pt idx="456">
                  <c:v>58.98</c:v>
                </c:pt>
                <c:pt idx="457">
                  <c:v>59.25</c:v>
                </c:pt>
                <c:pt idx="458">
                  <c:v>60.02</c:v>
                </c:pt>
                <c:pt idx="459">
                  <c:v>60.03</c:v>
                </c:pt>
                <c:pt idx="460">
                  <c:v>59.99</c:v>
                </c:pt>
                <c:pt idx="461">
                  <c:v>60.05</c:v>
                </c:pt>
                <c:pt idx="462">
                  <c:v>59.46</c:v>
                </c:pt>
                <c:pt idx="463">
                  <c:v>59.36</c:v>
                </c:pt>
                <c:pt idx="464">
                  <c:v>59.51</c:v>
                </c:pt>
                <c:pt idx="465">
                  <c:v>59.87</c:v>
                </c:pt>
                <c:pt idx="466">
                  <c:v>59.67</c:v>
                </c:pt>
                <c:pt idx="467">
                  <c:v>60.15</c:v>
                </c:pt>
                <c:pt idx="468">
                  <c:v>61.14</c:v>
                </c:pt>
                <c:pt idx="469">
                  <c:v>60.74</c:v>
                </c:pt>
                <c:pt idx="470">
                  <c:v>60.76</c:v>
                </c:pt>
                <c:pt idx="471">
                  <c:v>61.11</c:v>
                </c:pt>
                <c:pt idx="472">
                  <c:v>61.16</c:v>
                </c:pt>
                <c:pt idx="473">
                  <c:v>61.18</c:v>
                </c:pt>
                <c:pt idx="474">
                  <c:v>60.96</c:v>
                </c:pt>
                <c:pt idx="475">
                  <c:v>61.51</c:v>
                </c:pt>
                <c:pt idx="476">
                  <c:v>61.92</c:v>
                </c:pt>
                <c:pt idx="477">
                  <c:v>61.63</c:v>
                </c:pt>
                <c:pt idx="478">
                  <c:v>62.74</c:v>
                </c:pt>
                <c:pt idx="479">
                  <c:v>62.63</c:v>
                </c:pt>
                <c:pt idx="480">
                  <c:v>63.29</c:v>
                </c:pt>
                <c:pt idx="481">
                  <c:v>64.67</c:v>
                </c:pt>
                <c:pt idx="482">
                  <c:v>64.91</c:v>
                </c:pt>
                <c:pt idx="483">
                  <c:v>65.790000000000006</c:v>
                </c:pt>
                <c:pt idx="484">
                  <c:v>65.94</c:v>
                </c:pt>
                <c:pt idx="485">
                  <c:v>67.260000000000005</c:v>
                </c:pt>
                <c:pt idx="486">
                  <c:v>67.5</c:v>
                </c:pt>
                <c:pt idx="487">
                  <c:v>68.13</c:v>
                </c:pt>
                <c:pt idx="488">
                  <c:v>68.209999999999994</c:v>
                </c:pt>
                <c:pt idx="489">
                  <c:v>67.569999999999993</c:v>
                </c:pt>
                <c:pt idx="490">
                  <c:v>67.56</c:v>
                </c:pt>
                <c:pt idx="491">
                  <c:v>67.42</c:v>
                </c:pt>
                <c:pt idx="492">
                  <c:v>67.55</c:v>
                </c:pt>
                <c:pt idx="493">
                  <c:v>67.59</c:v>
                </c:pt>
                <c:pt idx="494">
                  <c:v>67.56</c:v>
                </c:pt>
                <c:pt idx="495">
                  <c:v>67.84</c:v>
                </c:pt>
                <c:pt idx="496">
                  <c:v>68.02</c:v>
                </c:pt>
                <c:pt idx="497">
                  <c:v>69.209999999999994</c:v>
                </c:pt>
                <c:pt idx="498">
                  <c:v>69.75</c:v>
                </c:pt>
                <c:pt idx="499">
                  <c:v>69.77</c:v>
                </c:pt>
                <c:pt idx="500">
                  <c:v>71.319999999999993</c:v>
                </c:pt>
                <c:pt idx="501">
                  <c:v>70.47</c:v>
                </c:pt>
                <c:pt idx="502">
                  <c:v>70.12</c:v>
                </c:pt>
                <c:pt idx="503">
                  <c:v>70.239999999999995</c:v>
                </c:pt>
                <c:pt idx="504">
                  <c:v>69.3</c:v>
                </c:pt>
                <c:pt idx="505">
                  <c:v>68</c:v>
                </c:pt>
                <c:pt idx="506">
                  <c:v>67.239999999999995</c:v>
                </c:pt>
                <c:pt idx="507">
                  <c:v>66.08</c:v>
                </c:pt>
                <c:pt idx="508">
                  <c:v>65.53</c:v>
                </c:pt>
                <c:pt idx="509">
                  <c:v>64.8</c:v>
                </c:pt>
                <c:pt idx="510">
                  <c:v>64.09</c:v>
                </c:pt>
                <c:pt idx="511">
                  <c:v>63</c:v>
                </c:pt>
                <c:pt idx="512">
                  <c:v>62.28</c:v>
                </c:pt>
                <c:pt idx="513">
                  <c:v>62.11</c:v>
                </c:pt>
                <c:pt idx="514">
                  <c:v>62.64</c:v>
                </c:pt>
                <c:pt idx="515">
                  <c:v>62.24</c:v>
                </c:pt>
                <c:pt idx="516">
                  <c:v>61.95</c:v>
                </c:pt>
                <c:pt idx="517">
                  <c:v>62.15</c:v>
                </c:pt>
                <c:pt idx="518">
                  <c:v>62.81</c:v>
                </c:pt>
                <c:pt idx="519">
                  <c:v>62.34</c:v>
                </c:pt>
                <c:pt idx="520">
                  <c:v>61.45</c:v>
                </c:pt>
                <c:pt idx="521">
                  <c:v>62.13</c:v>
                </c:pt>
                <c:pt idx="522">
                  <c:v>62.72</c:v>
                </c:pt>
                <c:pt idx="523">
                  <c:v>62.82</c:v>
                </c:pt>
                <c:pt idx="524">
                  <c:v>63.28</c:v>
                </c:pt>
                <c:pt idx="525">
                  <c:v>62.71</c:v>
                </c:pt>
                <c:pt idx="526">
                  <c:v>62.17</c:v>
                </c:pt>
                <c:pt idx="527">
                  <c:v>62.13</c:v>
                </c:pt>
                <c:pt idx="528">
                  <c:v>62.12</c:v>
                </c:pt>
                <c:pt idx="529">
                  <c:v>62.47</c:v>
                </c:pt>
                <c:pt idx="530">
                  <c:v>62.57</c:v>
                </c:pt>
                <c:pt idx="531">
                  <c:v>62.85</c:v>
                </c:pt>
                <c:pt idx="532">
                  <c:v>63.11</c:v>
                </c:pt>
                <c:pt idx="533">
                  <c:v>62.87</c:v>
                </c:pt>
                <c:pt idx="534">
                  <c:v>63.06</c:v>
                </c:pt>
                <c:pt idx="535">
                  <c:v>63.11</c:v>
                </c:pt>
                <c:pt idx="536">
                  <c:v>62.91</c:v>
                </c:pt>
                <c:pt idx="537">
                  <c:v>62.3</c:v>
                </c:pt>
                <c:pt idx="538">
                  <c:v>62.23</c:v>
                </c:pt>
                <c:pt idx="539">
                  <c:v>62.72</c:v>
                </c:pt>
                <c:pt idx="540">
                  <c:v>63.01</c:v>
                </c:pt>
                <c:pt idx="541">
                  <c:v>62.77</c:v>
                </c:pt>
                <c:pt idx="542">
                  <c:v>62.75</c:v>
                </c:pt>
                <c:pt idx="543">
                  <c:v>62.84</c:v>
                </c:pt>
                <c:pt idx="544">
                  <c:v>62.87</c:v>
                </c:pt>
                <c:pt idx="545">
                  <c:v>62.9</c:v>
                </c:pt>
                <c:pt idx="546">
                  <c:v>63.07</c:v>
                </c:pt>
                <c:pt idx="547">
                  <c:v>63</c:v>
                </c:pt>
                <c:pt idx="548">
                  <c:v>63.24</c:v>
                </c:pt>
                <c:pt idx="549">
                  <c:v>63.17</c:v>
                </c:pt>
                <c:pt idx="550">
                  <c:v>62.87</c:v>
                </c:pt>
                <c:pt idx="551">
                  <c:v>62.86</c:v>
                </c:pt>
                <c:pt idx="552">
                  <c:v>62.75</c:v>
                </c:pt>
                <c:pt idx="553">
                  <c:v>62.62</c:v>
                </c:pt>
                <c:pt idx="554">
                  <c:v>62.45</c:v>
                </c:pt>
                <c:pt idx="555">
                  <c:v>62.6</c:v>
                </c:pt>
                <c:pt idx="556">
                  <c:v>62.3</c:v>
                </c:pt>
                <c:pt idx="557">
                  <c:v>61.82</c:v>
                </c:pt>
                <c:pt idx="558">
                  <c:v>61.78</c:v>
                </c:pt>
                <c:pt idx="559">
                  <c:v>61.71</c:v>
                </c:pt>
                <c:pt idx="560">
                  <c:v>61.57</c:v>
                </c:pt>
                <c:pt idx="561">
                  <c:v>61.49</c:v>
                </c:pt>
                <c:pt idx="562">
                  <c:v>61.48</c:v>
                </c:pt>
                <c:pt idx="563">
                  <c:v>60.99</c:v>
                </c:pt>
                <c:pt idx="564">
                  <c:v>60.62</c:v>
                </c:pt>
                <c:pt idx="565">
                  <c:v>60.14</c:v>
                </c:pt>
                <c:pt idx="566">
                  <c:v>59.83</c:v>
                </c:pt>
                <c:pt idx="567">
                  <c:v>59.53</c:v>
                </c:pt>
                <c:pt idx="568">
                  <c:v>59.62</c:v>
                </c:pt>
                <c:pt idx="569">
                  <c:v>59.7</c:v>
                </c:pt>
                <c:pt idx="570">
                  <c:v>59.74</c:v>
                </c:pt>
                <c:pt idx="571">
                  <c:v>59.41</c:v>
                </c:pt>
                <c:pt idx="572">
                  <c:v>59.29</c:v>
                </c:pt>
                <c:pt idx="573">
                  <c:v>59.11</c:v>
                </c:pt>
                <c:pt idx="574">
                  <c:v>58.76</c:v>
                </c:pt>
                <c:pt idx="575">
                  <c:v>58.49</c:v>
                </c:pt>
                <c:pt idx="576">
                  <c:v>58.27</c:v>
                </c:pt>
                <c:pt idx="577">
                  <c:v>58.01</c:v>
                </c:pt>
                <c:pt idx="578">
                  <c:v>58.09</c:v>
                </c:pt>
                <c:pt idx="579">
                  <c:v>58.11</c:v>
                </c:pt>
                <c:pt idx="580">
                  <c:v>57.93</c:v>
                </c:pt>
                <c:pt idx="581">
                  <c:v>57.56</c:v>
                </c:pt>
                <c:pt idx="582">
                  <c:v>58.1</c:v>
                </c:pt>
                <c:pt idx="583">
                  <c:v>58.2</c:v>
                </c:pt>
                <c:pt idx="584">
                  <c:v>58.16</c:v>
                </c:pt>
                <c:pt idx="585">
                  <c:v>58.1</c:v>
                </c:pt>
                <c:pt idx="586">
                  <c:v>58.19</c:v>
                </c:pt>
                <c:pt idx="587">
                  <c:v>58.88</c:v>
                </c:pt>
                <c:pt idx="588">
                  <c:v>58.83</c:v>
                </c:pt>
                <c:pt idx="589">
                  <c:v>58.67</c:v>
                </c:pt>
                <c:pt idx="590">
                  <c:v>58.96</c:v>
                </c:pt>
                <c:pt idx="591">
                  <c:v>58.85</c:v>
                </c:pt>
                <c:pt idx="592">
                  <c:v>59.13</c:v>
                </c:pt>
                <c:pt idx="593">
                  <c:v>59.68</c:v>
                </c:pt>
                <c:pt idx="594">
                  <c:v>59.48</c:v>
                </c:pt>
                <c:pt idx="595">
                  <c:v>59.36</c:v>
                </c:pt>
                <c:pt idx="596">
                  <c:v>59.77</c:v>
                </c:pt>
                <c:pt idx="597">
                  <c:v>59.74</c:v>
                </c:pt>
                <c:pt idx="598">
                  <c:v>59.67</c:v>
                </c:pt>
                <c:pt idx="599">
                  <c:v>59.43</c:v>
                </c:pt>
                <c:pt idx="600">
                  <c:v>59.29</c:v>
                </c:pt>
                <c:pt idx="601">
                  <c:v>59.36</c:v>
                </c:pt>
                <c:pt idx="602">
                  <c:v>58.95</c:v>
                </c:pt>
                <c:pt idx="603">
                  <c:v>58.58</c:v>
                </c:pt>
                <c:pt idx="604">
                  <c:v>58.55</c:v>
                </c:pt>
                <c:pt idx="605">
                  <c:v>58.27</c:v>
                </c:pt>
                <c:pt idx="606">
                  <c:v>57.85</c:v>
                </c:pt>
                <c:pt idx="607">
                  <c:v>58.22</c:v>
                </c:pt>
                <c:pt idx="608">
                  <c:v>57.94</c:v>
                </c:pt>
                <c:pt idx="609">
                  <c:v>57.51</c:v>
                </c:pt>
                <c:pt idx="610">
                  <c:v>57.53</c:v>
                </c:pt>
                <c:pt idx="611">
                  <c:v>57.77</c:v>
                </c:pt>
                <c:pt idx="612">
                  <c:v>57.72</c:v>
                </c:pt>
                <c:pt idx="613">
                  <c:v>57.71</c:v>
                </c:pt>
                <c:pt idx="614">
                  <c:v>58.06</c:v>
                </c:pt>
                <c:pt idx="615">
                  <c:v>58.15</c:v>
                </c:pt>
                <c:pt idx="616">
                  <c:v>58.13</c:v>
                </c:pt>
                <c:pt idx="617">
                  <c:v>57.26</c:v>
                </c:pt>
                <c:pt idx="618">
                  <c:v>56.88</c:v>
                </c:pt>
                <c:pt idx="619">
                  <c:v>57.37</c:v>
                </c:pt>
                <c:pt idx="620">
                  <c:v>57.54</c:v>
                </c:pt>
                <c:pt idx="621">
                  <c:v>57.22</c:v>
                </c:pt>
                <c:pt idx="622">
                  <c:v>57.32</c:v>
                </c:pt>
                <c:pt idx="623">
                  <c:v>56.87</c:v>
                </c:pt>
                <c:pt idx="624">
                  <c:v>56.4</c:v>
                </c:pt>
                <c:pt idx="625">
                  <c:v>56.12</c:v>
                </c:pt>
                <c:pt idx="626">
                  <c:v>56.11</c:v>
                </c:pt>
                <c:pt idx="627">
                  <c:v>56.14</c:v>
                </c:pt>
                <c:pt idx="628">
                  <c:v>56.21</c:v>
                </c:pt>
                <c:pt idx="629">
                  <c:v>55.84</c:v>
                </c:pt>
                <c:pt idx="630">
                  <c:v>56.49</c:v>
                </c:pt>
                <c:pt idx="631">
                  <c:v>56.7</c:v>
                </c:pt>
                <c:pt idx="632">
                  <c:v>56.35</c:v>
                </c:pt>
                <c:pt idx="633">
                  <c:v>56.33</c:v>
                </c:pt>
                <c:pt idx="634">
                  <c:v>56.17</c:v>
                </c:pt>
                <c:pt idx="635">
                  <c:v>57.24</c:v>
                </c:pt>
                <c:pt idx="636">
                  <c:v>57.48</c:v>
                </c:pt>
                <c:pt idx="637">
                  <c:v>57.56</c:v>
                </c:pt>
                <c:pt idx="638">
                  <c:v>58.41</c:v>
                </c:pt>
                <c:pt idx="639">
                  <c:v>58.56</c:v>
                </c:pt>
                <c:pt idx="640">
                  <c:v>58.91</c:v>
                </c:pt>
                <c:pt idx="641">
                  <c:v>58.81</c:v>
                </c:pt>
                <c:pt idx="642">
                  <c:v>58.45</c:v>
                </c:pt>
                <c:pt idx="643">
                  <c:v>58.35</c:v>
                </c:pt>
                <c:pt idx="644">
                  <c:v>59.2</c:v>
                </c:pt>
                <c:pt idx="645">
                  <c:v>59.44</c:v>
                </c:pt>
                <c:pt idx="646">
                  <c:v>59.34</c:v>
                </c:pt>
                <c:pt idx="647">
                  <c:v>59.14</c:v>
                </c:pt>
                <c:pt idx="648">
                  <c:v>59.19</c:v>
                </c:pt>
                <c:pt idx="649">
                  <c:v>59.2</c:v>
                </c:pt>
                <c:pt idx="650">
                  <c:v>59.02</c:v>
                </c:pt>
                <c:pt idx="651">
                  <c:v>58.86</c:v>
                </c:pt>
                <c:pt idx="652">
                  <c:v>59.07</c:v>
                </c:pt>
                <c:pt idx="653">
                  <c:v>59.22</c:v>
                </c:pt>
                <c:pt idx="654">
                  <c:v>59.39</c:v>
                </c:pt>
                <c:pt idx="655">
                  <c:v>59.01</c:v>
                </c:pt>
                <c:pt idx="656">
                  <c:v>59.75</c:v>
                </c:pt>
                <c:pt idx="657">
                  <c:v>59.83</c:v>
                </c:pt>
                <c:pt idx="658">
                  <c:v>59.69</c:v>
                </c:pt>
                <c:pt idx="659">
                  <c:v>59.89</c:v>
                </c:pt>
                <c:pt idx="660">
                  <c:v>60.12</c:v>
                </c:pt>
                <c:pt idx="661">
                  <c:v>60.02</c:v>
                </c:pt>
                <c:pt idx="662">
                  <c:v>59.74</c:v>
                </c:pt>
                <c:pt idx="663">
                  <c:v>59.98</c:v>
                </c:pt>
                <c:pt idx="664">
                  <c:v>59.92</c:v>
                </c:pt>
                <c:pt idx="665">
                  <c:v>60.27</c:v>
                </c:pt>
                <c:pt idx="666">
                  <c:v>60.59</c:v>
                </c:pt>
                <c:pt idx="667">
                  <c:v>60.7</c:v>
                </c:pt>
                <c:pt idx="668">
                  <c:v>61.14</c:v>
                </c:pt>
                <c:pt idx="669">
                  <c:v>61.57</c:v>
                </c:pt>
                <c:pt idx="670">
                  <c:v>61.89</c:v>
                </c:pt>
                <c:pt idx="671">
                  <c:v>62.17</c:v>
                </c:pt>
                <c:pt idx="672">
                  <c:v>62.33</c:v>
                </c:pt>
                <c:pt idx="673">
                  <c:v>62.82</c:v>
                </c:pt>
                <c:pt idx="674">
                  <c:v>63.42</c:v>
                </c:pt>
                <c:pt idx="675">
                  <c:v>63.5</c:v>
                </c:pt>
                <c:pt idx="676">
                  <c:v>62.74</c:v>
                </c:pt>
                <c:pt idx="677">
                  <c:v>62.42</c:v>
                </c:pt>
                <c:pt idx="678">
                  <c:v>62.02</c:v>
                </c:pt>
                <c:pt idx="679">
                  <c:v>62.34</c:v>
                </c:pt>
                <c:pt idx="680">
                  <c:v>62.31</c:v>
                </c:pt>
                <c:pt idx="681">
                  <c:v>62.2</c:v>
                </c:pt>
                <c:pt idx="682">
                  <c:v>62.69</c:v>
                </c:pt>
                <c:pt idx="683">
                  <c:v>63.24</c:v>
                </c:pt>
                <c:pt idx="684">
                  <c:v>63.34</c:v>
                </c:pt>
                <c:pt idx="685">
                  <c:v>63.57</c:v>
                </c:pt>
                <c:pt idx="686">
                  <c:v>63.88</c:v>
                </c:pt>
                <c:pt idx="687">
                  <c:v>64.3</c:v>
                </c:pt>
                <c:pt idx="688">
                  <c:v>65.040000000000006</c:v>
                </c:pt>
                <c:pt idx="689">
                  <c:v>65.52</c:v>
                </c:pt>
                <c:pt idx="690">
                  <c:v>65.709999999999994</c:v>
                </c:pt>
                <c:pt idx="691">
                  <c:v>66.209999999999994</c:v>
                </c:pt>
                <c:pt idx="692">
                  <c:v>66.05</c:v>
                </c:pt>
                <c:pt idx="693">
                  <c:v>66.209999999999994</c:v>
                </c:pt>
                <c:pt idx="694">
                  <c:v>67.069999999999993</c:v>
                </c:pt>
                <c:pt idx="695">
                  <c:v>67.69</c:v>
                </c:pt>
                <c:pt idx="696">
                  <c:v>67.75</c:v>
                </c:pt>
                <c:pt idx="697">
                  <c:v>67.81</c:v>
                </c:pt>
                <c:pt idx="698">
                  <c:v>67.959999999999994</c:v>
                </c:pt>
                <c:pt idx="699">
                  <c:v>68.44</c:v>
                </c:pt>
                <c:pt idx="700">
                  <c:v>68.42</c:v>
                </c:pt>
                <c:pt idx="701">
                  <c:v>68.77</c:v>
                </c:pt>
                <c:pt idx="702">
                  <c:v>69.760000000000005</c:v>
                </c:pt>
                <c:pt idx="703">
                  <c:v>69.94</c:v>
                </c:pt>
                <c:pt idx="704">
                  <c:v>70.59</c:v>
                </c:pt>
                <c:pt idx="705">
                  <c:v>71.36</c:v>
                </c:pt>
                <c:pt idx="706">
                  <c:v>71.67</c:v>
                </c:pt>
                <c:pt idx="707">
                  <c:v>72.17</c:v>
                </c:pt>
                <c:pt idx="708">
                  <c:v>72.37</c:v>
                </c:pt>
                <c:pt idx="709">
                  <c:v>72.67</c:v>
                </c:pt>
                <c:pt idx="710">
                  <c:v>72.94</c:v>
                </c:pt>
                <c:pt idx="711">
                  <c:v>73.11</c:v>
                </c:pt>
                <c:pt idx="712">
                  <c:v>72.930000000000007</c:v>
                </c:pt>
                <c:pt idx="713">
                  <c:v>73.069999999999993</c:v>
                </c:pt>
                <c:pt idx="714">
                  <c:v>74.209999999999994</c:v>
                </c:pt>
                <c:pt idx="715">
                  <c:v>74.41</c:v>
                </c:pt>
                <c:pt idx="716">
                  <c:v>74.64</c:v>
                </c:pt>
                <c:pt idx="717">
                  <c:v>74.55</c:v>
                </c:pt>
                <c:pt idx="718">
                  <c:v>74.37</c:v>
                </c:pt>
                <c:pt idx="719">
                  <c:v>74.45</c:v>
                </c:pt>
                <c:pt idx="720">
                  <c:v>74.67</c:v>
                </c:pt>
                <c:pt idx="721">
                  <c:v>74.66</c:v>
                </c:pt>
                <c:pt idx="722">
                  <c:v>73.55</c:v>
                </c:pt>
                <c:pt idx="723">
                  <c:v>73.459999999999994</c:v>
                </c:pt>
                <c:pt idx="724">
                  <c:v>73.41</c:v>
                </c:pt>
                <c:pt idx="725">
                  <c:v>73.48</c:v>
                </c:pt>
                <c:pt idx="726">
                  <c:v>73.12</c:v>
                </c:pt>
                <c:pt idx="727">
                  <c:v>72.510000000000005</c:v>
                </c:pt>
                <c:pt idx="728">
                  <c:v>72.459999999999994</c:v>
                </c:pt>
                <c:pt idx="729">
                  <c:v>72.77</c:v>
                </c:pt>
                <c:pt idx="730">
                  <c:v>72.69</c:v>
                </c:pt>
                <c:pt idx="731">
                  <c:v>72.569999999999993</c:v>
                </c:pt>
                <c:pt idx="732">
                  <c:v>72.47</c:v>
                </c:pt>
                <c:pt idx="733">
                  <c:v>73.09</c:v>
                </c:pt>
                <c:pt idx="734">
                  <c:v>73.2</c:v>
                </c:pt>
                <c:pt idx="735">
                  <c:v>73.540000000000006</c:v>
                </c:pt>
                <c:pt idx="736">
                  <c:v>73.62</c:v>
                </c:pt>
                <c:pt idx="737">
                  <c:v>73.67</c:v>
                </c:pt>
                <c:pt idx="738">
                  <c:v>73.25</c:v>
                </c:pt>
                <c:pt idx="739">
                  <c:v>72.930000000000007</c:v>
                </c:pt>
                <c:pt idx="740">
                  <c:v>72.89</c:v>
                </c:pt>
                <c:pt idx="741">
                  <c:v>72.73</c:v>
                </c:pt>
                <c:pt idx="742">
                  <c:v>72.739999999999995</c:v>
                </c:pt>
                <c:pt idx="743">
                  <c:v>72.45</c:v>
                </c:pt>
                <c:pt idx="744">
                  <c:v>72.73</c:v>
                </c:pt>
                <c:pt idx="745">
                  <c:v>72.84</c:v>
                </c:pt>
                <c:pt idx="746">
                  <c:v>72.69</c:v>
                </c:pt>
                <c:pt idx="747">
                  <c:v>72.650000000000006</c:v>
                </c:pt>
                <c:pt idx="748">
                  <c:v>72.69</c:v>
                </c:pt>
                <c:pt idx="749">
                  <c:v>72.94</c:v>
                </c:pt>
                <c:pt idx="750">
                  <c:v>72.989999999999995</c:v>
                </c:pt>
                <c:pt idx="751">
                  <c:v>73.14</c:v>
                </c:pt>
                <c:pt idx="752">
                  <c:v>73.98</c:v>
                </c:pt>
                <c:pt idx="753">
                  <c:v>74.23</c:v>
                </c:pt>
                <c:pt idx="754">
                  <c:v>74.319999999999993</c:v>
                </c:pt>
                <c:pt idx="755">
                  <c:v>74.91</c:v>
                </c:pt>
                <c:pt idx="756">
                  <c:v>74.92</c:v>
                </c:pt>
                <c:pt idx="757">
                  <c:v>74.69</c:v>
                </c:pt>
                <c:pt idx="758">
                  <c:v>74.97</c:v>
                </c:pt>
                <c:pt idx="759">
                  <c:v>74.42</c:v>
                </c:pt>
                <c:pt idx="760">
                  <c:v>74.25</c:v>
                </c:pt>
                <c:pt idx="761">
                  <c:v>73.849999999999994</c:v>
                </c:pt>
                <c:pt idx="762">
                  <c:v>74.02</c:v>
                </c:pt>
                <c:pt idx="763">
                  <c:v>74.099999999999994</c:v>
                </c:pt>
                <c:pt idx="764">
                  <c:v>73.88</c:v>
                </c:pt>
                <c:pt idx="765">
                  <c:v>73.86</c:v>
                </c:pt>
                <c:pt idx="766">
                  <c:v>74.040000000000006</c:v>
                </c:pt>
                <c:pt idx="767">
                  <c:v>74.05</c:v>
                </c:pt>
                <c:pt idx="768">
                  <c:v>74.489999999999995</c:v>
                </c:pt>
                <c:pt idx="769">
                  <c:v>74.790000000000006</c:v>
                </c:pt>
                <c:pt idx="770">
                  <c:v>74.989999999999995</c:v>
                </c:pt>
                <c:pt idx="771">
                  <c:v>75.319999999999993</c:v>
                </c:pt>
                <c:pt idx="772">
                  <c:v>75.599999999999994</c:v>
                </c:pt>
                <c:pt idx="773">
                  <c:v>76.040000000000006</c:v>
                </c:pt>
                <c:pt idx="774">
                  <c:v>76.42</c:v>
                </c:pt>
                <c:pt idx="775">
                  <c:v>77.239999999999995</c:v>
                </c:pt>
                <c:pt idx="776">
                  <c:v>77.260000000000005</c:v>
                </c:pt>
                <c:pt idx="777">
                  <c:v>77.959999999999994</c:v>
                </c:pt>
                <c:pt idx="778">
                  <c:v>79</c:v>
                </c:pt>
                <c:pt idx="779">
                  <c:v>79.12</c:v>
                </c:pt>
                <c:pt idx="780">
                  <c:v>79.86</c:v>
                </c:pt>
                <c:pt idx="781">
                  <c:v>79.62</c:v>
                </c:pt>
                <c:pt idx="782">
                  <c:v>78.91</c:v>
                </c:pt>
                <c:pt idx="783">
                  <c:v>81.260000000000005</c:v>
                </c:pt>
                <c:pt idx="784">
                  <c:v>83.62</c:v>
                </c:pt>
                <c:pt idx="785">
                  <c:v>84.19</c:v>
                </c:pt>
                <c:pt idx="786">
                  <c:v>84.85</c:v>
                </c:pt>
                <c:pt idx="787">
                  <c:v>86.67</c:v>
                </c:pt>
                <c:pt idx="788">
                  <c:v>87.18</c:v>
                </c:pt>
                <c:pt idx="789">
                  <c:v>87.68</c:v>
                </c:pt>
                <c:pt idx="790">
                  <c:v>87.49</c:v>
                </c:pt>
                <c:pt idx="791">
                  <c:v>87.67</c:v>
                </c:pt>
                <c:pt idx="792">
                  <c:v>87.85</c:v>
                </c:pt>
                <c:pt idx="793">
                  <c:v>88.71</c:v>
                </c:pt>
                <c:pt idx="794">
                  <c:v>88.52</c:v>
                </c:pt>
                <c:pt idx="795">
                  <c:v>89.08</c:v>
                </c:pt>
                <c:pt idx="796">
                  <c:v>89.39</c:v>
                </c:pt>
                <c:pt idx="797">
                  <c:v>89.88</c:v>
                </c:pt>
                <c:pt idx="798">
                  <c:v>89.83</c:v>
                </c:pt>
                <c:pt idx="799">
                  <c:v>90.26</c:v>
                </c:pt>
                <c:pt idx="800">
                  <c:v>90.33</c:v>
                </c:pt>
                <c:pt idx="801">
                  <c:v>90.18</c:v>
                </c:pt>
                <c:pt idx="802">
                  <c:v>90.08</c:v>
                </c:pt>
                <c:pt idx="803">
                  <c:v>90.14</c:v>
                </c:pt>
                <c:pt idx="804">
                  <c:v>89.74</c:v>
                </c:pt>
                <c:pt idx="805">
                  <c:v>89.12</c:v>
                </c:pt>
                <c:pt idx="806">
                  <c:v>88.94</c:v>
                </c:pt>
                <c:pt idx="807">
                  <c:v>87.92</c:v>
                </c:pt>
                <c:pt idx="808">
                  <c:v>87.87</c:v>
                </c:pt>
                <c:pt idx="809">
                  <c:v>87.71</c:v>
                </c:pt>
                <c:pt idx="810">
                  <c:v>86.62</c:v>
                </c:pt>
                <c:pt idx="811">
                  <c:v>85.97</c:v>
                </c:pt>
                <c:pt idx="812">
                  <c:v>84.82</c:v>
                </c:pt>
                <c:pt idx="813">
                  <c:v>84.63</c:v>
                </c:pt>
                <c:pt idx="814">
                  <c:v>84.83</c:v>
                </c:pt>
                <c:pt idx="815">
                  <c:v>85.25</c:v>
                </c:pt>
                <c:pt idx="816">
                  <c:v>85.72</c:v>
                </c:pt>
                <c:pt idx="817">
                  <c:v>85.57</c:v>
                </c:pt>
                <c:pt idx="818">
                  <c:v>84.98</c:v>
                </c:pt>
                <c:pt idx="819">
                  <c:v>85.3</c:v>
                </c:pt>
                <c:pt idx="820">
                  <c:v>84.71</c:v>
                </c:pt>
                <c:pt idx="821">
                  <c:v>83.78</c:v>
                </c:pt>
                <c:pt idx="822">
                  <c:v>83.49</c:v>
                </c:pt>
                <c:pt idx="823">
                  <c:v>82.57</c:v>
                </c:pt>
                <c:pt idx="824">
                  <c:v>81.97</c:v>
                </c:pt>
                <c:pt idx="825">
                  <c:v>81.599999999999994</c:v>
                </c:pt>
                <c:pt idx="826">
                  <c:v>80.540000000000006</c:v>
                </c:pt>
                <c:pt idx="827">
                  <c:v>80.489999999999995</c:v>
                </c:pt>
                <c:pt idx="828">
                  <c:v>80.37</c:v>
                </c:pt>
                <c:pt idx="829">
                  <c:v>80.13</c:v>
                </c:pt>
                <c:pt idx="830">
                  <c:v>79.069999999999993</c:v>
                </c:pt>
                <c:pt idx="831">
                  <c:v>79.05</c:v>
                </c:pt>
                <c:pt idx="832">
                  <c:v>77.61</c:v>
                </c:pt>
                <c:pt idx="833">
                  <c:v>76.38</c:v>
                </c:pt>
                <c:pt idx="834">
                  <c:v>75.930000000000007</c:v>
                </c:pt>
                <c:pt idx="835">
                  <c:v>75.069999999999993</c:v>
                </c:pt>
                <c:pt idx="836">
                  <c:v>74.34</c:v>
                </c:pt>
                <c:pt idx="837">
                  <c:v>73.569999999999993</c:v>
                </c:pt>
                <c:pt idx="838">
                  <c:v>73.12</c:v>
                </c:pt>
                <c:pt idx="839">
                  <c:v>73.069999999999993</c:v>
                </c:pt>
                <c:pt idx="840">
                  <c:v>72.930000000000007</c:v>
                </c:pt>
                <c:pt idx="841">
                  <c:v>72.680000000000007</c:v>
                </c:pt>
                <c:pt idx="842">
                  <c:v>72.59</c:v>
                </c:pt>
                <c:pt idx="843">
                  <c:v>72.03</c:v>
                </c:pt>
                <c:pt idx="844">
                  <c:v>71.22</c:v>
                </c:pt>
                <c:pt idx="845">
                  <c:v>71.13</c:v>
                </c:pt>
                <c:pt idx="846">
                  <c:v>71.239999999999995</c:v>
                </c:pt>
                <c:pt idx="847">
                  <c:v>70.819999999999993</c:v>
                </c:pt>
                <c:pt idx="848">
                  <c:v>69.42</c:v>
                </c:pt>
                <c:pt idx="849">
                  <c:v>69.17</c:v>
                </c:pt>
                <c:pt idx="850">
                  <c:v>68.95</c:v>
                </c:pt>
                <c:pt idx="851">
                  <c:v>68.849999999999994</c:v>
                </c:pt>
                <c:pt idx="852">
                  <c:v>68.89</c:v>
                </c:pt>
                <c:pt idx="853">
                  <c:v>69.02</c:v>
                </c:pt>
                <c:pt idx="854">
                  <c:v>68.959999999999994</c:v>
                </c:pt>
                <c:pt idx="855">
                  <c:v>69.53</c:v>
                </c:pt>
                <c:pt idx="856">
                  <c:v>68.790000000000006</c:v>
                </c:pt>
                <c:pt idx="857">
                  <c:v>67.73</c:v>
                </c:pt>
                <c:pt idx="858">
                  <c:v>67.97</c:v>
                </c:pt>
                <c:pt idx="859">
                  <c:v>67.64</c:v>
                </c:pt>
                <c:pt idx="860">
                  <c:v>67.61</c:v>
                </c:pt>
                <c:pt idx="861">
                  <c:v>67.5</c:v>
                </c:pt>
                <c:pt idx="862">
                  <c:v>67.36</c:v>
                </c:pt>
                <c:pt idx="863">
                  <c:v>68.069999999999993</c:v>
                </c:pt>
                <c:pt idx="864">
                  <c:v>68.11</c:v>
                </c:pt>
                <c:pt idx="865">
                  <c:v>68.430000000000007</c:v>
                </c:pt>
                <c:pt idx="866">
                  <c:v>68.27</c:v>
                </c:pt>
                <c:pt idx="867">
                  <c:v>68.040000000000006</c:v>
                </c:pt>
                <c:pt idx="868">
                  <c:v>67.58</c:v>
                </c:pt>
                <c:pt idx="869">
                  <c:v>67.650000000000006</c:v>
                </c:pt>
                <c:pt idx="870">
                  <c:v>67.02</c:v>
                </c:pt>
                <c:pt idx="871">
                  <c:v>65.680000000000007</c:v>
                </c:pt>
                <c:pt idx="872">
                  <c:v>65.25</c:v>
                </c:pt>
                <c:pt idx="873">
                  <c:v>64.150000000000006</c:v>
                </c:pt>
                <c:pt idx="874">
                  <c:v>64.05</c:v>
                </c:pt>
                <c:pt idx="875">
                  <c:v>63.44</c:v>
                </c:pt>
                <c:pt idx="876">
                  <c:v>63.35</c:v>
                </c:pt>
                <c:pt idx="877">
                  <c:v>63.19</c:v>
                </c:pt>
                <c:pt idx="878">
                  <c:v>62.98</c:v>
                </c:pt>
                <c:pt idx="879">
                  <c:v>62.91</c:v>
                </c:pt>
                <c:pt idx="880">
                  <c:v>62.73</c:v>
                </c:pt>
                <c:pt idx="881">
                  <c:v>62.78</c:v>
                </c:pt>
                <c:pt idx="882">
                  <c:v>62.84</c:v>
                </c:pt>
                <c:pt idx="883">
                  <c:v>62.93</c:v>
                </c:pt>
                <c:pt idx="884">
                  <c:v>63.39</c:v>
                </c:pt>
                <c:pt idx="885">
                  <c:v>63.56</c:v>
                </c:pt>
                <c:pt idx="886">
                  <c:v>64.02</c:v>
                </c:pt>
                <c:pt idx="887">
                  <c:v>64</c:v>
                </c:pt>
                <c:pt idx="888">
                  <c:v>64.11</c:v>
                </c:pt>
                <c:pt idx="889">
                  <c:v>63.74</c:v>
                </c:pt>
                <c:pt idx="890">
                  <c:v>63.7</c:v>
                </c:pt>
                <c:pt idx="891">
                  <c:v>63.64</c:v>
                </c:pt>
                <c:pt idx="892">
                  <c:v>63.51</c:v>
                </c:pt>
                <c:pt idx="893">
                  <c:v>63.54</c:v>
                </c:pt>
                <c:pt idx="894">
                  <c:v>63.71</c:v>
                </c:pt>
                <c:pt idx="895">
                  <c:v>64</c:v>
                </c:pt>
                <c:pt idx="896">
                  <c:v>64.010000000000005</c:v>
                </c:pt>
                <c:pt idx="897">
                  <c:v>63.67</c:v>
                </c:pt>
                <c:pt idx="898">
                  <c:v>63.58</c:v>
                </c:pt>
                <c:pt idx="899">
                  <c:v>63.61</c:v>
                </c:pt>
                <c:pt idx="900">
                  <c:v>63.65</c:v>
                </c:pt>
                <c:pt idx="901">
                  <c:v>63.89</c:v>
                </c:pt>
                <c:pt idx="902">
                  <c:v>63.7</c:v>
                </c:pt>
                <c:pt idx="903">
                  <c:v>63.37</c:v>
                </c:pt>
                <c:pt idx="904">
                  <c:v>63.26</c:v>
                </c:pt>
                <c:pt idx="905">
                  <c:v>63.33</c:v>
                </c:pt>
                <c:pt idx="906">
                  <c:v>63.83</c:v>
                </c:pt>
                <c:pt idx="907">
                  <c:v>63.87</c:v>
                </c:pt>
                <c:pt idx="908">
                  <c:v>64.03</c:v>
                </c:pt>
                <c:pt idx="909">
                  <c:v>64.05</c:v>
                </c:pt>
                <c:pt idx="910">
                  <c:v>64.319999999999993</c:v>
                </c:pt>
                <c:pt idx="911">
                  <c:v>64.34</c:v>
                </c:pt>
                <c:pt idx="912">
                  <c:v>64.489999999999995</c:v>
                </c:pt>
                <c:pt idx="913">
                  <c:v>64.260000000000005</c:v>
                </c:pt>
                <c:pt idx="914">
                  <c:v>64.290000000000006</c:v>
                </c:pt>
                <c:pt idx="915">
                  <c:v>64.34</c:v>
                </c:pt>
                <c:pt idx="916">
                  <c:v>64.53</c:v>
                </c:pt>
                <c:pt idx="917">
                  <c:v>64.58</c:v>
                </c:pt>
                <c:pt idx="918">
                  <c:v>64.7</c:v>
                </c:pt>
                <c:pt idx="919">
                  <c:v>64.78</c:v>
                </c:pt>
                <c:pt idx="920">
                  <c:v>64.819999999999993</c:v>
                </c:pt>
                <c:pt idx="921">
                  <c:v>65.150000000000006</c:v>
                </c:pt>
                <c:pt idx="922">
                  <c:v>65.069999999999993</c:v>
                </c:pt>
                <c:pt idx="923">
                  <c:v>64.97</c:v>
                </c:pt>
                <c:pt idx="924">
                  <c:v>65.03</c:v>
                </c:pt>
                <c:pt idx="925">
                  <c:v>65.08</c:v>
                </c:pt>
                <c:pt idx="926">
                  <c:v>65.19</c:v>
                </c:pt>
                <c:pt idx="927">
                  <c:v>65.36</c:v>
                </c:pt>
                <c:pt idx="928">
                  <c:v>65.33</c:v>
                </c:pt>
                <c:pt idx="929">
                  <c:v>65.319999999999993</c:v>
                </c:pt>
                <c:pt idx="930">
                  <c:v>64.75</c:v>
                </c:pt>
                <c:pt idx="931">
                  <c:v>64.319999999999993</c:v>
                </c:pt>
                <c:pt idx="932">
                  <c:v>64.33</c:v>
                </c:pt>
                <c:pt idx="933">
                  <c:v>64.36</c:v>
                </c:pt>
                <c:pt idx="934">
                  <c:v>64.34</c:v>
                </c:pt>
                <c:pt idx="935">
                  <c:v>64.36</c:v>
                </c:pt>
                <c:pt idx="936">
                  <c:v>64.260000000000005</c:v>
                </c:pt>
                <c:pt idx="937">
                  <c:v>64.31</c:v>
                </c:pt>
                <c:pt idx="938">
                  <c:v>64.569999999999993</c:v>
                </c:pt>
                <c:pt idx="939">
                  <c:v>64.77</c:v>
                </c:pt>
                <c:pt idx="940">
                  <c:v>64.930000000000007</c:v>
                </c:pt>
                <c:pt idx="941">
                  <c:v>65.09</c:v>
                </c:pt>
                <c:pt idx="942">
                  <c:v>65.3</c:v>
                </c:pt>
                <c:pt idx="943">
                  <c:v>65.19</c:v>
                </c:pt>
                <c:pt idx="944">
                  <c:v>65.209999999999994</c:v>
                </c:pt>
                <c:pt idx="945">
                  <c:v>65.150000000000006</c:v>
                </c:pt>
                <c:pt idx="946">
                  <c:v>64.98</c:v>
                </c:pt>
                <c:pt idx="947">
                  <c:v>64.959999999999994</c:v>
                </c:pt>
                <c:pt idx="948">
                  <c:v>65.12</c:v>
                </c:pt>
                <c:pt idx="949">
                  <c:v>65.53</c:v>
                </c:pt>
                <c:pt idx="950">
                  <c:v>65.489999999999995</c:v>
                </c:pt>
                <c:pt idx="951">
                  <c:v>65.61</c:v>
                </c:pt>
                <c:pt idx="952">
                  <c:v>65.47</c:v>
                </c:pt>
                <c:pt idx="953">
                  <c:v>65.63</c:v>
                </c:pt>
                <c:pt idx="954">
                  <c:v>65.66</c:v>
                </c:pt>
                <c:pt idx="955">
                  <c:v>65.709999999999994</c:v>
                </c:pt>
                <c:pt idx="956">
                  <c:v>65.84</c:v>
                </c:pt>
                <c:pt idx="957">
                  <c:v>66.03</c:v>
                </c:pt>
                <c:pt idx="958">
                  <c:v>66.239999999999995</c:v>
                </c:pt>
                <c:pt idx="959">
                  <c:v>66.150000000000006</c:v>
                </c:pt>
                <c:pt idx="960">
                  <c:v>66.430000000000007</c:v>
                </c:pt>
                <c:pt idx="961">
                  <c:v>66.69</c:v>
                </c:pt>
                <c:pt idx="962">
                  <c:v>66.8</c:v>
                </c:pt>
                <c:pt idx="963">
                  <c:v>66.849999999999994</c:v>
                </c:pt>
                <c:pt idx="964">
                  <c:v>67.08</c:v>
                </c:pt>
                <c:pt idx="965">
                  <c:v>67.31</c:v>
                </c:pt>
                <c:pt idx="966">
                  <c:v>67.34</c:v>
                </c:pt>
                <c:pt idx="967">
                  <c:v>67.36</c:v>
                </c:pt>
                <c:pt idx="968">
                  <c:v>67.459999999999994</c:v>
                </c:pt>
                <c:pt idx="969">
                  <c:v>67.52</c:v>
                </c:pt>
                <c:pt idx="970">
                  <c:v>67.62</c:v>
                </c:pt>
                <c:pt idx="971">
                  <c:v>67.61</c:v>
                </c:pt>
                <c:pt idx="972">
                  <c:v>67.64</c:v>
                </c:pt>
                <c:pt idx="973">
                  <c:v>67.67</c:v>
                </c:pt>
                <c:pt idx="974">
                  <c:v>67.819999999999993</c:v>
                </c:pt>
                <c:pt idx="975">
                  <c:v>68.239999999999995</c:v>
                </c:pt>
                <c:pt idx="976">
                  <c:v>68.400000000000006</c:v>
                </c:pt>
                <c:pt idx="977">
                  <c:v>68.62</c:v>
                </c:pt>
                <c:pt idx="978">
                  <c:v>68.760000000000005</c:v>
                </c:pt>
                <c:pt idx="979">
                  <c:v>69.040000000000006</c:v>
                </c:pt>
                <c:pt idx="980">
                  <c:v>69.540000000000006</c:v>
                </c:pt>
                <c:pt idx="981">
                  <c:v>69.91</c:v>
                </c:pt>
                <c:pt idx="982">
                  <c:v>69.97</c:v>
                </c:pt>
                <c:pt idx="983">
                  <c:v>70.3</c:v>
                </c:pt>
                <c:pt idx="984">
                  <c:v>70.150000000000006</c:v>
                </c:pt>
                <c:pt idx="985">
                  <c:v>69.989999999999995</c:v>
                </c:pt>
                <c:pt idx="986">
                  <c:v>69.760000000000005</c:v>
                </c:pt>
                <c:pt idx="987">
                  <c:v>69.62</c:v>
                </c:pt>
                <c:pt idx="988">
                  <c:v>69.459999999999994</c:v>
                </c:pt>
                <c:pt idx="989">
                  <c:v>69.709999999999994</c:v>
                </c:pt>
                <c:pt idx="990">
                  <c:v>69.56</c:v>
                </c:pt>
                <c:pt idx="991">
                  <c:v>69.19</c:v>
                </c:pt>
                <c:pt idx="992">
                  <c:v>69.27</c:v>
                </c:pt>
                <c:pt idx="993">
                  <c:v>69.42</c:v>
                </c:pt>
                <c:pt idx="994">
                  <c:v>69.47</c:v>
                </c:pt>
                <c:pt idx="995">
                  <c:v>69.5</c:v>
                </c:pt>
                <c:pt idx="996">
                  <c:v>69.48</c:v>
                </c:pt>
                <c:pt idx="997">
                  <c:v>69.459999999999994</c:v>
                </c:pt>
                <c:pt idx="998">
                  <c:v>69.5</c:v>
                </c:pt>
                <c:pt idx="999">
                  <c:v>69.45</c:v>
                </c:pt>
                <c:pt idx="1000">
                  <c:v>69.38</c:v>
                </c:pt>
                <c:pt idx="1001">
                  <c:v>69.13</c:v>
                </c:pt>
                <c:pt idx="1002">
                  <c:v>69</c:v>
                </c:pt>
                <c:pt idx="1003">
                  <c:v>68.94</c:v>
                </c:pt>
                <c:pt idx="1004">
                  <c:v>69.02</c:v>
                </c:pt>
                <c:pt idx="1005">
                  <c:v>68.84</c:v>
                </c:pt>
                <c:pt idx="1006">
                  <c:v>68.790000000000006</c:v>
                </c:pt>
                <c:pt idx="1007">
                  <c:v>68.430000000000007</c:v>
                </c:pt>
                <c:pt idx="1008">
                  <c:v>68.37</c:v>
                </c:pt>
                <c:pt idx="1009">
                  <c:v>68.41</c:v>
                </c:pt>
                <c:pt idx="1010">
                  <c:v>68.12</c:v>
                </c:pt>
                <c:pt idx="1011">
                  <c:v>67.459999999999994</c:v>
                </c:pt>
                <c:pt idx="1012">
                  <c:v>67.040000000000006</c:v>
                </c:pt>
                <c:pt idx="1013">
                  <c:v>66.72</c:v>
                </c:pt>
                <c:pt idx="1014">
                  <c:v>66.63</c:v>
                </c:pt>
                <c:pt idx="1015">
                  <c:v>66.69</c:v>
                </c:pt>
                <c:pt idx="1016">
                  <c:v>66.22</c:v>
                </c:pt>
                <c:pt idx="1017">
                  <c:v>65.87</c:v>
                </c:pt>
                <c:pt idx="1018">
                  <c:v>65.959999999999994</c:v>
                </c:pt>
                <c:pt idx="1019">
                  <c:v>66.099999999999994</c:v>
                </c:pt>
                <c:pt idx="1020">
                  <c:v>66.17</c:v>
                </c:pt>
                <c:pt idx="1021">
                  <c:v>66.28</c:v>
                </c:pt>
                <c:pt idx="1022">
                  <c:v>66.44</c:v>
                </c:pt>
                <c:pt idx="1023">
                  <c:v>66.489999999999995</c:v>
                </c:pt>
                <c:pt idx="1024">
                  <c:v>66.78</c:v>
                </c:pt>
                <c:pt idx="1025">
                  <c:v>67.09</c:v>
                </c:pt>
                <c:pt idx="1026">
                  <c:v>67.06</c:v>
                </c:pt>
                <c:pt idx="1027">
                  <c:v>67.209999999999994</c:v>
                </c:pt>
                <c:pt idx="1028">
                  <c:v>67.67</c:v>
                </c:pt>
                <c:pt idx="1029">
                  <c:v>68.14</c:v>
                </c:pt>
                <c:pt idx="1030">
                  <c:v>68.39</c:v>
                </c:pt>
                <c:pt idx="1031">
                  <c:v>68.8</c:v>
                </c:pt>
                <c:pt idx="1032">
                  <c:v>68.739999999999995</c:v>
                </c:pt>
                <c:pt idx="1033">
                  <c:v>69.02</c:v>
                </c:pt>
                <c:pt idx="1034">
                  <c:v>69.14</c:v>
                </c:pt>
                <c:pt idx="1035">
                  <c:v>69.28</c:v>
                </c:pt>
                <c:pt idx="1036">
                  <c:v>69.28</c:v>
                </c:pt>
                <c:pt idx="1037">
                  <c:v>69.53</c:v>
                </c:pt>
                <c:pt idx="1038">
                  <c:v>69.75</c:v>
                </c:pt>
                <c:pt idx="1039">
                  <c:v>69.98</c:v>
                </c:pt>
                <c:pt idx="1040">
                  <c:v>70.23</c:v>
                </c:pt>
                <c:pt idx="1041">
                  <c:v>70.239999999999995</c:v>
                </c:pt>
                <c:pt idx="1042">
                  <c:v>70.56</c:v>
                </c:pt>
                <c:pt idx="1043">
                  <c:v>70.63</c:v>
                </c:pt>
                <c:pt idx="1044">
                  <c:v>71.09</c:v>
                </c:pt>
                <c:pt idx="1045">
                  <c:v>71.319999999999993</c:v>
                </c:pt>
                <c:pt idx="1046">
                  <c:v>71.56</c:v>
                </c:pt>
                <c:pt idx="1047">
                  <c:v>71.98</c:v>
                </c:pt>
                <c:pt idx="1048">
                  <c:v>72.099999999999994</c:v>
                </c:pt>
                <c:pt idx="1049">
                  <c:v>72.02</c:v>
                </c:pt>
                <c:pt idx="1050">
                  <c:v>71.2</c:v>
                </c:pt>
                <c:pt idx="1051">
                  <c:v>71.63</c:v>
                </c:pt>
                <c:pt idx="1052">
                  <c:v>71.37</c:v>
                </c:pt>
                <c:pt idx="1053">
                  <c:v>71.25</c:v>
                </c:pt>
                <c:pt idx="1054">
                  <c:v>71.010000000000005</c:v>
                </c:pt>
                <c:pt idx="1055">
                  <c:v>70.45</c:v>
                </c:pt>
                <c:pt idx="1056">
                  <c:v>70.33</c:v>
                </c:pt>
                <c:pt idx="1057">
                  <c:v>70.34</c:v>
                </c:pt>
                <c:pt idx="1058">
                  <c:v>70.290000000000006</c:v>
                </c:pt>
                <c:pt idx="1059">
                  <c:v>70.37</c:v>
                </c:pt>
                <c:pt idx="1060">
                  <c:v>70.319999999999993</c:v>
                </c:pt>
                <c:pt idx="1061">
                  <c:v>69.959999999999994</c:v>
                </c:pt>
                <c:pt idx="1062">
                  <c:v>69.88</c:v>
                </c:pt>
                <c:pt idx="1063">
                  <c:v>69.58</c:v>
                </c:pt>
                <c:pt idx="1064">
                  <c:v>69.790000000000006</c:v>
                </c:pt>
                <c:pt idx="1065">
                  <c:v>69.59</c:v>
                </c:pt>
                <c:pt idx="1066">
                  <c:v>69.069999999999993</c:v>
                </c:pt>
                <c:pt idx="1067">
                  <c:v>68.78</c:v>
                </c:pt>
                <c:pt idx="1068">
                  <c:v>67.73</c:v>
                </c:pt>
                <c:pt idx="1069">
                  <c:v>67.48</c:v>
                </c:pt>
                <c:pt idx="1070">
                  <c:v>67.010000000000005</c:v>
                </c:pt>
                <c:pt idx="1071">
                  <c:v>66.81</c:v>
                </c:pt>
                <c:pt idx="1072">
                  <c:v>66.45</c:v>
                </c:pt>
                <c:pt idx="1073">
                  <c:v>66.34</c:v>
                </c:pt>
                <c:pt idx="1074">
                  <c:v>66.36</c:v>
                </c:pt>
                <c:pt idx="1075">
                  <c:v>66.63</c:v>
                </c:pt>
                <c:pt idx="1076">
                  <c:v>66.67</c:v>
                </c:pt>
                <c:pt idx="1077">
                  <c:v>66.67</c:v>
                </c:pt>
                <c:pt idx="1078">
                  <c:v>66.91</c:v>
                </c:pt>
                <c:pt idx="1079">
                  <c:v>66.91</c:v>
                </c:pt>
                <c:pt idx="1080">
                  <c:v>67.05</c:v>
                </c:pt>
                <c:pt idx="1081">
                  <c:v>66.73</c:v>
                </c:pt>
                <c:pt idx="1082">
                  <c:v>66.41</c:v>
                </c:pt>
                <c:pt idx="1083">
                  <c:v>66.069999999999993</c:v>
                </c:pt>
                <c:pt idx="1084">
                  <c:v>65.98</c:v>
                </c:pt>
                <c:pt idx="1085">
                  <c:v>65.92</c:v>
                </c:pt>
                <c:pt idx="1086">
                  <c:v>65.510000000000005</c:v>
                </c:pt>
                <c:pt idx="1087">
                  <c:v>65.349999999999994</c:v>
                </c:pt>
                <c:pt idx="1088">
                  <c:v>65.42</c:v>
                </c:pt>
                <c:pt idx="1089">
                  <c:v>65.36</c:v>
                </c:pt>
                <c:pt idx="1090">
                  <c:v>65.319999999999993</c:v>
                </c:pt>
                <c:pt idx="1091">
                  <c:v>65.28</c:v>
                </c:pt>
                <c:pt idx="1092">
                  <c:v>65.34</c:v>
                </c:pt>
                <c:pt idx="1093">
                  <c:v>65.41</c:v>
                </c:pt>
                <c:pt idx="1094">
                  <c:v>65.47</c:v>
                </c:pt>
                <c:pt idx="1095">
                  <c:v>65.39</c:v>
                </c:pt>
                <c:pt idx="1096">
                  <c:v>64.989999999999995</c:v>
                </c:pt>
                <c:pt idx="1097">
                  <c:v>65.13</c:v>
                </c:pt>
                <c:pt idx="1098">
                  <c:v>64.900000000000006</c:v>
                </c:pt>
                <c:pt idx="1099">
                  <c:v>64.91</c:v>
                </c:pt>
                <c:pt idx="1100">
                  <c:v>64.760000000000005</c:v>
                </c:pt>
                <c:pt idx="1101">
                  <c:v>64.540000000000006</c:v>
                </c:pt>
                <c:pt idx="1102">
                  <c:v>64.510000000000005</c:v>
                </c:pt>
                <c:pt idx="1103">
                  <c:v>64.5</c:v>
                </c:pt>
                <c:pt idx="1104">
                  <c:v>64.540000000000006</c:v>
                </c:pt>
                <c:pt idx="1105">
                  <c:v>64.260000000000005</c:v>
                </c:pt>
                <c:pt idx="1106">
                  <c:v>64.09</c:v>
                </c:pt>
                <c:pt idx="1107">
                  <c:v>64.03</c:v>
                </c:pt>
                <c:pt idx="1108">
                  <c:v>64.209999999999994</c:v>
                </c:pt>
                <c:pt idx="1109">
                  <c:v>62.97</c:v>
                </c:pt>
                <c:pt idx="1110">
                  <c:v>63.05</c:v>
                </c:pt>
                <c:pt idx="1111">
                  <c:v>62.99</c:v>
                </c:pt>
                <c:pt idx="1112">
                  <c:v>62.89</c:v>
                </c:pt>
                <c:pt idx="1113">
                  <c:v>62.97</c:v>
                </c:pt>
                <c:pt idx="1114">
                  <c:v>63.04</c:v>
                </c:pt>
                <c:pt idx="1115">
                  <c:v>63.12</c:v>
                </c:pt>
                <c:pt idx="1116">
                  <c:v>63.09</c:v>
                </c:pt>
                <c:pt idx="1117">
                  <c:v>63.27</c:v>
                </c:pt>
                <c:pt idx="1118">
                  <c:v>63.45</c:v>
                </c:pt>
                <c:pt idx="1119">
                  <c:v>63.4</c:v>
                </c:pt>
                <c:pt idx="1120">
                  <c:v>63.58</c:v>
                </c:pt>
                <c:pt idx="1121">
                  <c:v>64.02</c:v>
                </c:pt>
                <c:pt idx="1122">
                  <c:v>64.13</c:v>
                </c:pt>
                <c:pt idx="1123">
                  <c:v>64.05</c:v>
                </c:pt>
                <c:pt idx="1124">
                  <c:v>64</c:v>
                </c:pt>
                <c:pt idx="1125">
                  <c:v>64.31</c:v>
                </c:pt>
                <c:pt idx="1126">
                  <c:v>64.37</c:v>
                </c:pt>
                <c:pt idx="1127">
                  <c:v>64.37</c:v>
                </c:pt>
                <c:pt idx="1128">
                  <c:v>64.510000000000005</c:v>
                </c:pt>
                <c:pt idx="1129">
                  <c:v>64.62</c:v>
                </c:pt>
                <c:pt idx="1130">
                  <c:v>64.64</c:v>
                </c:pt>
                <c:pt idx="1131">
                  <c:v>64.77</c:v>
                </c:pt>
                <c:pt idx="1132">
                  <c:v>64.87</c:v>
                </c:pt>
                <c:pt idx="1133">
                  <c:v>64.94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4-4042-9F0C-406C87E11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547567"/>
        <c:axId val="1092449247"/>
      </c:lineChart>
      <c:dateAx>
        <c:axId val="118154756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9247"/>
        <c:crosses val="autoZero"/>
        <c:auto val="0"/>
        <c:lblOffset val="100"/>
        <c:baseTimeUnit val="days"/>
        <c:majorUnit val="6"/>
        <c:majorTimeUnit val="months"/>
      </c:dateAx>
      <c:valAx>
        <c:axId val="109244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54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% Diária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numRef>
              <c:f>Análise_À_Vista!$A$3:$A$1136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Análise_À_Vista!$C$3:$C$1136</c:f>
              <c:numCache>
                <c:formatCode>0.00%</c:formatCode>
                <c:ptCount val="1134"/>
                <c:pt idx="0">
                  <c:v>0</c:v>
                </c:pt>
                <c:pt idx="1">
                  <c:v>7.7165525486359498E-3</c:v>
                </c:pt>
                <c:pt idx="2">
                  <c:v>9.7066436583265116E-4</c:v>
                </c:pt>
                <c:pt idx="3">
                  <c:v>5.0641094709621684E-3</c:v>
                </c:pt>
                <c:pt idx="4">
                  <c:v>2.5728987993138388E-3</c:v>
                </c:pt>
                <c:pt idx="5">
                  <c:v>9.7305389221558052E-3</c:v>
                </c:pt>
                <c:pt idx="6">
                  <c:v>7.4128984432912061E-3</c:v>
                </c:pt>
                <c:pt idx="7">
                  <c:v>1.4716703458425373E-3</c:v>
                </c:pt>
                <c:pt idx="8">
                  <c:v>1.2910674923900536E-2</c:v>
                </c:pt>
                <c:pt idx="9">
                  <c:v>2.797927461139855E-3</c:v>
                </c:pt>
                <c:pt idx="10">
                  <c:v>4.0301746409011118E-3</c:v>
                </c:pt>
                <c:pt idx="11">
                  <c:v>2.3672293124743101E-3</c:v>
                </c:pt>
                <c:pt idx="12">
                  <c:v>3.183078344799284E-3</c:v>
                </c:pt>
                <c:pt idx="13">
                  <c:v>4.4012282497440389E-3</c:v>
                </c:pt>
                <c:pt idx="14">
                  <c:v>2.0381127076327613E-3</c:v>
                </c:pt>
                <c:pt idx="15">
                  <c:v>-4.0679345062543627E-3</c:v>
                </c:pt>
                <c:pt idx="16">
                  <c:v>-1.7359338302869569E-3</c:v>
                </c:pt>
                <c:pt idx="17">
                  <c:v>1.43207855973814E-3</c:v>
                </c:pt>
                <c:pt idx="18">
                  <c:v>-5.4136874361593573E-3</c:v>
                </c:pt>
                <c:pt idx="19">
                  <c:v>3.0810311184144127E-4</c:v>
                </c:pt>
                <c:pt idx="20">
                  <c:v>2.0533880903486672E-4</c:v>
                </c:pt>
                <c:pt idx="21">
                  <c:v>-2.0529665366450441E-4</c:v>
                </c:pt>
                <c:pt idx="22">
                  <c:v>-2.6694045174538513E-3</c:v>
                </c:pt>
                <c:pt idx="23">
                  <c:v>-3.294214535721715E-3</c:v>
                </c:pt>
                <c:pt idx="24">
                  <c:v>3.2018178062384042E-3</c:v>
                </c:pt>
                <c:pt idx="25">
                  <c:v>-1.6472768454648058E-3</c:v>
                </c:pt>
                <c:pt idx="26">
                  <c:v>1.753119521501513E-3</c:v>
                </c:pt>
                <c:pt idx="27">
                  <c:v>-2.1618282890672612E-3</c:v>
                </c:pt>
                <c:pt idx="28">
                  <c:v>1.5475085112967241E-3</c:v>
                </c:pt>
                <c:pt idx="29">
                  <c:v>-3.0902348578493139E-4</c:v>
                </c:pt>
                <c:pt idx="30">
                  <c:v>-1.1025244719216828E-2</c:v>
                </c:pt>
                <c:pt idx="31">
                  <c:v>5.9387372369242878E-3</c:v>
                </c:pt>
                <c:pt idx="32">
                  <c:v>-2.0714655618846216E-4</c:v>
                </c:pt>
                <c:pt idx="33">
                  <c:v>-2.0718947477464021E-4</c:v>
                </c:pt>
                <c:pt idx="34">
                  <c:v>-2.0723241114920971E-4</c:v>
                </c:pt>
                <c:pt idx="35">
                  <c:v>3.1091304798425888E-4</c:v>
                </c:pt>
                <c:pt idx="36">
                  <c:v>2.9009531703274053E-3</c:v>
                </c:pt>
                <c:pt idx="37">
                  <c:v>5.1652892561980534E-4</c:v>
                </c:pt>
                <c:pt idx="38">
                  <c:v>4.1300980898302791E-4</c:v>
                </c:pt>
                <c:pt idx="39">
                  <c:v>4.6444421508927943E-3</c:v>
                </c:pt>
                <c:pt idx="40">
                  <c:v>-1.4382576535853767E-3</c:v>
                </c:pt>
                <c:pt idx="41">
                  <c:v>5.349794238683086E-3</c:v>
                </c:pt>
                <c:pt idx="42">
                  <c:v>4.4003274662301152E-3</c:v>
                </c:pt>
                <c:pt idx="43">
                  <c:v>2.0784513499745205E-2</c:v>
                </c:pt>
                <c:pt idx="44">
                  <c:v>1.1677812156901904E-2</c:v>
                </c:pt>
                <c:pt idx="45">
                  <c:v>-1.0852407261246985E-3</c:v>
                </c:pt>
                <c:pt idx="46">
                  <c:v>1.6790123456790291E-3</c:v>
                </c:pt>
                <c:pt idx="47">
                  <c:v>2.1198974561230443E-2</c:v>
                </c:pt>
                <c:pt idx="48">
                  <c:v>3.1862508448393602E-3</c:v>
                </c:pt>
                <c:pt idx="49">
                  <c:v>-2.8873917228105036E-4</c:v>
                </c:pt>
                <c:pt idx="50">
                  <c:v>-1.2515644555695549E-3</c:v>
                </c:pt>
                <c:pt idx="51">
                  <c:v>-1.638712165027971E-3</c:v>
                </c:pt>
                <c:pt idx="52">
                  <c:v>-9.4621994786133999E-3</c:v>
                </c:pt>
                <c:pt idx="53">
                  <c:v>3.899015498585831E-4</c:v>
                </c:pt>
                <c:pt idx="54">
                  <c:v>-1.3056611127350572E-2</c:v>
                </c:pt>
                <c:pt idx="55">
                  <c:v>-1.3426794352848251E-2</c:v>
                </c:pt>
                <c:pt idx="56">
                  <c:v>-7.3051135795056937E-3</c:v>
                </c:pt>
                <c:pt idx="57">
                  <c:v>-2.2379032258064504E-2</c:v>
                </c:pt>
                <c:pt idx="58">
                  <c:v>-8.4553516188905688E-3</c:v>
                </c:pt>
                <c:pt idx="59">
                  <c:v>-3.5253743760399345E-2</c:v>
                </c:pt>
                <c:pt idx="60">
                  <c:v>-7.5455427401092143E-4</c:v>
                </c:pt>
                <c:pt idx="61">
                  <c:v>4.20711974110033E-3</c:v>
                </c:pt>
                <c:pt idx="62">
                  <c:v>-1.1279407025459202E-2</c:v>
                </c:pt>
                <c:pt idx="63">
                  <c:v>-5.3237722729249136E-3</c:v>
                </c:pt>
                <c:pt idx="64">
                  <c:v>-1.4855270344074271E-2</c:v>
                </c:pt>
                <c:pt idx="65">
                  <c:v>-8.0940237276860404E-3</c:v>
                </c:pt>
                <c:pt idx="66">
                  <c:v>-4.4712720769057848E-3</c:v>
                </c:pt>
                <c:pt idx="67">
                  <c:v>-4.4913541432748994E-4</c:v>
                </c:pt>
                <c:pt idx="68">
                  <c:v>-1.3480116827678087E-3</c:v>
                </c:pt>
                <c:pt idx="69">
                  <c:v>-8.2114735658043187E-3</c:v>
                </c:pt>
                <c:pt idx="70">
                  <c:v>-6.9184529885448496E-3</c:v>
                </c:pt>
                <c:pt idx="71">
                  <c:v>-2.969392416628656E-3</c:v>
                </c:pt>
                <c:pt idx="72">
                  <c:v>3.7800687285223173E-3</c:v>
                </c:pt>
                <c:pt idx="73">
                  <c:v>4.564646810453106E-3</c:v>
                </c:pt>
                <c:pt idx="74">
                  <c:v>-1.8175621947063114E-3</c:v>
                </c:pt>
                <c:pt idx="75">
                  <c:v>6.82826903380019E-4</c:v>
                </c:pt>
                <c:pt idx="76">
                  <c:v>8.870692596383338E-3</c:v>
                </c:pt>
                <c:pt idx="77">
                  <c:v>-2.254537256228031E-3</c:v>
                </c:pt>
                <c:pt idx="78">
                  <c:v>-3.3894475200543592E-3</c:v>
                </c:pt>
                <c:pt idx="79">
                  <c:v>1.9272191361523832E-3</c:v>
                </c:pt>
                <c:pt idx="80">
                  <c:v>-1.4709210228557985E-3</c:v>
                </c:pt>
                <c:pt idx="81">
                  <c:v>-4.3059490084985316E-3</c:v>
                </c:pt>
                <c:pt idx="82">
                  <c:v>-3.0727210652100856E-3</c:v>
                </c:pt>
                <c:pt idx="83">
                  <c:v>-5.7077625570773011E-4</c:v>
                </c:pt>
                <c:pt idx="84">
                  <c:v>-1.5990862364363286E-3</c:v>
                </c:pt>
                <c:pt idx="85">
                  <c:v>-8.9234641345383951E-3</c:v>
                </c:pt>
                <c:pt idx="86">
                  <c:v>-5.5408057254991315E-3</c:v>
                </c:pt>
                <c:pt idx="87">
                  <c:v>-3.7144515380151755E-3</c:v>
                </c:pt>
                <c:pt idx="88">
                  <c:v>2.9127344751252475E-3</c:v>
                </c:pt>
                <c:pt idx="89">
                  <c:v>3.7174721189591939E-3</c:v>
                </c:pt>
                <c:pt idx="90">
                  <c:v>1.6203703703703768E-3</c:v>
                </c:pt>
                <c:pt idx="91">
                  <c:v>1.6524150681765572E-2</c:v>
                </c:pt>
                <c:pt idx="92">
                  <c:v>1.2731613049903428E-2</c:v>
                </c:pt>
                <c:pt idx="93">
                  <c:v>2.1326748232124563E-3</c:v>
                </c:pt>
                <c:pt idx="94">
                  <c:v>-5.6003584229387502E-4</c:v>
                </c:pt>
                <c:pt idx="95">
                  <c:v>-8.4052448728006279E-3</c:v>
                </c:pt>
                <c:pt idx="96">
                  <c:v>-5.0858951175407193E-3</c:v>
                </c:pt>
                <c:pt idx="97">
                  <c:v>-6.8158582301487483E-3</c:v>
                </c:pt>
                <c:pt idx="98">
                  <c:v>-1.1437721605857087E-3</c:v>
                </c:pt>
                <c:pt idx="99">
                  <c:v>-3.8932783694034514E-3</c:v>
                </c:pt>
                <c:pt idx="100">
                  <c:v>-1.0346016783537096E-3</c:v>
                </c:pt>
                <c:pt idx="101">
                  <c:v>-6.9044879171464065E-4</c:v>
                </c:pt>
                <c:pt idx="102">
                  <c:v>-6.7941040994933602E-3</c:v>
                </c:pt>
                <c:pt idx="103">
                  <c:v>-5.2173913043478595E-3</c:v>
                </c:pt>
                <c:pt idx="104">
                  <c:v>-3.2634032634032768E-3</c:v>
                </c:pt>
                <c:pt idx="105">
                  <c:v>-5.2619270346118199E-3</c:v>
                </c:pt>
                <c:pt idx="106">
                  <c:v>-3.1738568237921244E-3</c:v>
                </c:pt>
                <c:pt idx="107">
                  <c:v>8.9622641509434567E-3</c:v>
                </c:pt>
                <c:pt idx="108">
                  <c:v>3.5063113604487744E-3</c:v>
                </c:pt>
                <c:pt idx="109">
                  <c:v>-1.16468669927849E-4</c:v>
                </c:pt>
                <c:pt idx="110">
                  <c:v>-5.0087361677343348E-3</c:v>
                </c:pt>
                <c:pt idx="111">
                  <c:v>-1.1706860220094961E-4</c:v>
                </c:pt>
                <c:pt idx="112">
                  <c:v>1.182531319517627E-2</c:v>
                </c:pt>
                <c:pt idx="113">
                  <c:v>-1.9671372367507716E-3</c:v>
                </c:pt>
                <c:pt idx="114">
                  <c:v>8.1159420289847169E-4</c:v>
                </c:pt>
                <c:pt idx="115">
                  <c:v>1.2743280815570072E-2</c:v>
                </c:pt>
                <c:pt idx="116">
                  <c:v>-3.0885380919697552E-3</c:v>
                </c:pt>
                <c:pt idx="117">
                  <c:v>-1.2621916236374001E-3</c:v>
                </c:pt>
                <c:pt idx="118">
                  <c:v>-1.2867647058823581E-2</c:v>
                </c:pt>
                <c:pt idx="119">
                  <c:v>-3.142458100558613E-3</c:v>
                </c:pt>
                <c:pt idx="120">
                  <c:v>-1.0507880910683078E-2</c:v>
                </c:pt>
                <c:pt idx="121">
                  <c:v>-1.0029498525073679E-2</c:v>
                </c:pt>
                <c:pt idx="122">
                  <c:v>1.1323003575685204E-2</c:v>
                </c:pt>
                <c:pt idx="123">
                  <c:v>-1.5321154979375336E-2</c:v>
                </c:pt>
                <c:pt idx="124">
                  <c:v>-4.6678635547576369E-3</c:v>
                </c:pt>
                <c:pt idx="125">
                  <c:v>9.6200096200094154E-4</c:v>
                </c:pt>
                <c:pt idx="126">
                  <c:v>-7.6886112445939524E-3</c:v>
                </c:pt>
                <c:pt idx="127">
                  <c:v>-4.9636803874091601E-3</c:v>
                </c:pt>
                <c:pt idx="128">
                  <c:v>-6.2051344445795218E-3</c:v>
                </c:pt>
                <c:pt idx="129">
                  <c:v>-2.2037218413321108E-3</c:v>
                </c:pt>
                <c:pt idx="130">
                  <c:v>1.0552147239263796E-2</c:v>
                </c:pt>
                <c:pt idx="131">
                  <c:v>9.2277804759592665E-3</c:v>
                </c:pt>
                <c:pt idx="132">
                  <c:v>-4.6920115495668975E-3</c:v>
                </c:pt>
                <c:pt idx="133">
                  <c:v>-1.8131270397679883E-3</c:v>
                </c:pt>
                <c:pt idx="134">
                  <c:v>-1.45313635262781E-3</c:v>
                </c:pt>
                <c:pt idx="135">
                  <c:v>-1.212709192335609E-3</c:v>
                </c:pt>
                <c:pt idx="136">
                  <c:v>-8.3778533268576705E-3</c:v>
                </c:pt>
                <c:pt idx="137">
                  <c:v>-3.1835435288356203E-3</c:v>
                </c:pt>
                <c:pt idx="138">
                  <c:v>-6.878761822871911E-3</c:v>
                </c:pt>
                <c:pt idx="139">
                  <c:v>-9.7711811997525308E-3</c:v>
                </c:pt>
                <c:pt idx="140">
                  <c:v>1.7486884836372791E-3</c:v>
                </c:pt>
                <c:pt idx="141">
                  <c:v>1.3341645885286697E-2</c:v>
                </c:pt>
                <c:pt idx="142">
                  <c:v>1.5996062507691604E-3</c:v>
                </c:pt>
                <c:pt idx="143">
                  <c:v>4.668304668304612E-3</c:v>
                </c:pt>
                <c:pt idx="144">
                  <c:v>1.4062117877231666E-2</c:v>
                </c:pt>
                <c:pt idx="145">
                  <c:v>-3.4969251175691091E-3</c:v>
                </c:pt>
                <c:pt idx="146">
                  <c:v>-7.2604065827689107E-4</c:v>
                </c:pt>
                <c:pt idx="147">
                  <c:v>-2.0586098328893403E-3</c:v>
                </c:pt>
                <c:pt idx="148">
                  <c:v>-2.0628564494600378E-3</c:v>
                </c:pt>
                <c:pt idx="149">
                  <c:v>-4.0126459143968668E-3</c:v>
                </c:pt>
                <c:pt idx="150">
                  <c:v>1.7091930167256815E-3</c:v>
                </c:pt>
                <c:pt idx="151">
                  <c:v>-5.1188299817184852E-3</c:v>
                </c:pt>
                <c:pt idx="152">
                  <c:v>1.3842949895871735E-2</c:v>
                </c:pt>
                <c:pt idx="153">
                  <c:v>-9.9081681971968025E-3</c:v>
                </c:pt>
                <c:pt idx="154">
                  <c:v>-4.7595801806199732E-3</c:v>
                </c:pt>
                <c:pt idx="155">
                  <c:v>-1.7167381974248998E-3</c:v>
                </c:pt>
                <c:pt idx="156">
                  <c:v>8.5984522785898885E-3</c:v>
                </c:pt>
                <c:pt idx="157">
                  <c:v>8.0379978078187388E-3</c:v>
                </c:pt>
                <c:pt idx="158">
                  <c:v>-8.094720309290827E-3</c:v>
                </c:pt>
                <c:pt idx="159">
                  <c:v>7.3081607795374276E-4</c:v>
                </c:pt>
                <c:pt idx="160">
                  <c:v>-3.1645569620252058E-3</c:v>
                </c:pt>
                <c:pt idx="161">
                  <c:v>9.6459096459095475E-3</c:v>
                </c:pt>
                <c:pt idx="162">
                  <c:v>9.6746885959606119E-4</c:v>
                </c:pt>
                <c:pt idx="163">
                  <c:v>6.5241029358463973E-3</c:v>
                </c:pt>
                <c:pt idx="164">
                  <c:v>3.4809746729083189E-3</c:v>
                </c:pt>
                <c:pt idx="165">
                  <c:v>2.3923444976076897E-3</c:v>
                </c:pt>
                <c:pt idx="166">
                  <c:v>-8.3532219570397592E-4</c:v>
                </c:pt>
                <c:pt idx="167">
                  <c:v>2.5080616266570373E-3</c:v>
                </c:pt>
                <c:pt idx="168">
                  <c:v>-3.3357159876102114E-3</c:v>
                </c:pt>
                <c:pt idx="169">
                  <c:v>-3.227348792732441E-3</c:v>
                </c:pt>
                <c:pt idx="170">
                  <c:v>-1.5589399208537648E-3</c:v>
                </c:pt>
                <c:pt idx="171">
                  <c:v>3.3629594042757761E-3</c:v>
                </c:pt>
                <c:pt idx="172">
                  <c:v>-3.471390950442976E-3</c:v>
                </c:pt>
                <c:pt idx="173">
                  <c:v>2.1621621621622442E-3</c:v>
                </c:pt>
                <c:pt idx="174">
                  <c:v>6.2327699868152458E-3</c:v>
                </c:pt>
                <c:pt idx="175">
                  <c:v>-2.7397260273973076E-3</c:v>
                </c:pt>
                <c:pt idx="176">
                  <c:v>6.6889632107023688E-3</c:v>
                </c:pt>
                <c:pt idx="177">
                  <c:v>3.2036070242049837E-3</c:v>
                </c:pt>
                <c:pt idx="178">
                  <c:v>-2.3654642223536705E-3</c:v>
                </c:pt>
                <c:pt idx="179">
                  <c:v>-3.9122703023117761E-3</c:v>
                </c:pt>
                <c:pt idx="180">
                  <c:v>2.2613663413472711E-3</c:v>
                </c:pt>
                <c:pt idx="181">
                  <c:v>3.5625222657642965E-4</c:v>
                </c:pt>
                <c:pt idx="182">
                  <c:v>3.7986704653372198E-3</c:v>
                </c:pt>
                <c:pt idx="183">
                  <c:v>-2.3651844843893119E-4</c:v>
                </c:pt>
                <c:pt idx="184">
                  <c:v>4.7314880529917246E-4</c:v>
                </c:pt>
                <c:pt idx="185">
                  <c:v>1.6552376448333006E-3</c:v>
                </c:pt>
                <c:pt idx="186">
                  <c:v>-5.5476864966949816E-3</c:v>
                </c:pt>
                <c:pt idx="187">
                  <c:v>-1.1869436201786488E-4</c:v>
                </c:pt>
                <c:pt idx="188">
                  <c:v>2.1367521367522181E-3</c:v>
                </c:pt>
                <c:pt idx="189">
                  <c:v>-3.3167495854063153E-3</c:v>
                </c:pt>
                <c:pt idx="190">
                  <c:v>-1.0339909674352324E-2</c:v>
                </c:pt>
                <c:pt idx="191">
                  <c:v>-4.3232856971298118E-3</c:v>
                </c:pt>
                <c:pt idx="192">
                  <c:v>1.5679652635388936E-3</c:v>
                </c:pt>
                <c:pt idx="193">
                  <c:v>1.2042389210008315E-4</c:v>
                </c:pt>
                <c:pt idx="194">
                  <c:v>5.418422636965718E-3</c:v>
                </c:pt>
                <c:pt idx="195">
                  <c:v>4.311377245508975E-3</c:v>
                </c:pt>
                <c:pt idx="196">
                  <c:v>6.6777963272120471E-3</c:v>
                </c:pt>
                <c:pt idx="197">
                  <c:v>2.9613835583984839E-3</c:v>
                </c:pt>
                <c:pt idx="198">
                  <c:v>2.2440061414904654E-3</c:v>
                </c:pt>
                <c:pt idx="199">
                  <c:v>6.1277398067404671E-3</c:v>
                </c:pt>
                <c:pt idx="200">
                  <c:v>3.5137034434295079E-4</c:v>
                </c:pt>
                <c:pt idx="201">
                  <c:v>-2.3416461772626492E-3</c:v>
                </c:pt>
                <c:pt idx="202">
                  <c:v>8.2149982396441021E-4</c:v>
                </c:pt>
                <c:pt idx="203">
                  <c:v>-2.3452157598499394E-3</c:v>
                </c:pt>
                <c:pt idx="204">
                  <c:v>-1.9981194170192959E-3</c:v>
                </c:pt>
                <c:pt idx="205">
                  <c:v>2.4732069249794836E-3</c:v>
                </c:pt>
                <c:pt idx="206">
                  <c:v>2.7020676691728121E-3</c:v>
                </c:pt>
                <c:pt idx="207">
                  <c:v>3.9835969537200169E-3</c:v>
                </c:pt>
                <c:pt idx="208">
                  <c:v>-3.9677908740810295E-3</c:v>
                </c:pt>
                <c:pt idx="209">
                  <c:v>-2.8119507908611003E-3</c:v>
                </c:pt>
                <c:pt idx="210">
                  <c:v>-4.1123252261778204E-3</c:v>
                </c:pt>
                <c:pt idx="211">
                  <c:v>2.241623407267552E-3</c:v>
                </c:pt>
                <c:pt idx="212">
                  <c:v>2.8251912889934653E-3</c:v>
                </c:pt>
                <c:pt idx="213">
                  <c:v>1.2912313651837004E-3</c:v>
                </c:pt>
                <c:pt idx="214">
                  <c:v>-6.3305978898006102E-3</c:v>
                </c:pt>
                <c:pt idx="215">
                  <c:v>-3.3034450212364457E-3</c:v>
                </c:pt>
                <c:pt idx="216">
                  <c:v>-8.7594696969698037E-3</c:v>
                </c:pt>
                <c:pt idx="217">
                  <c:v>3.1048483401003718E-3</c:v>
                </c:pt>
                <c:pt idx="218">
                  <c:v>-3.6904761904762175E-3</c:v>
                </c:pt>
                <c:pt idx="219">
                  <c:v>4.4210777870713888E-3</c:v>
                </c:pt>
                <c:pt idx="220">
                  <c:v>8.4463478467760381E-3</c:v>
                </c:pt>
                <c:pt idx="221">
                  <c:v>3.6569541111242457E-3</c:v>
                </c:pt>
                <c:pt idx="222">
                  <c:v>1.2929007992477602E-3</c:v>
                </c:pt>
                <c:pt idx="223">
                  <c:v>3.7563094259890528E-3</c:v>
                </c:pt>
                <c:pt idx="224">
                  <c:v>4.2100339141620795E-3</c:v>
                </c:pt>
                <c:pt idx="225">
                  <c:v>-4.5417491557004841E-3</c:v>
                </c:pt>
                <c:pt idx="226">
                  <c:v>5.615348619560011E-3</c:v>
                </c:pt>
                <c:pt idx="227">
                  <c:v>-2.3266635644484486E-3</c:v>
                </c:pt>
                <c:pt idx="228">
                  <c:v>5.1305970149253463E-3</c:v>
                </c:pt>
                <c:pt idx="229">
                  <c:v>-2.3201856148492208E-3</c:v>
                </c:pt>
                <c:pt idx="230">
                  <c:v>3.4883720930233881E-4</c:v>
                </c:pt>
                <c:pt idx="231">
                  <c:v>-5.6956875508542932E-3</c:v>
                </c:pt>
                <c:pt idx="232">
                  <c:v>6.5466448445170447E-3</c:v>
                </c:pt>
                <c:pt idx="233">
                  <c:v>1.0452961672474264E-3</c:v>
                </c:pt>
                <c:pt idx="234">
                  <c:v>-3.3646594732566659E-3</c:v>
                </c:pt>
                <c:pt idx="235">
                  <c:v>2.0954598370197045E-3</c:v>
                </c:pt>
                <c:pt idx="236">
                  <c:v>8.1319702602239072E-4</c:v>
                </c:pt>
                <c:pt idx="237">
                  <c:v>-1.7411491584446393E-3</c:v>
                </c:pt>
                <c:pt idx="238">
                  <c:v>-2.4418604651162065E-3</c:v>
                </c:pt>
                <c:pt idx="239">
                  <c:v>1.3987644247580176E-3</c:v>
                </c:pt>
                <c:pt idx="240">
                  <c:v>6.1692468862763489E-3</c:v>
                </c:pt>
                <c:pt idx="241">
                  <c:v>-4.5118000925497524E-3</c:v>
                </c:pt>
                <c:pt idx="242">
                  <c:v>-8.1348053457284345E-4</c:v>
                </c:pt>
                <c:pt idx="243">
                  <c:v>-1.8608978832287833E-3</c:v>
                </c:pt>
                <c:pt idx="244">
                  <c:v>-2.7965509205312854E-3</c:v>
                </c:pt>
                <c:pt idx="245">
                  <c:v>2.5706940874035858E-3</c:v>
                </c:pt>
                <c:pt idx="246">
                  <c:v>-1.1655011655001056E-4</c:v>
                </c:pt>
                <c:pt idx="247">
                  <c:v>9.5582235691804764E-3</c:v>
                </c:pt>
                <c:pt idx="248">
                  <c:v>-2.1937420621175124E-3</c:v>
                </c:pt>
                <c:pt idx="249">
                  <c:v>-4.0499884286045885E-3</c:v>
                </c:pt>
                <c:pt idx="250">
                  <c:v>2.3236900197525542E-4</c:v>
                </c:pt>
                <c:pt idx="251">
                  <c:v>-2.3231501916610791E-4</c:v>
                </c:pt>
                <c:pt idx="252">
                  <c:v>3.2531660276519246E-3</c:v>
                </c:pt>
                <c:pt idx="253">
                  <c:v>1.5865662999421014E-2</c:v>
                </c:pt>
                <c:pt idx="254">
                  <c:v>-2.5079799361604977E-3</c:v>
                </c:pt>
                <c:pt idx="255">
                  <c:v>-2.628571428571474E-3</c:v>
                </c:pt>
                <c:pt idx="256">
                  <c:v>6.8752148504643376E-4</c:v>
                </c:pt>
                <c:pt idx="257">
                  <c:v>-1.6031146226955294E-3</c:v>
                </c:pt>
                <c:pt idx="258">
                  <c:v>-3.7848377107466257E-3</c:v>
                </c:pt>
                <c:pt idx="259">
                  <c:v>1.1512779184901123E-4</c:v>
                </c:pt>
                <c:pt idx="260">
                  <c:v>-5.5254978703810744E-3</c:v>
                </c:pt>
                <c:pt idx="261">
                  <c:v>-2.3150827642088533E-3</c:v>
                </c:pt>
                <c:pt idx="262">
                  <c:v>-3.3646594732566659E-3</c:v>
                </c:pt>
                <c:pt idx="263">
                  <c:v>-6.053550640279513E-3</c:v>
                </c:pt>
                <c:pt idx="264">
                  <c:v>-5.8561724057152914E-4</c:v>
                </c:pt>
                <c:pt idx="265">
                  <c:v>1.1719207781554965E-3</c:v>
                </c:pt>
                <c:pt idx="266">
                  <c:v>-3.0434273674353868E-3</c:v>
                </c:pt>
                <c:pt idx="267">
                  <c:v>5.8706117177406551E-4</c:v>
                </c:pt>
                <c:pt idx="268">
                  <c:v>-3.9896737854964023E-3</c:v>
                </c:pt>
                <c:pt idx="269">
                  <c:v>-1.6493873704052848E-3</c:v>
                </c:pt>
                <c:pt idx="270">
                  <c:v>2.4781685154591452E-3</c:v>
                </c:pt>
                <c:pt idx="271">
                  <c:v>6.3566804002353388E-3</c:v>
                </c:pt>
                <c:pt idx="272">
                  <c:v>3.158264124459121E-3</c:v>
                </c:pt>
                <c:pt idx="273">
                  <c:v>-8.3955223880596876E-3</c:v>
                </c:pt>
                <c:pt idx="274">
                  <c:v>-7.0555032925684704E-4</c:v>
                </c:pt>
                <c:pt idx="275">
                  <c:v>1.6474464579901218E-3</c:v>
                </c:pt>
                <c:pt idx="276">
                  <c:v>-2.9370300751879698E-3</c:v>
                </c:pt>
                <c:pt idx="277">
                  <c:v>3.5348179568753544E-4</c:v>
                </c:pt>
                <c:pt idx="278">
                  <c:v>1.2485276796230719E-2</c:v>
                </c:pt>
                <c:pt idx="279">
                  <c:v>8.1433224755708927E-4</c:v>
                </c:pt>
                <c:pt idx="280">
                  <c:v>-1.9760548645821425E-3</c:v>
                </c:pt>
                <c:pt idx="281">
                  <c:v>4.6587467971116433E-3</c:v>
                </c:pt>
                <c:pt idx="282">
                  <c:v>-2.3185717597959984E-3</c:v>
                </c:pt>
                <c:pt idx="283">
                  <c:v>2.0915640250986824E-3</c:v>
                </c:pt>
                <c:pt idx="284">
                  <c:v>-5.9137291280147372E-3</c:v>
                </c:pt>
                <c:pt idx="285">
                  <c:v>3.8492942960457049E-3</c:v>
                </c:pt>
                <c:pt idx="286">
                  <c:v>1.8591680223099766E-3</c:v>
                </c:pt>
                <c:pt idx="287">
                  <c:v>-4.5233124565066179E-3</c:v>
                </c:pt>
                <c:pt idx="288">
                  <c:v>6.6410346032856511E-3</c:v>
                </c:pt>
                <c:pt idx="289">
                  <c:v>-3.7037037037037888E-3</c:v>
                </c:pt>
                <c:pt idx="290">
                  <c:v>3.4851301115242957E-4</c:v>
                </c:pt>
                <c:pt idx="291">
                  <c:v>2.9032632679131345E-3</c:v>
                </c:pt>
                <c:pt idx="292">
                  <c:v>-1.6211208893006088E-3</c:v>
                </c:pt>
                <c:pt idx="293">
                  <c:v>-8.1187659475751776E-4</c:v>
                </c:pt>
                <c:pt idx="294">
                  <c:v>-3.5983749274521447E-3</c:v>
                </c:pt>
                <c:pt idx="295">
                  <c:v>2.2134203168685663E-3</c:v>
                </c:pt>
                <c:pt idx="296">
                  <c:v>-6.5093572009764303E-3</c:v>
                </c:pt>
                <c:pt idx="297">
                  <c:v>-1.7550017550018214E-3</c:v>
                </c:pt>
                <c:pt idx="298">
                  <c:v>3.3989685888420802E-3</c:v>
                </c:pt>
                <c:pt idx="299">
                  <c:v>-2.2193668963905819E-3</c:v>
                </c:pt>
                <c:pt idx="300">
                  <c:v>8.1948021540614814E-4</c:v>
                </c:pt>
                <c:pt idx="301">
                  <c:v>-1.4036729442038875E-3</c:v>
                </c:pt>
                <c:pt idx="302">
                  <c:v>-1.5227831791028424E-3</c:v>
                </c:pt>
                <c:pt idx="303">
                  <c:v>-6.8043172219615011E-3</c:v>
                </c:pt>
                <c:pt idx="304">
                  <c:v>-2.3623907394283352E-3</c:v>
                </c:pt>
                <c:pt idx="305">
                  <c:v>-1.1839924224484291E-3</c:v>
                </c:pt>
                <c:pt idx="306">
                  <c:v>-5.3342816500711572E-3</c:v>
                </c:pt>
                <c:pt idx="307">
                  <c:v>3.2177332856633328E-3</c:v>
                </c:pt>
                <c:pt idx="308">
                  <c:v>-2.1382751247327964E-3</c:v>
                </c:pt>
                <c:pt idx="309">
                  <c:v>-7.261904761904755E-3</c:v>
                </c:pt>
                <c:pt idx="310">
                  <c:v>-2.6382060199064499E-3</c:v>
                </c:pt>
                <c:pt idx="311">
                  <c:v>-3.246362871227558E-3</c:v>
                </c:pt>
                <c:pt idx="312">
                  <c:v>-3.6188178528348777E-3</c:v>
                </c:pt>
                <c:pt idx="313">
                  <c:v>-2.4213075060531314E-3</c:v>
                </c:pt>
                <c:pt idx="314">
                  <c:v>-1.5533980582524285E-2</c:v>
                </c:pt>
                <c:pt idx="315">
                  <c:v>-2.8353057199211533E-3</c:v>
                </c:pt>
                <c:pt idx="316">
                  <c:v>-8.035603906539816E-3</c:v>
                </c:pt>
                <c:pt idx="317">
                  <c:v>-1.0593220338982981E-2</c:v>
                </c:pt>
                <c:pt idx="318">
                  <c:v>-1.3225847084015583E-2</c:v>
                </c:pt>
                <c:pt idx="319">
                  <c:v>-8.6801123308655453E-3</c:v>
                </c:pt>
                <c:pt idx="320">
                  <c:v>-1.0043780582024223E-2</c:v>
                </c:pt>
                <c:pt idx="321">
                  <c:v>-1.1576482830385024E-2</c:v>
                </c:pt>
                <c:pt idx="322">
                  <c:v>-9.2117383866296716E-3</c:v>
                </c:pt>
                <c:pt idx="323">
                  <c:v>-1.8196307610572511E-2</c:v>
                </c:pt>
                <c:pt idx="324">
                  <c:v>-1.5692640692640647E-2</c:v>
                </c:pt>
                <c:pt idx="325">
                  <c:v>-2.9686641011544952E-2</c:v>
                </c:pt>
                <c:pt idx="326">
                  <c:v>-6.9405099150140924E-3</c:v>
                </c:pt>
                <c:pt idx="327">
                  <c:v>-5.1347881899871549E-3</c:v>
                </c:pt>
                <c:pt idx="328">
                  <c:v>-1.5340501792114597E-2</c:v>
                </c:pt>
                <c:pt idx="329">
                  <c:v>-1.4123471170646665E-2</c:v>
                </c:pt>
                <c:pt idx="330">
                  <c:v>-3.1014621178555524E-2</c:v>
                </c:pt>
                <c:pt idx="331">
                  <c:v>-1.6918152720621849E-2</c:v>
                </c:pt>
                <c:pt idx="332">
                  <c:v>-5.4263565891471983E-3</c:v>
                </c:pt>
                <c:pt idx="333">
                  <c:v>-2.0265003897116197E-2</c:v>
                </c:pt>
                <c:pt idx="334">
                  <c:v>-8.4327764518695482E-3</c:v>
                </c:pt>
                <c:pt idx="335">
                  <c:v>-9.1463414634146388E-3</c:v>
                </c:pt>
                <c:pt idx="336">
                  <c:v>-2.0890688259109298E-2</c:v>
                </c:pt>
                <c:pt idx="337">
                  <c:v>-5.458154151505099E-3</c:v>
                </c:pt>
                <c:pt idx="338">
                  <c:v>-2.3948112423083399E-2</c:v>
                </c:pt>
                <c:pt idx="339">
                  <c:v>1.7038677798603072E-3</c:v>
                </c:pt>
                <c:pt idx="340">
                  <c:v>6.803878210579886E-4</c:v>
                </c:pt>
                <c:pt idx="341">
                  <c:v>1.6998130205686071E-4</c:v>
                </c:pt>
                <c:pt idx="342">
                  <c:v>-2.3963290278722019E-2</c:v>
                </c:pt>
                <c:pt idx="343">
                  <c:v>-1.6019502002437781E-2</c:v>
                </c:pt>
                <c:pt idx="344">
                  <c:v>-8.3171120155724459E-3</c:v>
                </c:pt>
                <c:pt idx="345">
                  <c:v>-3.7473233404711074E-3</c:v>
                </c:pt>
                <c:pt idx="346">
                  <c:v>-1.2000716460684251E-2</c:v>
                </c:pt>
                <c:pt idx="347">
                  <c:v>-1.0877447425670674E-2</c:v>
                </c:pt>
                <c:pt idx="348">
                  <c:v>8.0645161290322162E-3</c:v>
                </c:pt>
                <c:pt idx="349">
                  <c:v>-3.2727272727272674E-3</c:v>
                </c:pt>
                <c:pt idx="350">
                  <c:v>1.8241517694268534E-4</c:v>
                </c:pt>
                <c:pt idx="351">
                  <c:v>-1.0213386832026175E-2</c:v>
                </c:pt>
                <c:pt idx="352">
                  <c:v>-9.2131932927952825E-3</c:v>
                </c:pt>
                <c:pt idx="353">
                  <c:v>2.417705039985037E-3</c:v>
                </c:pt>
                <c:pt idx="354">
                  <c:v>-3.3395176252319059E-3</c:v>
                </c:pt>
                <c:pt idx="355">
                  <c:v>-1.6753536857780399E-3</c:v>
                </c:pt>
                <c:pt idx="356">
                  <c:v>8.204363229535664E-3</c:v>
                </c:pt>
                <c:pt idx="357">
                  <c:v>-6.4730904383207217E-3</c:v>
                </c:pt>
                <c:pt idx="358">
                  <c:v>1.8615040953086394E-4</c:v>
                </c:pt>
                <c:pt idx="359">
                  <c:v>7.4446305602096142E-4</c:v>
                </c:pt>
                <c:pt idx="360">
                  <c:v>5.5793193230425355E-3</c:v>
                </c:pt>
                <c:pt idx="361">
                  <c:v>4.8085814684667655E-3</c:v>
                </c:pt>
                <c:pt idx="362">
                  <c:v>3.6812074360395965E-4</c:v>
                </c:pt>
                <c:pt idx="363">
                  <c:v>1.8399264029435162E-4</c:v>
                </c:pt>
                <c:pt idx="364">
                  <c:v>2.0235467255334699E-3</c:v>
                </c:pt>
                <c:pt idx="365">
                  <c:v>6.6091426473287949E-3</c:v>
                </c:pt>
                <c:pt idx="366">
                  <c:v>1.2584351632318162E-2</c:v>
                </c:pt>
                <c:pt idx="367">
                  <c:v>2.791786743515845E-2</c:v>
                </c:pt>
                <c:pt idx="368">
                  <c:v>5.0814788855790983E-3</c:v>
                </c:pt>
                <c:pt idx="369">
                  <c:v>8.7168758716870917E-4</c:v>
                </c:pt>
                <c:pt idx="370">
                  <c:v>4.5288277303606539E-3</c:v>
                </c:pt>
                <c:pt idx="371">
                  <c:v>-2.2715449973989981E-2</c:v>
                </c:pt>
                <c:pt idx="372">
                  <c:v>-4.2583392476934351E-3</c:v>
                </c:pt>
                <c:pt idx="373">
                  <c:v>-1.3542409123307165E-2</c:v>
                </c:pt>
                <c:pt idx="374">
                  <c:v>3.0708092485549443E-3</c:v>
                </c:pt>
                <c:pt idx="375">
                  <c:v>2.7012425715829025E-3</c:v>
                </c:pt>
                <c:pt idx="376">
                  <c:v>7.9022988505746718E-3</c:v>
                </c:pt>
                <c:pt idx="377">
                  <c:v>-1.3720598717034856E-2</c:v>
                </c:pt>
                <c:pt idx="378">
                  <c:v>9.5754290876242307E-3</c:v>
                </c:pt>
                <c:pt idx="379">
                  <c:v>-1.6105941302792307E-3</c:v>
                </c:pt>
                <c:pt idx="380">
                  <c:v>-9.8583975622870967E-3</c:v>
                </c:pt>
                <c:pt idx="381">
                  <c:v>9.0514120202746478E-4</c:v>
                </c:pt>
                <c:pt idx="382">
                  <c:v>-2.2246337493217524E-2</c:v>
                </c:pt>
                <c:pt idx="383">
                  <c:v>4.0695523492415625E-3</c:v>
                </c:pt>
                <c:pt idx="384">
                  <c:v>4.4215180545320925E-3</c:v>
                </c:pt>
                <c:pt idx="385">
                  <c:v>9.1709464416722588E-4</c:v>
                </c:pt>
                <c:pt idx="386">
                  <c:v>8.6127909107568054E-3</c:v>
                </c:pt>
                <c:pt idx="387">
                  <c:v>-6.5406976744185946E-3</c:v>
                </c:pt>
                <c:pt idx="388">
                  <c:v>-1.7190929041697105E-2</c:v>
                </c:pt>
                <c:pt idx="389">
                  <c:v>2.45627093412728E-2</c:v>
                </c:pt>
                <c:pt idx="390">
                  <c:v>3.9956411187794926E-3</c:v>
                </c:pt>
                <c:pt idx="391">
                  <c:v>-2.8943560057887786E-3</c:v>
                </c:pt>
                <c:pt idx="392">
                  <c:v>-7.4383164005804902E-3</c:v>
                </c:pt>
                <c:pt idx="393">
                  <c:v>3.8384207640285296E-3</c:v>
                </c:pt>
                <c:pt idx="394">
                  <c:v>-2.3670793882010273E-2</c:v>
                </c:pt>
                <c:pt idx="395">
                  <c:v>2.4244684819097828E-3</c:v>
                </c:pt>
                <c:pt idx="396">
                  <c:v>-9.8604651162790911E-3</c:v>
                </c:pt>
                <c:pt idx="397">
                  <c:v>4.6974821495678314E-3</c:v>
                </c:pt>
                <c:pt idx="398">
                  <c:v>-5.2365812605199387E-3</c:v>
                </c:pt>
                <c:pt idx="399">
                  <c:v>-1.128031584884286E-3</c:v>
                </c:pt>
                <c:pt idx="400">
                  <c:v>-3.1996988518727966E-3</c:v>
                </c:pt>
                <c:pt idx="401">
                  <c:v>1.8882175226582346E-4</c:v>
                </c:pt>
                <c:pt idx="402">
                  <c:v>-6.0411553709647028E-3</c:v>
                </c:pt>
                <c:pt idx="403">
                  <c:v>3.6087369420703674E-3</c:v>
                </c:pt>
                <c:pt idx="404">
                  <c:v>7.9485238455714348E-3</c:v>
                </c:pt>
                <c:pt idx="405">
                  <c:v>1.3143071723620032E-3</c:v>
                </c:pt>
                <c:pt idx="406">
                  <c:v>-2.6251640727545577E-3</c:v>
                </c:pt>
                <c:pt idx="407">
                  <c:v>5.6401579244220979E-4</c:v>
                </c:pt>
                <c:pt idx="408">
                  <c:v>6.2006764374295063E-3</c:v>
                </c:pt>
                <c:pt idx="409">
                  <c:v>1.867413632119541E-3</c:v>
                </c:pt>
                <c:pt idx="410">
                  <c:v>-3.3550792171481774E-3</c:v>
                </c:pt>
                <c:pt idx="411">
                  <c:v>9.1640172059098933E-3</c:v>
                </c:pt>
                <c:pt idx="412">
                  <c:v>-7.4128984432913006E-3</c:v>
                </c:pt>
                <c:pt idx="413">
                  <c:v>-3.3607169529499574E-3</c:v>
                </c:pt>
                <c:pt idx="414">
                  <c:v>1.1240164855750312E-3</c:v>
                </c:pt>
                <c:pt idx="415">
                  <c:v>1.1227544910180067E-3</c:v>
                </c:pt>
                <c:pt idx="416">
                  <c:v>3.7383177570093989E-3</c:v>
                </c:pt>
                <c:pt idx="417">
                  <c:v>-2.9795158286779087E-3</c:v>
                </c:pt>
                <c:pt idx="418">
                  <c:v>6.350392230108394E-3</c:v>
                </c:pt>
                <c:pt idx="419">
                  <c:v>-1.1135857461024921E-3</c:v>
                </c:pt>
                <c:pt idx="420">
                  <c:v>3.3444816053511653E-3</c:v>
                </c:pt>
                <c:pt idx="421">
                  <c:v>-2.5925925925926029E-3</c:v>
                </c:pt>
                <c:pt idx="422">
                  <c:v>1.2996658002228052E-2</c:v>
                </c:pt>
                <c:pt idx="423">
                  <c:v>-1.3563049853372471E-2</c:v>
                </c:pt>
                <c:pt idx="424">
                  <c:v>-1.0033444816053496E-2</c:v>
                </c:pt>
                <c:pt idx="425">
                  <c:v>-4.1291291291291081E-3</c:v>
                </c:pt>
                <c:pt idx="426">
                  <c:v>1.7527327553712772E-2</c:v>
                </c:pt>
                <c:pt idx="427">
                  <c:v>-2.2226338210780613E-3</c:v>
                </c:pt>
                <c:pt idx="428">
                  <c:v>-9.2816038611466794E-4</c:v>
                </c:pt>
                <c:pt idx="429">
                  <c:v>8.7328130806391471E-3</c:v>
                </c:pt>
                <c:pt idx="430">
                  <c:v>9.2097992263776506E-4</c:v>
                </c:pt>
                <c:pt idx="431">
                  <c:v>1.6562384983436933E-3</c:v>
                </c:pt>
                <c:pt idx="432">
                  <c:v>8.6349439647253143E-3</c:v>
                </c:pt>
                <c:pt idx="433">
                  <c:v>1.511839708561017E-2</c:v>
                </c:pt>
                <c:pt idx="434">
                  <c:v>4.3064776601471743E-3</c:v>
                </c:pt>
                <c:pt idx="435">
                  <c:v>7.5040200107200595E-3</c:v>
                </c:pt>
                <c:pt idx="436">
                  <c:v>1.1172193651356669E-2</c:v>
                </c:pt>
                <c:pt idx="437">
                  <c:v>7.8919677306207598E-3</c:v>
                </c:pt>
                <c:pt idx="438">
                  <c:v>1.061423351313728E-2</c:v>
                </c:pt>
                <c:pt idx="439">
                  <c:v>-4.648760330578444E-3</c:v>
                </c:pt>
                <c:pt idx="440">
                  <c:v>1.1416709911779909E-2</c:v>
                </c:pt>
                <c:pt idx="441">
                  <c:v>1.2314007183170838E-2</c:v>
                </c:pt>
                <c:pt idx="442">
                  <c:v>8.954215239060672E-3</c:v>
                </c:pt>
                <c:pt idx="443">
                  <c:v>4.0187541862023108E-3</c:v>
                </c:pt>
                <c:pt idx="444">
                  <c:v>9.3395597064710179E-3</c:v>
                </c:pt>
                <c:pt idx="445">
                  <c:v>-2.9742233972240534E-3</c:v>
                </c:pt>
                <c:pt idx="446">
                  <c:v>-9.9436526350679712E-3</c:v>
                </c:pt>
                <c:pt idx="447">
                  <c:v>-5.3565450284566501E-3</c:v>
                </c:pt>
                <c:pt idx="448">
                  <c:v>-1.0265903736115776E-2</c:v>
                </c:pt>
                <c:pt idx="449">
                  <c:v>-5.6112905968373639E-3</c:v>
                </c:pt>
                <c:pt idx="450">
                  <c:v>8.5499316005479252E-4</c:v>
                </c:pt>
                <c:pt idx="451">
                  <c:v>5.2964291816163037E-3</c:v>
                </c:pt>
                <c:pt idx="452">
                  <c:v>2.719238613188249E-3</c:v>
                </c:pt>
                <c:pt idx="453">
                  <c:v>-1.3559322033898015E-3</c:v>
                </c:pt>
                <c:pt idx="454">
                  <c:v>-1.6972165648345409E-4</c:v>
                </c:pt>
                <c:pt idx="455">
                  <c:v>-1.697504668137741E-3</c:v>
                </c:pt>
                <c:pt idx="456">
                  <c:v>2.8906648529160787E-3</c:v>
                </c:pt>
                <c:pt idx="457">
                  <c:v>4.577822990844407E-3</c:v>
                </c:pt>
                <c:pt idx="458">
                  <c:v>1.2995780590717352E-2</c:v>
                </c:pt>
                <c:pt idx="459">
                  <c:v>1.666111296234257E-4</c:v>
                </c:pt>
                <c:pt idx="460">
                  <c:v>-6.6633349991669405E-4</c:v>
                </c:pt>
                <c:pt idx="461">
                  <c:v>1.0001666944489942E-3</c:v>
                </c:pt>
                <c:pt idx="462">
                  <c:v>-9.8251457119066833E-3</c:v>
                </c:pt>
                <c:pt idx="463">
                  <c:v>-1.6818028927009993E-3</c:v>
                </c:pt>
                <c:pt idx="464">
                  <c:v>2.5269541778975501E-3</c:v>
                </c:pt>
                <c:pt idx="465">
                  <c:v>6.0494034616030822E-3</c:v>
                </c:pt>
                <c:pt idx="466">
                  <c:v>-3.3405712376815724E-3</c:v>
                </c:pt>
                <c:pt idx="467">
                  <c:v>8.0442433383609326E-3</c:v>
                </c:pt>
                <c:pt idx="468">
                  <c:v>1.6458852867830456E-2</c:v>
                </c:pt>
                <c:pt idx="469">
                  <c:v>-6.5423617926071076E-3</c:v>
                </c:pt>
                <c:pt idx="470">
                  <c:v>3.2927230819881497E-4</c:v>
                </c:pt>
                <c:pt idx="471">
                  <c:v>5.7603686635944937E-3</c:v>
                </c:pt>
                <c:pt idx="472">
                  <c:v>8.1819669448530779E-4</c:v>
                </c:pt>
                <c:pt idx="473">
                  <c:v>3.2701111837807599E-4</c:v>
                </c:pt>
                <c:pt idx="474">
                  <c:v>-3.5959463877083828E-3</c:v>
                </c:pt>
                <c:pt idx="475">
                  <c:v>9.0223097112860431E-3</c:v>
                </c:pt>
                <c:pt idx="476">
                  <c:v>6.6655828320598878E-3</c:v>
                </c:pt>
                <c:pt idx="477">
                  <c:v>-4.6834625322997279E-3</c:v>
                </c:pt>
                <c:pt idx="478">
                  <c:v>1.801070907025798E-2</c:v>
                </c:pt>
                <c:pt idx="479">
                  <c:v>-1.7532674529805456E-3</c:v>
                </c:pt>
                <c:pt idx="480">
                  <c:v>1.0538080791952684E-2</c:v>
                </c:pt>
                <c:pt idx="481">
                  <c:v>2.1804392479064665E-2</c:v>
                </c:pt>
                <c:pt idx="482">
                  <c:v>3.7111489098499285E-3</c:v>
                </c:pt>
                <c:pt idx="483">
                  <c:v>1.3557233091973651E-2</c:v>
                </c:pt>
                <c:pt idx="484">
                  <c:v>2.2799817601457891E-3</c:v>
                </c:pt>
                <c:pt idx="485">
                  <c:v>2.0018198362147518E-2</c:v>
                </c:pt>
                <c:pt idx="486">
                  <c:v>3.5682426404994778E-3</c:v>
                </c:pt>
                <c:pt idx="487">
                  <c:v>9.3333333333332665E-3</c:v>
                </c:pt>
                <c:pt idx="488">
                  <c:v>1.1742257448994319E-3</c:v>
                </c:pt>
                <c:pt idx="489">
                  <c:v>-9.3827884474417325E-3</c:v>
                </c:pt>
                <c:pt idx="490">
                  <c:v>-1.4799467219166651E-4</c:v>
                </c:pt>
                <c:pt idx="491">
                  <c:v>-2.0722320899940875E-3</c:v>
                </c:pt>
                <c:pt idx="492">
                  <c:v>1.9282112132897574E-3</c:v>
                </c:pt>
                <c:pt idx="493">
                  <c:v>5.9215396002970026E-4</c:v>
                </c:pt>
                <c:pt idx="494">
                  <c:v>-4.4385264092323029E-4</c:v>
                </c:pt>
                <c:pt idx="495">
                  <c:v>4.144464179988175E-3</c:v>
                </c:pt>
                <c:pt idx="496">
                  <c:v>2.6533018867923438E-3</c:v>
                </c:pt>
                <c:pt idx="497">
                  <c:v>1.7494854454572151E-2</c:v>
                </c:pt>
                <c:pt idx="498">
                  <c:v>7.8023407022107544E-3</c:v>
                </c:pt>
                <c:pt idx="499">
                  <c:v>2.8673835125442326E-4</c:v>
                </c:pt>
                <c:pt idx="500">
                  <c:v>2.2215852085423496E-2</c:v>
                </c:pt>
                <c:pt idx="501">
                  <c:v>-1.1918115535614055E-2</c:v>
                </c:pt>
                <c:pt idx="502">
                  <c:v>-4.9666524762309395E-3</c:v>
                </c:pt>
                <c:pt idx="503">
                  <c:v>1.7113519680546252E-3</c:v>
                </c:pt>
                <c:pt idx="504">
                  <c:v>-1.3382687927107031E-2</c:v>
                </c:pt>
                <c:pt idx="505">
                  <c:v>-1.8759018759018718E-2</c:v>
                </c:pt>
                <c:pt idx="506">
                  <c:v>-1.1176470588235369E-2</c:v>
                </c:pt>
                <c:pt idx="507">
                  <c:v>-1.7251635930993405E-2</c:v>
                </c:pt>
                <c:pt idx="508">
                  <c:v>-8.3232445520580681E-3</c:v>
                </c:pt>
                <c:pt idx="509">
                  <c:v>-1.1139935907218129E-2</c:v>
                </c:pt>
                <c:pt idx="510">
                  <c:v>-1.0956790123456694E-2</c:v>
                </c:pt>
                <c:pt idx="511">
                  <c:v>-1.7007333437353774E-2</c:v>
                </c:pt>
                <c:pt idx="512">
                  <c:v>-1.1428571428571411E-2</c:v>
                </c:pt>
                <c:pt idx="513">
                  <c:v>-2.7296082209377279E-3</c:v>
                </c:pt>
                <c:pt idx="514">
                  <c:v>8.5332474641764793E-3</c:v>
                </c:pt>
                <c:pt idx="515">
                  <c:v>-6.3856960408684316E-3</c:v>
                </c:pt>
                <c:pt idx="516">
                  <c:v>-4.6593830334190093E-3</c:v>
                </c:pt>
                <c:pt idx="517">
                  <c:v>3.2284100080709559E-3</c:v>
                </c:pt>
                <c:pt idx="518">
                  <c:v>1.0619469026548731E-2</c:v>
                </c:pt>
                <c:pt idx="519">
                  <c:v>-7.4828848909409143E-3</c:v>
                </c:pt>
                <c:pt idx="520">
                  <c:v>-1.4276547962784738E-2</c:v>
                </c:pt>
                <c:pt idx="521">
                  <c:v>1.1065907241659881E-2</c:v>
                </c:pt>
                <c:pt idx="522">
                  <c:v>9.4962176082407264E-3</c:v>
                </c:pt>
                <c:pt idx="523">
                  <c:v>1.5943877551020634E-3</c:v>
                </c:pt>
                <c:pt idx="524">
                  <c:v>7.3225087551735254E-3</c:v>
                </c:pt>
                <c:pt idx="525">
                  <c:v>-9.0075853350189677E-3</c:v>
                </c:pt>
                <c:pt idx="526">
                  <c:v>-8.611066815499906E-3</c:v>
                </c:pt>
                <c:pt idx="527">
                  <c:v>-6.4339713688272714E-4</c:v>
                </c:pt>
                <c:pt idx="528">
                  <c:v>-1.6095284081772278E-4</c:v>
                </c:pt>
                <c:pt idx="529">
                  <c:v>5.6342562781713044E-3</c:v>
                </c:pt>
                <c:pt idx="530">
                  <c:v>1.600768368817055E-3</c:v>
                </c:pt>
                <c:pt idx="531">
                  <c:v>4.4749880134249825E-3</c:v>
                </c:pt>
                <c:pt idx="532">
                  <c:v>4.1368337311057761E-3</c:v>
                </c:pt>
                <c:pt idx="533">
                  <c:v>-3.8028838535890033E-3</c:v>
                </c:pt>
                <c:pt idx="534">
                  <c:v>3.0221091140449313E-3</c:v>
                </c:pt>
                <c:pt idx="535">
                  <c:v>7.9289565493176589E-4</c:v>
                </c:pt>
                <c:pt idx="536">
                  <c:v>-3.1690698779908546E-3</c:v>
                </c:pt>
                <c:pt idx="537">
                  <c:v>-9.6963916706405886E-3</c:v>
                </c:pt>
                <c:pt idx="538">
                  <c:v>-1.1235955056179822E-3</c:v>
                </c:pt>
                <c:pt idx="539">
                  <c:v>7.8740157480315289E-3</c:v>
                </c:pt>
                <c:pt idx="540">
                  <c:v>4.6237244897959053E-3</c:v>
                </c:pt>
                <c:pt idx="541">
                  <c:v>-3.8089192191714792E-3</c:v>
                </c:pt>
                <c:pt idx="542">
                  <c:v>-3.1862354628011991E-4</c:v>
                </c:pt>
                <c:pt idx="543">
                  <c:v>1.4342629482072256E-3</c:v>
                </c:pt>
                <c:pt idx="544">
                  <c:v>4.7740292807119718E-4</c:v>
                </c:pt>
                <c:pt idx="545">
                  <c:v>4.771751232702583E-4</c:v>
                </c:pt>
                <c:pt idx="546">
                  <c:v>2.7027027027027297E-3</c:v>
                </c:pt>
                <c:pt idx="547">
                  <c:v>-1.1098779134295273E-3</c:v>
                </c:pt>
                <c:pt idx="548">
                  <c:v>3.8095238095238412E-3</c:v>
                </c:pt>
                <c:pt idx="549">
                  <c:v>-1.1068943706514908E-3</c:v>
                </c:pt>
                <c:pt idx="550">
                  <c:v>-4.7490897577964894E-3</c:v>
                </c:pt>
                <c:pt idx="551">
                  <c:v>-1.5905837442338177E-4</c:v>
                </c:pt>
                <c:pt idx="552">
                  <c:v>-1.7499204581609836E-3</c:v>
                </c:pt>
                <c:pt idx="553">
                  <c:v>-2.0717131474103992E-3</c:v>
                </c:pt>
                <c:pt idx="554">
                  <c:v>-2.7147876077929511E-3</c:v>
                </c:pt>
                <c:pt idx="555">
                  <c:v>2.4019215372297611E-3</c:v>
                </c:pt>
                <c:pt idx="556">
                  <c:v>-4.7923322683706754E-3</c:v>
                </c:pt>
                <c:pt idx="557">
                  <c:v>-7.7046548956660821E-3</c:v>
                </c:pt>
                <c:pt idx="558">
                  <c:v>-6.4703979294725242E-4</c:v>
                </c:pt>
                <c:pt idx="559">
                  <c:v>-1.1330527678860519E-3</c:v>
                </c:pt>
                <c:pt idx="560">
                  <c:v>-2.2686760654675184E-3</c:v>
                </c:pt>
                <c:pt idx="561">
                  <c:v>-1.2993340912781921E-3</c:v>
                </c:pt>
                <c:pt idx="562">
                  <c:v>-1.6262806960489699E-4</c:v>
                </c:pt>
                <c:pt idx="563">
                  <c:v>-7.9700715679895066E-3</c:v>
                </c:pt>
                <c:pt idx="564">
                  <c:v>-6.0665682898836618E-3</c:v>
                </c:pt>
                <c:pt idx="565">
                  <c:v>-7.9181788188716091E-3</c:v>
                </c:pt>
                <c:pt idx="566">
                  <c:v>-5.15463917525777E-3</c:v>
                </c:pt>
                <c:pt idx="567">
                  <c:v>-5.0142069196055013E-3</c:v>
                </c:pt>
                <c:pt idx="568">
                  <c:v>1.5118427683520294E-3</c:v>
                </c:pt>
                <c:pt idx="569">
                  <c:v>1.3418316001342738E-3</c:v>
                </c:pt>
                <c:pt idx="570">
                  <c:v>6.7001675041874619E-4</c:v>
                </c:pt>
                <c:pt idx="571">
                  <c:v>-5.5239370605960061E-3</c:v>
                </c:pt>
                <c:pt idx="572">
                  <c:v>-2.0198619760982569E-3</c:v>
                </c:pt>
                <c:pt idx="573">
                  <c:v>-3.035925113847187E-3</c:v>
                </c:pt>
                <c:pt idx="574">
                  <c:v>-5.9211639316528748E-3</c:v>
                </c:pt>
                <c:pt idx="575">
                  <c:v>-4.5949625595642623E-3</c:v>
                </c:pt>
                <c:pt idx="576">
                  <c:v>-3.76132672251665E-3</c:v>
                </c:pt>
                <c:pt idx="577">
                  <c:v>-4.4619873004977705E-3</c:v>
                </c:pt>
                <c:pt idx="578">
                  <c:v>1.3790725736942838E-3</c:v>
                </c:pt>
                <c:pt idx="579">
                  <c:v>3.4429333792384268E-4</c:v>
                </c:pt>
                <c:pt idx="580">
                  <c:v>-3.0975735673722201E-3</c:v>
                </c:pt>
                <c:pt idx="581">
                  <c:v>-6.387018815812143E-3</c:v>
                </c:pt>
                <c:pt idx="582">
                  <c:v>9.3815149409311877E-3</c:v>
                </c:pt>
                <c:pt idx="583">
                  <c:v>1.7211703958692154E-3</c:v>
                </c:pt>
                <c:pt idx="584">
                  <c:v>-6.8728522336780498E-4</c:v>
                </c:pt>
                <c:pt idx="585">
                  <c:v>-1.031636863823851E-3</c:v>
                </c:pt>
                <c:pt idx="586">
                  <c:v>1.5490533562822083E-3</c:v>
                </c:pt>
                <c:pt idx="587">
                  <c:v>1.1857707509881507E-2</c:v>
                </c:pt>
                <c:pt idx="588">
                  <c:v>-8.4918478260876805E-4</c:v>
                </c:pt>
                <c:pt idx="589">
                  <c:v>-2.719700832908322E-3</c:v>
                </c:pt>
                <c:pt idx="590">
                  <c:v>4.9429009715356931E-3</c:v>
                </c:pt>
                <c:pt idx="591">
                  <c:v>-1.8656716417910352E-3</c:v>
                </c:pt>
                <c:pt idx="592">
                  <c:v>4.7578589634664596E-3</c:v>
                </c:pt>
                <c:pt idx="593">
                  <c:v>9.3015389819042296E-3</c:v>
                </c:pt>
                <c:pt idx="594">
                  <c:v>-3.3512064343164017E-3</c:v>
                </c:pt>
                <c:pt idx="595">
                  <c:v>-2.0174848688634408E-3</c:v>
                </c:pt>
                <c:pt idx="596">
                  <c:v>6.9070080862534316E-3</c:v>
                </c:pt>
                <c:pt idx="597">
                  <c:v>-5.0192404216163849E-4</c:v>
                </c:pt>
                <c:pt idx="598">
                  <c:v>-1.1717442249748959E-3</c:v>
                </c:pt>
                <c:pt idx="599">
                  <c:v>-4.0221216691805261E-3</c:v>
                </c:pt>
                <c:pt idx="600">
                  <c:v>-2.3557126030624357E-3</c:v>
                </c:pt>
                <c:pt idx="601">
                  <c:v>1.1806375442739126E-3</c:v>
                </c:pt>
                <c:pt idx="602">
                  <c:v>-6.9070080862533119E-3</c:v>
                </c:pt>
                <c:pt idx="603">
                  <c:v>-6.2765055131468114E-3</c:v>
                </c:pt>
                <c:pt idx="604">
                  <c:v>-5.1212017753501427E-4</c:v>
                </c:pt>
                <c:pt idx="605">
                  <c:v>-4.7822374039281643E-3</c:v>
                </c:pt>
                <c:pt idx="606">
                  <c:v>-7.2078256392655174E-3</c:v>
                </c:pt>
                <c:pt idx="607">
                  <c:v>6.3958513396715202E-3</c:v>
                </c:pt>
                <c:pt idx="608">
                  <c:v>-4.8093438680865876E-3</c:v>
                </c:pt>
                <c:pt idx="609">
                  <c:v>-7.4214704867103859E-3</c:v>
                </c:pt>
                <c:pt idx="610">
                  <c:v>3.4776560598162278E-4</c:v>
                </c:pt>
                <c:pt idx="611">
                  <c:v>4.1717364853120454E-3</c:v>
                </c:pt>
                <c:pt idx="612">
                  <c:v>-8.6550112515153645E-4</c:v>
                </c:pt>
                <c:pt idx="613">
                  <c:v>-1.7325017325013877E-4</c:v>
                </c:pt>
                <c:pt idx="614">
                  <c:v>6.0648067925836322E-3</c:v>
                </c:pt>
                <c:pt idx="615">
                  <c:v>1.5501205649327645E-3</c:v>
                </c:pt>
                <c:pt idx="616">
                  <c:v>-3.4393809114352574E-4</c:v>
                </c:pt>
                <c:pt idx="617">
                  <c:v>-1.4966454498537838E-2</c:v>
                </c:pt>
                <c:pt idx="618">
                  <c:v>-6.6363953894515446E-3</c:v>
                </c:pt>
                <c:pt idx="619">
                  <c:v>8.6146272855132707E-3</c:v>
                </c:pt>
                <c:pt idx="620">
                  <c:v>2.9632211957469358E-3</c:v>
                </c:pt>
                <c:pt idx="621">
                  <c:v>-5.5613486270420631E-3</c:v>
                </c:pt>
                <c:pt idx="622">
                  <c:v>1.7476406850751734E-3</c:v>
                </c:pt>
                <c:pt idx="623">
                  <c:v>-7.8506629448709501E-3</c:v>
                </c:pt>
                <c:pt idx="624">
                  <c:v>-8.2644628099173365E-3</c:v>
                </c:pt>
                <c:pt idx="625">
                  <c:v>-4.9645390070922188E-3</c:v>
                </c:pt>
                <c:pt idx="626">
                  <c:v>-1.7818959372769086E-4</c:v>
                </c:pt>
                <c:pt idx="627">
                  <c:v>5.3466405275354016E-4</c:v>
                </c:pt>
                <c:pt idx="628">
                  <c:v>1.2468827930174613E-3</c:v>
                </c:pt>
                <c:pt idx="629">
                  <c:v>-6.5824586372531125E-3</c:v>
                </c:pt>
                <c:pt idx="630">
                  <c:v>1.1640401146131778E-2</c:v>
                </c:pt>
                <c:pt idx="631">
                  <c:v>3.7174721189591228E-3</c:v>
                </c:pt>
                <c:pt idx="632">
                  <c:v>-6.1728395061728643E-3</c:v>
                </c:pt>
                <c:pt idx="633">
                  <c:v>-3.5492457852711847E-4</c:v>
                </c:pt>
                <c:pt idx="634">
                  <c:v>-2.8404047576779086E-3</c:v>
                </c:pt>
                <c:pt idx="635">
                  <c:v>1.9049314580737053E-2</c:v>
                </c:pt>
                <c:pt idx="636">
                  <c:v>4.1928721174003302E-3</c:v>
                </c:pt>
                <c:pt idx="637">
                  <c:v>1.3917884481559743E-3</c:v>
                </c:pt>
                <c:pt idx="638">
                  <c:v>1.4767199444058274E-2</c:v>
                </c:pt>
                <c:pt idx="639">
                  <c:v>2.5680534155111401E-3</c:v>
                </c:pt>
                <c:pt idx="640">
                  <c:v>5.9767759562840556E-3</c:v>
                </c:pt>
                <c:pt idx="641">
                  <c:v>-1.697504668137741E-3</c:v>
                </c:pt>
                <c:pt idx="642">
                  <c:v>-6.1214079238224696E-3</c:v>
                </c:pt>
                <c:pt idx="643">
                  <c:v>-1.7108639863131123E-3</c:v>
                </c:pt>
                <c:pt idx="644">
                  <c:v>1.4567266495287085E-2</c:v>
                </c:pt>
                <c:pt idx="645">
                  <c:v>4.0540540540539675E-3</c:v>
                </c:pt>
                <c:pt idx="646">
                  <c:v>-1.682368775235436E-3</c:v>
                </c:pt>
                <c:pt idx="647">
                  <c:v>-3.3704078193461887E-3</c:v>
                </c:pt>
                <c:pt idx="648">
                  <c:v>8.4545147108551163E-4</c:v>
                </c:pt>
                <c:pt idx="649">
                  <c:v>1.6894745734085347E-4</c:v>
                </c:pt>
                <c:pt idx="650">
                  <c:v>-3.0405405405405355E-3</c:v>
                </c:pt>
                <c:pt idx="651">
                  <c:v>-2.7109454422230379E-3</c:v>
                </c:pt>
                <c:pt idx="652">
                  <c:v>3.5677879714577109E-3</c:v>
                </c:pt>
                <c:pt idx="653">
                  <c:v>2.5393600812594983E-3</c:v>
                </c:pt>
                <c:pt idx="654">
                  <c:v>2.8706518068220485E-3</c:v>
                </c:pt>
                <c:pt idx="655">
                  <c:v>-6.3983835662569889E-3</c:v>
                </c:pt>
                <c:pt idx="656">
                  <c:v>1.2540247415692291E-2</c:v>
                </c:pt>
                <c:pt idx="657">
                  <c:v>1.3389121338911849E-3</c:v>
                </c:pt>
                <c:pt idx="658">
                  <c:v>-2.339963229149266E-3</c:v>
                </c:pt>
                <c:pt idx="659">
                  <c:v>3.3506449991623864E-3</c:v>
                </c:pt>
                <c:pt idx="660">
                  <c:v>3.840374019034845E-3</c:v>
                </c:pt>
                <c:pt idx="661">
                  <c:v>-1.6633399866931857E-3</c:v>
                </c:pt>
                <c:pt idx="662">
                  <c:v>-4.6651116294568664E-3</c:v>
                </c:pt>
                <c:pt idx="663">
                  <c:v>4.017408771342398E-3</c:v>
                </c:pt>
                <c:pt idx="664">
                  <c:v>-1.0003334444814134E-3</c:v>
                </c:pt>
                <c:pt idx="665">
                  <c:v>5.841121495327126E-3</c:v>
                </c:pt>
                <c:pt idx="666">
                  <c:v>5.3094408495105404E-3</c:v>
                </c:pt>
                <c:pt idx="667">
                  <c:v>1.8154811024921509E-3</c:v>
                </c:pt>
                <c:pt idx="668">
                  <c:v>7.2487644151564695E-3</c:v>
                </c:pt>
                <c:pt idx="669">
                  <c:v>7.0330389270526613E-3</c:v>
                </c:pt>
                <c:pt idx="670">
                  <c:v>5.1973363651128838E-3</c:v>
                </c:pt>
                <c:pt idx="671">
                  <c:v>4.5241557602197632E-3</c:v>
                </c:pt>
                <c:pt idx="672">
                  <c:v>2.5735885475309086E-3</c:v>
                </c:pt>
                <c:pt idx="673">
                  <c:v>7.861382961655736E-3</c:v>
                </c:pt>
                <c:pt idx="674">
                  <c:v>9.5510983763132992E-3</c:v>
                </c:pt>
                <c:pt idx="675">
                  <c:v>1.2614317250078571E-3</c:v>
                </c:pt>
                <c:pt idx="676">
                  <c:v>-1.1968503937007843E-2</c:v>
                </c:pt>
                <c:pt idx="677">
                  <c:v>-5.1004144086707085E-3</c:v>
                </c:pt>
                <c:pt idx="678">
                  <c:v>-6.4082024991989521E-3</c:v>
                </c:pt>
                <c:pt idx="679">
                  <c:v>5.1596259271202878E-3</c:v>
                </c:pt>
                <c:pt idx="680">
                  <c:v>-4.8123195380175062E-4</c:v>
                </c:pt>
                <c:pt idx="681">
                  <c:v>-1.7653667148130223E-3</c:v>
                </c:pt>
                <c:pt idx="682">
                  <c:v>7.8778135048230679E-3</c:v>
                </c:pt>
                <c:pt idx="683">
                  <c:v>8.7733290795980901E-3</c:v>
                </c:pt>
                <c:pt idx="684">
                  <c:v>1.5812776723592888E-3</c:v>
                </c:pt>
                <c:pt idx="685">
                  <c:v>3.6311967161350941E-3</c:v>
                </c:pt>
                <c:pt idx="686">
                  <c:v>4.8765140789681022E-3</c:v>
                </c:pt>
                <c:pt idx="687">
                  <c:v>6.5748278021289068E-3</c:v>
                </c:pt>
                <c:pt idx="688">
                  <c:v>1.1508553654743531E-2</c:v>
                </c:pt>
                <c:pt idx="689">
                  <c:v>7.3800738007378493E-3</c:v>
                </c:pt>
                <c:pt idx="690">
                  <c:v>2.8998778998778653E-3</c:v>
                </c:pt>
                <c:pt idx="691">
                  <c:v>7.6091919038198154E-3</c:v>
                </c:pt>
                <c:pt idx="692">
                  <c:v>-2.4165533907264253E-3</c:v>
                </c:pt>
                <c:pt idx="693">
                  <c:v>2.4224072672217501E-3</c:v>
                </c:pt>
                <c:pt idx="694">
                  <c:v>1.2988974475154803E-2</c:v>
                </c:pt>
                <c:pt idx="695">
                  <c:v>9.2440733561950893E-3</c:v>
                </c:pt>
                <c:pt idx="696">
                  <c:v>8.8639385433597693E-4</c:v>
                </c:pt>
                <c:pt idx="697">
                  <c:v>8.8560885608859441E-4</c:v>
                </c:pt>
                <c:pt idx="698">
                  <c:v>2.212063117534161E-3</c:v>
                </c:pt>
                <c:pt idx="699">
                  <c:v>7.0629782224838735E-3</c:v>
                </c:pt>
                <c:pt idx="700">
                  <c:v>-2.922267679718881E-4</c:v>
                </c:pt>
                <c:pt idx="701">
                  <c:v>5.1154633148201446E-3</c:v>
                </c:pt>
                <c:pt idx="702">
                  <c:v>1.4395812127381259E-2</c:v>
                </c:pt>
                <c:pt idx="703">
                  <c:v>2.5802752293576921E-3</c:v>
                </c:pt>
                <c:pt idx="704">
                  <c:v>9.2936802973978515E-3</c:v>
                </c:pt>
                <c:pt idx="705">
                  <c:v>1.0908060631817481E-2</c:v>
                </c:pt>
                <c:pt idx="706">
                  <c:v>4.3441704035874756E-3</c:v>
                </c:pt>
                <c:pt idx="707">
                  <c:v>6.9764197014092364E-3</c:v>
                </c:pt>
                <c:pt idx="708">
                  <c:v>2.7712345850076604E-3</c:v>
                </c:pt>
                <c:pt idx="709">
                  <c:v>4.1453641011468447E-3</c:v>
                </c:pt>
                <c:pt idx="710">
                  <c:v>3.715425897894537E-3</c:v>
                </c:pt>
                <c:pt idx="711">
                  <c:v>2.3306827529476514E-3</c:v>
                </c:pt>
                <c:pt idx="712">
                  <c:v>-2.4620434961016634E-3</c:v>
                </c:pt>
                <c:pt idx="713">
                  <c:v>1.9196489784723207E-3</c:v>
                </c:pt>
                <c:pt idx="714">
                  <c:v>1.5601478034761198E-2</c:v>
                </c:pt>
                <c:pt idx="715">
                  <c:v>2.6950545748551792E-3</c:v>
                </c:pt>
                <c:pt idx="716">
                  <c:v>3.0909823948394571E-3</c:v>
                </c:pt>
                <c:pt idx="717">
                  <c:v>-1.2057877813505279E-3</c:v>
                </c:pt>
                <c:pt idx="718">
                  <c:v>-2.4144869215290761E-3</c:v>
                </c:pt>
                <c:pt idx="719">
                  <c:v>1.0757025682398586E-3</c:v>
                </c:pt>
                <c:pt idx="720">
                  <c:v>2.955003357958346E-3</c:v>
                </c:pt>
                <c:pt idx="721">
                  <c:v>-1.3392259274146398E-4</c:v>
                </c:pt>
                <c:pt idx="722">
                  <c:v>-1.4867398874899537E-2</c:v>
                </c:pt>
                <c:pt idx="723">
                  <c:v>-1.2236573759347848E-3</c:v>
                </c:pt>
                <c:pt idx="724">
                  <c:v>-6.806425265450199E-4</c:v>
                </c:pt>
                <c:pt idx="725">
                  <c:v>9.5354856286619519E-4</c:v>
                </c:pt>
                <c:pt idx="726">
                  <c:v>-4.8992923244420171E-3</c:v>
                </c:pt>
                <c:pt idx="727">
                  <c:v>-8.3424507658643246E-3</c:v>
                </c:pt>
                <c:pt idx="728">
                  <c:v>-6.8956006068144205E-4</c:v>
                </c:pt>
                <c:pt idx="729">
                  <c:v>4.2782224675683451E-3</c:v>
                </c:pt>
                <c:pt idx="730">
                  <c:v>-1.0993541294489254E-3</c:v>
                </c:pt>
                <c:pt idx="731">
                  <c:v>-1.6508460586050976E-3</c:v>
                </c:pt>
                <c:pt idx="732">
                  <c:v>-1.377979881493652E-3</c:v>
                </c:pt>
                <c:pt idx="733">
                  <c:v>8.5552642472747978E-3</c:v>
                </c:pt>
                <c:pt idx="734">
                  <c:v>1.5049938432069971E-3</c:v>
                </c:pt>
                <c:pt idx="735">
                  <c:v>4.6448087431694455E-3</c:v>
                </c:pt>
                <c:pt idx="736">
                  <c:v>1.0878433505574965E-3</c:v>
                </c:pt>
                <c:pt idx="737">
                  <c:v>6.7916327085027373E-4</c:v>
                </c:pt>
                <c:pt idx="738">
                  <c:v>-5.7010994977603055E-3</c:v>
                </c:pt>
                <c:pt idx="739">
                  <c:v>-4.3686006825937639E-3</c:v>
                </c:pt>
                <c:pt idx="740">
                  <c:v>-5.4847113670651647E-4</c:v>
                </c:pt>
                <c:pt idx="741">
                  <c:v>-2.1950884895046863E-3</c:v>
                </c:pt>
                <c:pt idx="742">
                  <c:v>1.3749484394322707E-4</c:v>
                </c:pt>
                <c:pt idx="743">
                  <c:v>-3.9868023095957113E-3</c:v>
                </c:pt>
                <c:pt idx="744">
                  <c:v>3.8647342995169237E-3</c:v>
                </c:pt>
                <c:pt idx="745">
                  <c:v>1.5124432833768654E-3</c:v>
                </c:pt>
                <c:pt idx="746">
                  <c:v>-2.0593080724877221E-3</c:v>
                </c:pt>
                <c:pt idx="747">
                  <c:v>-5.5028201953490226E-4</c:v>
                </c:pt>
                <c:pt idx="748">
                  <c:v>5.505849965587342E-4</c:v>
                </c:pt>
                <c:pt idx="749">
                  <c:v>3.4392626220938233E-3</c:v>
                </c:pt>
                <c:pt idx="750">
                  <c:v>6.8549492733749871E-4</c:v>
                </c:pt>
                <c:pt idx="751">
                  <c:v>2.055076037813477E-3</c:v>
                </c:pt>
                <c:pt idx="752">
                  <c:v>1.1484823625922935E-2</c:v>
                </c:pt>
                <c:pt idx="753">
                  <c:v>3.3792917004595835E-3</c:v>
                </c:pt>
                <c:pt idx="754">
                  <c:v>1.2124477973863559E-3</c:v>
                </c:pt>
                <c:pt idx="755">
                  <c:v>7.9386437029063967E-3</c:v>
                </c:pt>
                <c:pt idx="756">
                  <c:v>1.3349352556407844E-4</c:v>
                </c:pt>
                <c:pt idx="757">
                  <c:v>-3.0699412706887879E-3</c:v>
                </c:pt>
                <c:pt idx="758">
                  <c:v>3.7488284910965476E-3</c:v>
                </c:pt>
                <c:pt idx="759">
                  <c:v>-7.3362678404694836E-3</c:v>
                </c:pt>
                <c:pt idx="760">
                  <c:v>-2.2843321687718585E-3</c:v>
                </c:pt>
                <c:pt idx="761">
                  <c:v>-5.3872053872054638E-3</c:v>
                </c:pt>
                <c:pt idx="762">
                  <c:v>2.3019634394042211E-3</c:v>
                </c:pt>
                <c:pt idx="763">
                  <c:v>1.0807889759524222E-3</c:v>
                </c:pt>
                <c:pt idx="764">
                  <c:v>-2.9689608636976907E-3</c:v>
                </c:pt>
                <c:pt idx="765">
                  <c:v>-2.7070925825657856E-4</c:v>
                </c:pt>
                <c:pt idx="766">
                  <c:v>2.4370430544273874E-3</c:v>
                </c:pt>
                <c:pt idx="767">
                  <c:v>1.3506212857902357E-4</c:v>
                </c:pt>
                <c:pt idx="768">
                  <c:v>5.9419311276164444E-3</c:v>
                </c:pt>
                <c:pt idx="769">
                  <c:v>4.027386226339259E-3</c:v>
                </c:pt>
                <c:pt idx="770">
                  <c:v>2.6741542987028829E-3</c:v>
                </c:pt>
                <c:pt idx="771">
                  <c:v>4.4005867448992974E-3</c:v>
                </c:pt>
                <c:pt idx="772">
                  <c:v>3.7174721189591232E-3</c:v>
                </c:pt>
                <c:pt idx="773">
                  <c:v>5.8201058201059787E-3</c:v>
                </c:pt>
                <c:pt idx="774">
                  <c:v>4.9973698053655371E-3</c:v>
                </c:pt>
                <c:pt idx="775">
                  <c:v>1.0730175346767772E-2</c:v>
                </c:pt>
                <c:pt idx="776">
                  <c:v>2.5893319523576168E-4</c:v>
                </c:pt>
                <c:pt idx="777">
                  <c:v>9.0603158167226073E-3</c:v>
                </c:pt>
                <c:pt idx="778">
                  <c:v>1.3340174448435176E-2</c:v>
                </c:pt>
                <c:pt idx="779">
                  <c:v>1.5189873417722096E-3</c:v>
                </c:pt>
                <c:pt idx="780">
                  <c:v>9.3528816986854762E-3</c:v>
                </c:pt>
                <c:pt idx="781">
                  <c:v>-3.005259203606247E-3</c:v>
                </c:pt>
                <c:pt idx="782">
                  <c:v>-8.9173574478775171E-3</c:v>
                </c:pt>
                <c:pt idx="783">
                  <c:v>2.9780762894436808E-2</c:v>
                </c:pt>
                <c:pt idx="784">
                  <c:v>2.9042579374846163E-2</c:v>
                </c:pt>
                <c:pt idx="785">
                  <c:v>6.8165510643385932E-3</c:v>
                </c:pt>
                <c:pt idx="786">
                  <c:v>7.8394108563962055E-3</c:v>
                </c:pt>
                <c:pt idx="787">
                  <c:v>2.1449616971125605E-2</c:v>
                </c:pt>
                <c:pt idx="788">
                  <c:v>5.8843890619592141E-3</c:v>
                </c:pt>
                <c:pt idx="789">
                  <c:v>5.7352603808212893E-3</c:v>
                </c:pt>
                <c:pt idx="790">
                  <c:v>-2.1669708029198442E-3</c:v>
                </c:pt>
                <c:pt idx="791">
                  <c:v>2.0573779860556273E-3</c:v>
                </c:pt>
                <c:pt idx="792">
                  <c:v>2.0531538724762473E-3</c:v>
                </c:pt>
                <c:pt idx="793">
                  <c:v>9.7894137734775132E-3</c:v>
                </c:pt>
                <c:pt idx="794">
                  <c:v>-2.1418103934167259E-3</c:v>
                </c:pt>
                <c:pt idx="795">
                  <c:v>6.3262539539087476E-3</c:v>
                </c:pt>
                <c:pt idx="796">
                  <c:v>3.4800179613830519E-3</c:v>
                </c:pt>
                <c:pt idx="797">
                  <c:v>5.4815974941268024E-3</c:v>
                </c:pt>
                <c:pt idx="798">
                  <c:v>-5.5629728526921632E-4</c:v>
                </c:pt>
                <c:pt idx="799">
                  <c:v>4.7868195480352538E-3</c:v>
                </c:pt>
                <c:pt idx="800">
                  <c:v>7.7553733658312842E-4</c:v>
                </c:pt>
                <c:pt idx="801">
                  <c:v>-1.6605778811025294E-3</c:v>
                </c:pt>
                <c:pt idx="802">
                  <c:v>-1.1088933244622812E-3</c:v>
                </c:pt>
                <c:pt idx="803">
                  <c:v>6.6607460035526507E-4</c:v>
                </c:pt>
                <c:pt idx="804">
                  <c:v>-4.4375416019525812E-3</c:v>
                </c:pt>
                <c:pt idx="805">
                  <c:v>-6.9088477824826204E-3</c:v>
                </c:pt>
                <c:pt idx="806">
                  <c:v>-2.0197486535009743E-3</c:v>
                </c:pt>
                <c:pt idx="807">
                  <c:v>-1.146840566674158E-2</c:v>
                </c:pt>
                <c:pt idx="808">
                  <c:v>-5.6869881710642806E-4</c:v>
                </c:pt>
                <c:pt idx="809">
                  <c:v>-1.8208717423467712E-3</c:v>
                </c:pt>
                <c:pt idx="810">
                  <c:v>-1.2427317295633214E-2</c:v>
                </c:pt>
                <c:pt idx="811">
                  <c:v>-7.5040406372662858E-3</c:v>
                </c:pt>
                <c:pt idx="812">
                  <c:v>-1.3376759334651689E-2</c:v>
                </c:pt>
                <c:pt idx="813">
                  <c:v>-2.240037726951164E-3</c:v>
                </c:pt>
                <c:pt idx="814">
                  <c:v>2.3632281696798164E-3</c:v>
                </c:pt>
                <c:pt idx="815">
                  <c:v>4.9510786278439438E-3</c:v>
                </c:pt>
                <c:pt idx="816">
                  <c:v>5.5131964809384034E-3</c:v>
                </c:pt>
                <c:pt idx="817">
                  <c:v>-1.7498833411106591E-3</c:v>
                </c:pt>
                <c:pt idx="818">
                  <c:v>-6.8949398153557231E-3</c:v>
                </c:pt>
                <c:pt idx="819">
                  <c:v>3.7655919039773261E-3</c:v>
                </c:pt>
                <c:pt idx="820">
                  <c:v>-6.9167643610785869E-3</c:v>
                </c:pt>
                <c:pt idx="821">
                  <c:v>-1.097863298311879E-2</c:v>
                </c:pt>
                <c:pt idx="822">
                  <c:v>-3.4614466459776351E-3</c:v>
                </c:pt>
                <c:pt idx="823">
                  <c:v>-1.1019283746556495E-2</c:v>
                </c:pt>
                <c:pt idx="824">
                  <c:v>-7.266561705219745E-3</c:v>
                </c:pt>
                <c:pt idx="825">
                  <c:v>-4.5138465292180619E-3</c:v>
                </c:pt>
                <c:pt idx="826">
                  <c:v>-1.2990196078431228E-2</c:v>
                </c:pt>
                <c:pt idx="827">
                  <c:v>-6.2080953563460844E-4</c:v>
                </c:pt>
                <c:pt idx="828">
                  <c:v>-1.4908684308608566E-3</c:v>
                </c:pt>
                <c:pt idx="829">
                  <c:v>-2.9861888764465484E-3</c:v>
                </c:pt>
                <c:pt idx="830">
                  <c:v>-1.3228503681517564E-2</c:v>
                </c:pt>
                <c:pt idx="831">
                  <c:v>-2.529404325280893E-4</c:v>
                </c:pt>
                <c:pt idx="832">
                  <c:v>-1.8216318785578719E-2</c:v>
                </c:pt>
                <c:pt idx="833">
                  <c:v>-1.5848473134905346E-2</c:v>
                </c:pt>
                <c:pt idx="834">
                  <c:v>-5.8915946582873613E-3</c:v>
                </c:pt>
                <c:pt idx="835">
                  <c:v>-1.1326221519821066E-2</c:v>
                </c:pt>
                <c:pt idx="836">
                  <c:v>-9.7242573597973864E-3</c:v>
                </c:pt>
                <c:pt idx="837">
                  <c:v>-1.0357815442561343E-2</c:v>
                </c:pt>
                <c:pt idx="838">
                  <c:v>-6.1166236237595309E-3</c:v>
                </c:pt>
                <c:pt idx="839">
                  <c:v>-6.8380743982510075E-4</c:v>
                </c:pt>
                <c:pt idx="840">
                  <c:v>-1.9159709867248716E-3</c:v>
                </c:pt>
                <c:pt idx="841">
                  <c:v>-3.4279446044151924E-3</c:v>
                </c:pt>
                <c:pt idx="842">
                  <c:v>-1.2383048981838662E-3</c:v>
                </c:pt>
                <c:pt idx="843">
                  <c:v>-7.7145612343298281E-3</c:v>
                </c:pt>
                <c:pt idx="844">
                  <c:v>-1.1245314452311568E-2</c:v>
                </c:pt>
                <c:pt idx="845">
                  <c:v>-1.2636899747262484E-3</c:v>
                </c:pt>
                <c:pt idx="846">
                  <c:v>1.5464642204414375E-3</c:v>
                </c:pt>
                <c:pt idx="847">
                  <c:v>-5.8955642897248984E-3</c:v>
                </c:pt>
                <c:pt idx="848">
                  <c:v>-1.9768426998023038E-2</c:v>
                </c:pt>
                <c:pt idx="849">
                  <c:v>-3.6012676462114663E-3</c:v>
                </c:pt>
                <c:pt idx="850">
                  <c:v>-3.180569611103063E-3</c:v>
                </c:pt>
                <c:pt idx="851">
                  <c:v>-1.4503263234228938E-3</c:v>
                </c:pt>
                <c:pt idx="852">
                  <c:v>5.8097312999282871E-4</c:v>
                </c:pt>
                <c:pt idx="853">
                  <c:v>1.8870663376396495E-3</c:v>
                </c:pt>
                <c:pt idx="854">
                  <c:v>-8.6931324253842763E-4</c:v>
                </c:pt>
                <c:pt idx="855">
                  <c:v>8.2656612529003401E-3</c:v>
                </c:pt>
                <c:pt idx="856">
                  <c:v>-1.0642887962030704E-2</c:v>
                </c:pt>
                <c:pt idx="857">
                  <c:v>-1.5409216455880247E-2</c:v>
                </c:pt>
                <c:pt idx="858">
                  <c:v>3.5434814705447345E-3</c:v>
                </c:pt>
                <c:pt idx="859">
                  <c:v>-4.8550831249080228E-3</c:v>
                </c:pt>
                <c:pt idx="860">
                  <c:v>-4.4352454169132373E-4</c:v>
                </c:pt>
                <c:pt idx="861">
                  <c:v>-1.6269782576541847E-3</c:v>
                </c:pt>
                <c:pt idx="862">
                  <c:v>-2.0740740740740823E-3</c:v>
                </c:pt>
                <c:pt idx="863">
                  <c:v>1.0540380047505845E-2</c:v>
                </c:pt>
                <c:pt idx="864">
                  <c:v>5.8763038049076326E-4</c:v>
                </c:pt>
                <c:pt idx="865">
                  <c:v>4.6982821905741795E-3</c:v>
                </c:pt>
                <c:pt idx="866">
                  <c:v>-2.3381557796289753E-3</c:v>
                </c:pt>
                <c:pt idx="867">
                  <c:v>-3.3689761242125353E-3</c:v>
                </c:pt>
                <c:pt idx="868">
                  <c:v>-6.7607289829513216E-3</c:v>
                </c:pt>
                <c:pt idx="869">
                  <c:v>1.0358094110684728E-3</c:v>
                </c:pt>
                <c:pt idx="870">
                  <c:v>-9.3126385809314052E-3</c:v>
                </c:pt>
                <c:pt idx="871">
                  <c:v>-1.9994031632348391E-2</c:v>
                </c:pt>
                <c:pt idx="872">
                  <c:v>-6.5468940316687997E-3</c:v>
                </c:pt>
                <c:pt idx="873">
                  <c:v>-1.6858237547892632E-2</c:v>
                </c:pt>
                <c:pt idx="874">
                  <c:v>-1.5588464536244507E-3</c:v>
                </c:pt>
                <c:pt idx="875">
                  <c:v>-9.523809523809516E-3</c:v>
                </c:pt>
                <c:pt idx="876">
                  <c:v>-1.4186633039091473E-3</c:v>
                </c:pt>
                <c:pt idx="877">
                  <c:v>-2.5256511444357332E-3</c:v>
                </c:pt>
                <c:pt idx="878">
                  <c:v>-3.3233106504193836E-3</c:v>
                </c:pt>
                <c:pt idx="879">
                  <c:v>-1.1114639568116909E-3</c:v>
                </c:pt>
                <c:pt idx="880">
                  <c:v>-2.8612303290414835E-3</c:v>
                </c:pt>
                <c:pt idx="881">
                  <c:v>7.9706679419742172E-4</c:v>
                </c:pt>
                <c:pt idx="882">
                  <c:v>9.5571838165024324E-4</c:v>
                </c:pt>
                <c:pt idx="883">
                  <c:v>1.4322087842138177E-3</c:v>
                </c:pt>
                <c:pt idx="884">
                  <c:v>7.3097092006992031E-3</c:v>
                </c:pt>
                <c:pt idx="885">
                  <c:v>2.6818110112005315E-3</c:v>
                </c:pt>
                <c:pt idx="886">
                  <c:v>7.2372561359344513E-3</c:v>
                </c:pt>
                <c:pt idx="887">
                  <c:v>-3.1240237425798223E-4</c:v>
                </c:pt>
                <c:pt idx="888">
                  <c:v>1.7187499999999911E-3</c:v>
                </c:pt>
                <c:pt idx="889">
                  <c:v>-5.7713305256589841E-3</c:v>
                </c:pt>
                <c:pt idx="890">
                  <c:v>-6.2754941951677357E-4</c:v>
                </c:pt>
                <c:pt idx="891">
                  <c:v>-9.4191522762954898E-4</c:v>
                </c:pt>
                <c:pt idx="892">
                  <c:v>-2.0427404148334783E-3</c:v>
                </c:pt>
                <c:pt idx="893">
                  <c:v>4.7236655644782141E-4</c:v>
                </c:pt>
                <c:pt idx="894">
                  <c:v>2.6754800125905211E-3</c:v>
                </c:pt>
                <c:pt idx="895">
                  <c:v>4.55187568670537E-3</c:v>
                </c:pt>
                <c:pt idx="896">
                  <c:v>1.5625000000007994E-4</c:v>
                </c:pt>
                <c:pt idx="897">
                  <c:v>-5.3116700515544978E-3</c:v>
                </c:pt>
                <c:pt idx="898">
                  <c:v>-1.4135385581907241E-3</c:v>
                </c:pt>
                <c:pt idx="899">
                  <c:v>4.7184649260775618E-4</c:v>
                </c:pt>
                <c:pt idx="900">
                  <c:v>6.2883194466277546E-4</c:v>
                </c:pt>
                <c:pt idx="901">
                  <c:v>3.7706205813040376E-3</c:v>
                </c:pt>
                <c:pt idx="902">
                  <c:v>-2.9738613241508489E-3</c:v>
                </c:pt>
                <c:pt idx="903">
                  <c:v>-5.1805337519624083E-3</c:v>
                </c:pt>
                <c:pt idx="904">
                  <c:v>-1.7358371469149351E-3</c:v>
                </c:pt>
                <c:pt idx="905">
                  <c:v>1.1065444198545729E-3</c:v>
                </c:pt>
                <c:pt idx="906">
                  <c:v>7.8951523764408654E-3</c:v>
                </c:pt>
                <c:pt idx="907">
                  <c:v>6.2666457778472737E-4</c:v>
                </c:pt>
                <c:pt idx="908">
                  <c:v>2.5050884609363346E-3</c:v>
                </c:pt>
                <c:pt idx="909">
                  <c:v>3.1235358425731719E-4</c:v>
                </c:pt>
                <c:pt idx="910">
                  <c:v>4.2154566744730063E-3</c:v>
                </c:pt>
                <c:pt idx="911">
                  <c:v>3.109452736319999E-4</c:v>
                </c:pt>
                <c:pt idx="912">
                  <c:v>2.331364625427284E-3</c:v>
                </c:pt>
                <c:pt idx="913">
                  <c:v>-3.5664444099858862E-3</c:v>
                </c:pt>
                <c:pt idx="914">
                  <c:v>4.6685340802989626E-4</c:v>
                </c:pt>
                <c:pt idx="915">
                  <c:v>7.7772592938244128E-4</c:v>
                </c:pt>
                <c:pt idx="916">
                  <c:v>2.9530618588746926E-3</c:v>
                </c:pt>
                <c:pt idx="917">
                  <c:v>7.7483341081663033E-4</c:v>
                </c:pt>
                <c:pt idx="918">
                  <c:v>1.8581604211830992E-3</c:v>
                </c:pt>
                <c:pt idx="919">
                  <c:v>1.2364760432766351E-3</c:v>
                </c:pt>
                <c:pt idx="920">
                  <c:v>6.1747452917554867E-4</c:v>
                </c:pt>
                <c:pt idx="921">
                  <c:v>5.0910212897255867E-3</c:v>
                </c:pt>
                <c:pt idx="922">
                  <c:v>-1.2279355333846892E-3</c:v>
                </c:pt>
                <c:pt idx="923">
                  <c:v>-1.536806516059541E-3</c:v>
                </c:pt>
                <c:pt idx="924">
                  <c:v>9.2350315530248224E-4</c:v>
                </c:pt>
                <c:pt idx="925">
                  <c:v>7.6887590342914283E-4</c:v>
                </c:pt>
                <c:pt idx="926">
                  <c:v>1.6902274124154799E-3</c:v>
                </c:pt>
                <c:pt idx="927">
                  <c:v>2.6077619266758967E-3</c:v>
                </c:pt>
                <c:pt idx="928">
                  <c:v>-4.5899632802939318E-4</c:v>
                </c:pt>
                <c:pt idx="929">
                  <c:v>-1.5306903413447293E-4</c:v>
                </c:pt>
                <c:pt idx="930">
                  <c:v>-8.7262706674830562E-3</c:v>
                </c:pt>
                <c:pt idx="931">
                  <c:v>-6.6409266409267467E-3</c:v>
                </c:pt>
                <c:pt idx="932">
                  <c:v>1.5547263681599995E-4</c:v>
                </c:pt>
                <c:pt idx="933">
                  <c:v>4.6634540649776368E-4</c:v>
                </c:pt>
                <c:pt idx="934">
                  <c:v>-3.1075201988806745E-4</c:v>
                </c:pt>
                <c:pt idx="935">
                  <c:v>3.1084861672359371E-4</c:v>
                </c:pt>
                <c:pt idx="936">
                  <c:v>-1.553760099440558E-3</c:v>
                </c:pt>
                <c:pt idx="937">
                  <c:v>7.7808901338308678E-4</c:v>
                </c:pt>
                <c:pt idx="938">
                  <c:v>4.0429171201988943E-3</c:v>
                </c:pt>
                <c:pt idx="939">
                  <c:v>3.0974136595942831E-3</c:v>
                </c:pt>
                <c:pt idx="940">
                  <c:v>2.4702794503629892E-3</c:v>
                </c:pt>
                <c:pt idx="941">
                  <c:v>2.4641922069920928E-3</c:v>
                </c:pt>
                <c:pt idx="942">
                  <c:v>3.2263020433245314E-3</c:v>
                </c:pt>
                <c:pt idx="943">
                  <c:v>-1.6845329249617065E-3</c:v>
                </c:pt>
                <c:pt idx="944">
                  <c:v>3.0679552078533549E-4</c:v>
                </c:pt>
                <c:pt idx="945">
                  <c:v>-9.20104278484712E-4</c:v>
                </c:pt>
                <c:pt idx="946">
                  <c:v>-2.6093630084420829E-3</c:v>
                </c:pt>
                <c:pt idx="947">
                  <c:v>-3.0778701138827689E-4</c:v>
                </c:pt>
                <c:pt idx="948">
                  <c:v>2.4630541871922848E-3</c:v>
                </c:pt>
                <c:pt idx="949">
                  <c:v>6.2960687960687432E-3</c:v>
                </c:pt>
                <c:pt idx="950">
                  <c:v>-6.1040744697094841E-4</c:v>
                </c:pt>
                <c:pt idx="951">
                  <c:v>1.8323408153917324E-3</c:v>
                </c:pt>
                <c:pt idx="952">
                  <c:v>-2.1338210638622247E-3</c:v>
                </c:pt>
                <c:pt idx="953">
                  <c:v>2.4438674201924023E-3</c:v>
                </c:pt>
                <c:pt idx="954">
                  <c:v>4.5710802986440865E-4</c:v>
                </c:pt>
                <c:pt idx="955">
                  <c:v>7.6149862930242397E-4</c:v>
                </c:pt>
                <c:pt idx="956">
                  <c:v>1.9783898949932992E-3</c:v>
                </c:pt>
                <c:pt idx="957">
                  <c:v>2.8857837181044611E-3</c:v>
                </c:pt>
                <c:pt idx="958">
                  <c:v>3.1803725579281198E-3</c:v>
                </c:pt>
                <c:pt idx="959">
                  <c:v>-1.3586956521737502E-3</c:v>
                </c:pt>
                <c:pt idx="960">
                  <c:v>4.2328042328042496E-3</c:v>
                </c:pt>
                <c:pt idx="961">
                  <c:v>3.9138943248530917E-3</c:v>
                </c:pt>
                <c:pt idx="962">
                  <c:v>1.6494227020542726E-3</c:v>
                </c:pt>
                <c:pt idx="963">
                  <c:v>7.4850299401193348E-4</c:v>
                </c:pt>
                <c:pt idx="964">
                  <c:v>3.4405385190726103E-3</c:v>
                </c:pt>
                <c:pt idx="965">
                  <c:v>3.4287418008348836E-3</c:v>
                </c:pt>
                <c:pt idx="966">
                  <c:v>4.4569900460557328E-4</c:v>
                </c:pt>
                <c:pt idx="967">
                  <c:v>2.9700029700023789E-4</c:v>
                </c:pt>
                <c:pt idx="968">
                  <c:v>1.4845605700711745E-3</c:v>
                </c:pt>
                <c:pt idx="969">
                  <c:v>8.8941595019274052E-4</c:v>
                </c:pt>
                <c:pt idx="970">
                  <c:v>1.4810426540285623E-3</c:v>
                </c:pt>
                <c:pt idx="971">
                  <c:v>-1.4788524105301855E-4</c:v>
                </c:pt>
                <c:pt idx="972">
                  <c:v>4.4372134299661495E-4</c:v>
                </c:pt>
                <c:pt idx="973">
                  <c:v>4.4352454169132373E-4</c:v>
                </c:pt>
                <c:pt idx="974">
                  <c:v>2.2166395744050759E-3</c:v>
                </c:pt>
                <c:pt idx="975">
                  <c:v>6.1928634621055993E-3</c:v>
                </c:pt>
                <c:pt idx="976">
                  <c:v>2.3446658851115302E-3</c:v>
                </c:pt>
                <c:pt idx="977">
                  <c:v>3.2163742690058312E-3</c:v>
                </c:pt>
                <c:pt idx="978">
                  <c:v>2.0402215097639256E-3</c:v>
                </c:pt>
                <c:pt idx="979">
                  <c:v>4.0721349621873348E-3</c:v>
                </c:pt>
                <c:pt idx="980">
                  <c:v>7.2421784472769405E-3</c:v>
                </c:pt>
                <c:pt idx="981">
                  <c:v>5.3206787460453016E-3</c:v>
                </c:pt>
                <c:pt idx="982">
                  <c:v>8.5824631669292341E-4</c:v>
                </c:pt>
                <c:pt idx="983">
                  <c:v>4.7163069887094225E-3</c:v>
                </c:pt>
                <c:pt idx="984">
                  <c:v>-2.1337126600283283E-3</c:v>
                </c:pt>
                <c:pt idx="985">
                  <c:v>-2.2808267997150504E-3</c:v>
                </c:pt>
                <c:pt idx="986">
                  <c:v>-3.2861837405342162E-3</c:v>
                </c:pt>
                <c:pt idx="987">
                  <c:v>-2.006880733944962E-3</c:v>
                </c:pt>
                <c:pt idx="988">
                  <c:v>-2.2981901752371558E-3</c:v>
                </c:pt>
                <c:pt idx="989">
                  <c:v>3.5991937805931475E-3</c:v>
                </c:pt>
                <c:pt idx="990">
                  <c:v>-2.1517716253047123E-3</c:v>
                </c:pt>
                <c:pt idx="991">
                  <c:v>-5.3191489361702777E-3</c:v>
                </c:pt>
                <c:pt idx="992">
                  <c:v>1.1562364503540728E-3</c:v>
                </c:pt>
                <c:pt idx="993">
                  <c:v>2.1654395842356819E-3</c:v>
                </c:pt>
                <c:pt idx="994">
                  <c:v>7.2025352924225236E-4</c:v>
                </c:pt>
                <c:pt idx="995">
                  <c:v>4.3184108248166313E-4</c:v>
                </c:pt>
                <c:pt idx="996">
                  <c:v>-2.8776978417260462E-4</c:v>
                </c:pt>
                <c:pt idx="997">
                  <c:v>-2.8785261945898433E-4</c:v>
                </c:pt>
                <c:pt idx="998">
                  <c:v>5.7587100489499363E-4</c:v>
                </c:pt>
                <c:pt idx="999">
                  <c:v>-7.1942446043161382E-4</c:v>
                </c:pt>
                <c:pt idx="1000">
                  <c:v>-1.0079193664507902E-3</c:v>
                </c:pt>
                <c:pt idx="1001">
                  <c:v>-3.603343903142116E-3</c:v>
                </c:pt>
                <c:pt idx="1002">
                  <c:v>-1.8805149717922099E-3</c:v>
                </c:pt>
                <c:pt idx="1003">
                  <c:v>-8.6956521739133734E-4</c:v>
                </c:pt>
                <c:pt idx="1004">
                  <c:v>1.1604293588627545E-3</c:v>
                </c:pt>
                <c:pt idx="1005">
                  <c:v>-2.6079397276150772E-3</c:v>
                </c:pt>
                <c:pt idx="1006">
                  <c:v>-7.2632190586863969E-4</c:v>
                </c:pt>
                <c:pt idx="1007">
                  <c:v>-5.2333187963366683E-3</c:v>
                </c:pt>
                <c:pt idx="1008">
                  <c:v>-8.7680841736083976E-4</c:v>
                </c:pt>
                <c:pt idx="1009">
                  <c:v>5.8505192335808157E-4</c:v>
                </c:pt>
                <c:pt idx="1010">
                  <c:v>-4.2391463236367789E-3</c:v>
                </c:pt>
                <c:pt idx="1011">
                  <c:v>-9.6887844979449619E-3</c:v>
                </c:pt>
                <c:pt idx="1012">
                  <c:v>-6.2259116513487629E-3</c:v>
                </c:pt>
                <c:pt idx="1013">
                  <c:v>-4.7732696897375797E-3</c:v>
                </c:pt>
                <c:pt idx="1014">
                  <c:v>-1.3489208633094038E-3</c:v>
                </c:pt>
                <c:pt idx="1015">
                  <c:v>9.0049527239985405E-4</c:v>
                </c:pt>
                <c:pt idx="1016">
                  <c:v>-7.0475333633228205E-3</c:v>
                </c:pt>
                <c:pt idx="1017">
                  <c:v>-5.2854122621563623E-3</c:v>
                </c:pt>
                <c:pt idx="1018">
                  <c:v>1.3663276149990769E-3</c:v>
                </c:pt>
                <c:pt idx="1019">
                  <c:v>2.1224984839296633E-3</c:v>
                </c:pt>
                <c:pt idx="1020">
                  <c:v>1.0590015128594159E-3</c:v>
                </c:pt>
                <c:pt idx="1021">
                  <c:v>1.6623847665104947E-3</c:v>
                </c:pt>
                <c:pt idx="1022">
                  <c:v>2.4140012070005519E-3</c:v>
                </c:pt>
                <c:pt idx="1023">
                  <c:v>7.5255869957852441E-4</c:v>
                </c:pt>
                <c:pt idx="1024">
                  <c:v>4.3615581290420554E-3</c:v>
                </c:pt>
                <c:pt idx="1025">
                  <c:v>4.6421084156933554E-3</c:v>
                </c:pt>
                <c:pt idx="1026">
                  <c:v>-4.4716053063051326E-4</c:v>
                </c:pt>
                <c:pt idx="1027">
                  <c:v>2.2368028631075377E-3</c:v>
                </c:pt>
                <c:pt idx="1028">
                  <c:v>6.8442196101771756E-3</c:v>
                </c:pt>
                <c:pt idx="1029">
                  <c:v>6.9454706664696152E-3</c:v>
                </c:pt>
                <c:pt idx="1030">
                  <c:v>3.6689169357205752E-3</c:v>
                </c:pt>
                <c:pt idx="1031">
                  <c:v>5.9950285129404387E-3</c:v>
                </c:pt>
                <c:pt idx="1032">
                  <c:v>-8.7209302325584701E-4</c:v>
                </c:pt>
                <c:pt idx="1033">
                  <c:v>4.0733197556008316E-3</c:v>
                </c:pt>
                <c:pt idx="1034">
                  <c:v>1.7386264850768553E-3</c:v>
                </c:pt>
                <c:pt idx="1035">
                  <c:v>2.0248770610355881E-3</c:v>
                </c:pt>
                <c:pt idx="1036">
                  <c:v>0</c:v>
                </c:pt>
                <c:pt idx="1037">
                  <c:v>3.6085450346420322E-3</c:v>
                </c:pt>
                <c:pt idx="1038">
                  <c:v>3.1641018265496745E-3</c:v>
                </c:pt>
                <c:pt idx="1039">
                  <c:v>3.2974910394265805E-3</c:v>
                </c:pt>
                <c:pt idx="1040">
                  <c:v>3.5724492712203484E-3</c:v>
                </c:pt>
                <c:pt idx="1041">
                  <c:v>1.4238929232508762E-4</c:v>
                </c:pt>
                <c:pt idx="1042">
                  <c:v>4.5558086560365521E-3</c:v>
                </c:pt>
                <c:pt idx="1043">
                  <c:v>9.920634920633953E-4</c:v>
                </c:pt>
                <c:pt idx="1044">
                  <c:v>6.5128132521592519E-3</c:v>
                </c:pt>
                <c:pt idx="1045">
                  <c:v>3.2353354902235161E-3</c:v>
                </c:pt>
                <c:pt idx="1046">
                  <c:v>3.3651149747617654E-3</c:v>
                </c:pt>
                <c:pt idx="1047">
                  <c:v>5.8692006707658142E-3</c:v>
                </c:pt>
                <c:pt idx="1048">
                  <c:v>1.6671297582660507E-3</c:v>
                </c:pt>
                <c:pt idx="1049">
                  <c:v>-1.1095700416088529E-3</c:v>
                </c:pt>
                <c:pt idx="1050">
                  <c:v>-1.1385726187170136E-2</c:v>
                </c:pt>
                <c:pt idx="1051">
                  <c:v>6.0393258426965253E-3</c:v>
                </c:pt>
                <c:pt idx="1052">
                  <c:v>-3.6297640653356264E-3</c:v>
                </c:pt>
                <c:pt idx="1053">
                  <c:v>-1.681378730559122E-3</c:v>
                </c:pt>
                <c:pt idx="1054">
                  <c:v>-3.3684210526315071E-3</c:v>
                </c:pt>
                <c:pt idx="1055">
                  <c:v>-7.8862132094071578E-3</c:v>
                </c:pt>
                <c:pt idx="1056">
                  <c:v>-1.7033356990774243E-3</c:v>
                </c:pt>
                <c:pt idx="1057">
                  <c:v>1.4218683349929073E-4</c:v>
                </c:pt>
                <c:pt idx="1058">
                  <c:v>-7.1083309638892745E-4</c:v>
                </c:pt>
                <c:pt idx="1059">
                  <c:v>1.1381419832123814E-3</c:v>
                </c:pt>
                <c:pt idx="1060">
                  <c:v>-7.1053005542150583E-4</c:v>
                </c:pt>
                <c:pt idx="1061">
                  <c:v>-5.1194539249146678E-3</c:v>
                </c:pt>
                <c:pt idx="1062">
                  <c:v>-1.1435105774728173E-3</c:v>
                </c:pt>
                <c:pt idx="1063">
                  <c:v>-4.2930738408700226E-3</c:v>
                </c:pt>
                <c:pt idx="1064">
                  <c:v>3.0181086519115831E-3</c:v>
                </c:pt>
                <c:pt idx="1065">
                  <c:v>-2.8657400773750225E-3</c:v>
                </c:pt>
                <c:pt idx="1066">
                  <c:v>-7.4723379795949164E-3</c:v>
                </c:pt>
                <c:pt idx="1067">
                  <c:v>-4.1986390618212258E-3</c:v>
                </c:pt>
                <c:pt idx="1068">
                  <c:v>-1.5266065716778092E-2</c:v>
                </c:pt>
                <c:pt idx="1069">
                  <c:v>-3.6911265318175105E-3</c:v>
                </c:pt>
                <c:pt idx="1070">
                  <c:v>-6.9650266745702261E-3</c:v>
                </c:pt>
                <c:pt idx="1071">
                  <c:v>-2.9846291598269337E-3</c:v>
                </c:pt>
                <c:pt idx="1072">
                  <c:v>-5.3884149079479037E-3</c:v>
                </c:pt>
                <c:pt idx="1073">
                  <c:v>-1.6553799849510825E-3</c:v>
                </c:pt>
                <c:pt idx="1074">
                  <c:v>3.0147723846843562E-4</c:v>
                </c:pt>
                <c:pt idx="1075">
                  <c:v>4.0687160940324901E-3</c:v>
                </c:pt>
                <c:pt idx="1076">
                  <c:v>6.0033018159997382E-4</c:v>
                </c:pt>
                <c:pt idx="1077">
                  <c:v>0</c:v>
                </c:pt>
                <c:pt idx="1078">
                  <c:v>3.5998200089994731E-3</c:v>
                </c:pt>
                <c:pt idx="1079">
                  <c:v>0</c:v>
                </c:pt>
                <c:pt idx="1080">
                  <c:v>2.0923628755044176E-3</c:v>
                </c:pt>
                <c:pt idx="1081">
                  <c:v>-4.7725577926919192E-3</c:v>
                </c:pt>
                <c:pt idx="1082">
                  <c:v>-4.7954443278886167E-3</c:v>
                </c:pt>
                <c:pt idx="1083">
                  <c:v>-5.1197108869146732E-3</c:v>
                </c:pt>
                <c:pt idx="1084">
                  <c:v>-1.3621916149536735E-3</c:v>
                </c:pt>
                <c:pt idx="1085">
                  <c:v>-9.0936647468933417E-4</c:v>
                </c:pt>
                <c:pt idx="1086">
                  <c:v>-6.2196601941747051E-3</c:v>
                </c:pt>
                <c:pt idx="1087">
                  <c:v>-2.4423752098917842E-3</c:v>
                </c:pt>
                <c:pt idx="1088">
                  <c:v>1.0711553175211538E-3</c:v>
                </c:pt>
                <c:pt idx="1089">
                  <c:v>-9.1715071843476419E-4</c:v>
                </c:pt>
                <c:pt idx="1090">
                  <c:v>-6.1199510403926337E-4</c:v>
                </c:pt>
                <c:pt idx="1091">
                  <c:v>-6.1236987140220525E-4</c:v>
                </c:pt>
                <c:pt idx="1092">
                  <c:v>9.1911764705885832E-4</c:v>
                </c:pt>
                <c:pt idx="1093">
                  <c:v>1.0713192531373306E-3</c:v>
                </c:pt>
                <c:pt idx="1094">
                  <c:v>9.1729093410796933E-4</c:v>
                </c:pt>
                <c:pt idx="1095">
                  <c:v>-1.2219337100962012E-3</c:v>
                </c:pt>
                <c:pt idx="1096">
                  <c:v>-6.1171432940817505E-3</c:v>
                </c:pt>
                <c:pt idx="1097">
                  <c:v>2.1541775657793597E-3</c:v>
                </c:pt>
                <c:pt idx="1098">
                  <c:v>-3.5313987409794226E-3</c:v>
                </c:pt>
                <c:pt idx="1099">
                  <c:v>1.540832049305224E-4</c:v>
                </c:pt>
                <c:pt idx="1100">
                  <c:v>-2.3108920043135336E-3</c:v>
                </c:pt>
                <c:pt idx="1101">
                  <c:v>-3.397158739962922E-3</c:v>
                </c:pt>
                <c:pt idx="1102">
                  <c:v>-4.6482801363497263E-4</c:v>
                </c:pt>
                <c:pt idx="1103">
                  <c:v>-1.5501472639908721E-4</c:v>
                </c:pt>
                <c:pt idx="1104">
                  <c:v>6.2015503875978688E-4</c:v>
                </c:pt>
                <c:pt idx="1105">
                  <c:v>-4.3383947939262648E-3</c:v>
                </c:pt>
                <c:pt idx="1106">
                  <c:v>-2.6455026455026718E-3</c:v>
                </c:pt>
                <c:pt idx="1107">
                  <c:v>-9.3618349196446043E-4</c:v>
                </c:pt>
                <c:pt idx="1108">
                  <c:v>2.8111822583162987E-3</c:v>
                </c:pt>
                <c:pt idx="1109">
                  <c:v>-1.931163370191551E-2</c:v>
                </c:pt>
                <c:pt idx="1110">
                  <c:v>1.2704462442432634E-3</c:v>
                </c:pt>
                <c:pt idx="1111">
                  <c:v>-9.5162569389365857E-4</c:v>
                </c:pt>
                <c:pt idx="1112">
                  <c:v>-1.5875535799333453E-3</c:v>
                </c:pt>
                <c:pt idx="1113">
                  <c:v>1.2720623310541945E-3</c:v>
                </c:pt>
                <c:pt idx="1114">
                  <c:v>1.1116404637128837E-3</c:v>
                </c:pt>
                <c:pt idx="1115">
                  <c:v>1.2690355329948969E-3</c:v>
                </c:pt>
                <c:pt idx="1116">
                  <c:v>-4.7528517110256705E-4</c:v>
                </c:pt>
                <c:pt idx="1117">
                  <c:v>2.8530670470756016E-3</c:v>
                </c:pt>
                <c:pt idx="1118">
                  <c:v>2.8449502133712614E-3</c:v>
                </c:pt>
                <c:pt idx="1119">
                  <c:v>-7.8802206461787646E-4</c:v>
                </c:pt>
                <c:pt idx="1120">
                  <c:v>2.8391167192428979E-3</c:v>
                </c:pt>
                <c:pt idx="1121">
                  <c:v>6.9204152249134595E-3</c:v>
                </c:pt>
                <c:pt idx="1122">
                  <c:v>1.7182130584192353E-3</c:v>
                </c:pt>
                <c:pt idx="1123">
                  <c:v>-1.2474660845158006E-3</c:v>
                </c:pt>
                <c:pt idx="1124">
                  <c:v>-7.8064012490237564E-4</c:v>
                </c:pt>
                <c:pt idx="1125">
                  <c:v>4.8437500000000355E-3</c:v>
                </c:pt>
                <c:pt idx="1126">
                  <c:v>9.3298087389212059E-4</c:v>
                </c:pt>
                <c:pt idx="1127">
                  <c:v>0</c:v>
                </c:pt>
                <c:pt idx="1128">
                  <c:v>2.1749262078608134E-3</c:v>
                </c:pt>
                <c:pt idx="1129">
                  <c:v>1.705161990389078E-3</c:v>
                </c:pt>
                <c:pt idx="1130">
                  <c:v>3.0950170225930084E-4</c:v>
                </c:pt>
                <c:pt idx="1131">
                  <c:v>2.0111386138613159E-3</c:v>
                </c:pt>
                <c:pt idx="1132">
                  <c:v>1.5439246564768958E-3</c:v>
                </c:pt>
                <c:pt idx="1133">
                  <c:v>1.0790812394017755E-3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D-4184-8D7A-B0142140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21759"/>
        <c:axId val="1092451167"/>
      </c:barChart>
      <c:dateAx>
        <c:axId val="108962175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51167"/>
        <c:crosses val="autoZero"/>
        <c:auto val="0"/>
        <c:lblOffset val="100"/>
        <c:baseTimeUnit val="days"/>
        <c:majorUnit val="6"/>
        <c:majorTimeUnit val="months"/>
      </c:dateAx>
      <c:valAx>
        <c:axId val="109245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2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 % Diário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Análise_À_Vista!$A$3:$A$1136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Análise_À_Vista!$E$3:$E$1136</c:f>
              <c:numCache>
                <c:formatCode>0.00%</c:formatCode>
                <c:ptCount val="1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-4.0679345062543627E-3</c:v>
                </c:pt>
                <c:pt idx="16">
                  <c:v>-5.7968066714125209E-3</c:v>
                </c:pt>
                <c:pt idx="17">
                  <c:v>-4.3730295942234583E-3</c:v>
                </c:pt>
                <c:pt idx="18">
                  <c:v>-9.7630428150106141E-3</c:v>
                </c:pt>
                <c:pt idx="19">
                  <c:v>-9.4579477270415203E-3</c:v>
                </c:pt>
                <c:pt idx="20">
                  <c:v>-9.2545510017288373E-3</c:v>
                </c:pt>
                <c:pt idx="21">
                  <c:v>-9.4579477270415203E-3</c:v>
                </c:pt>
                <c:pt idx="22">
                  <c:v>-1.2102105156106964E-2</c:v>
                </c:pt>
                <c:pt idx="23">
                  <c:v>-1.5356452761110598E-2</c:v>
                </c:pt>
                <c:pt idx="24">
                  <c:v>-1.2203803518763377E-2</c:v>
                </c:pt>
                <c:pt idx="25">
                  <c:v>-1.3830977321265122E-2</c:v>
                </c:pt>
                <c:pt idx="26">
                  <c:v>-1.2102105156106964E-2</c:v>
                </c:pt>
                <c:pt idx="27">
                  <c:v>-1.4237770771890486E-2</c:v>
                </c:pt>
                <c:pt idx="28">
                  <c:v>-1.2712295332045154E-2</c:v>
                </c:pt>
                <c:pt idx="29">
                  <c:v>-1.3017390420014249E-2</c:v>
                </c:pt>
                <c:pt idx="30">
                  <c:v>-2.3899115224244833E-2</c:v>
                </c:pt>
                <c:pt idx="31">
                  <c:v>-1.8102308552832312E-2</c:v>
                </c:pt>
                <c:pt idx="32">
                  <c:v>-1.8305705278144992E-2</c:v>
                </c:pt>
                <c:pt idx="33">
                  <c:v>-1.8509102003457675E-2</c:v>
                </c:pt>
                <c:pt idx="34">
                  <c:v>-1.8712498728770503E-2</c:v>
                </c:pt>
                <c:pt idx="35">
                  <c:v>-1.8407403640801408E-2</c:v>
                </c:pt>
                <c:pt idx="36">
                  <c:v>-1.5559849486423281E-2</c:v>
                </c:pt>
                <c:pt idx="37">
                  <c:v>-1.5051357673141504E-2</c:v>
                </c:pt>
                <c:pt idx="38">
                  <c:v>-1.4644564222515994E-2</c:v>
                </c:pt>
                <c:pt idx="39">
                  <c:v>-1.006813790297971E-2</c:v>
                </c:pt>
                <c:pt idx="40">
                  <c:v>-1.1491914980168773E-2</c:v>
                </c:pt>
                <c:pt idx="41">
                  <c:v>-6.2036001220380299E-3</c:v>
                </c:pt>
                <c:pt idx="42">
                  <c:v>-1.830570527814427E-3</c:v>
                </c:pt>
                <c:pt idx="43">
                  <c:v>0</c:v>
                </c:pt>
                <c:pt idx="44">
                  <c:v>0</c:v>
                </c:pt>
                <c:pt idx="45">
                  <c:v>-1.0852407261246985E-3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-2.8873917228105036E-4</c:v>
                </c:pt>
                <c:pt idx="50">
                  <c:v>-1.5399422521656476E-3</c:v>
                </c:pt>
                <c:pt idx="51">
                  <c:v>-3.1761308950915544E-3</c:v>
                </c:pt>
                <c:pt idx="52">
                  <c:v>-1.2608277189605411E-2</c:v>
                </c:pt>
                <c:pt idx="53">
                  <c:v>-1.2223291626564102E-2</c:v>
                </c:pt>
                <c:pt idx="54">
                  <c:v>-2.5120307988450427E-2</c:v>
                </c:pt>
                <c:pt idx="55">
                  <c:v>-3.8209817131857539E-2</c:v>
                </c:pt>
                <c:pt idx="56">
                  <c:v>-4.5235803657362871E-2</c:v>
                </c:pt>
                <c:pt idx="57">
                  <c:v>-6.660250240615978E-2</c:v>
                </c:pt>
                <c:pt idx="58">
                  <c:v>-7.4494706448508266E-2</c:v>
                </c:pt>
                <c:pt idx="59">
                  <c:v>-0.10712223291626573</c:v>
                </c:pt>
                <c:pt idx="60">
                  <c:v>-0.10779595765158809</c:v>
                </c:pt>
                <c:pt idx="61">
                  <c:v>-0.10404234841193456</c:v>
                </c:pt>
                <c:pt idx="62">
                  <c:v>-0.11414821944177092</c:v>
                </c:pt>
                <c:pt idx="63">
                  <c:v>-0.11886429258902799</c:v>
                </c:pt>
                <c:pt idx="64">
                  <c:v>-0.13195380173243509</c:v>
                </c:pt>
                <c:pt idx="65">
                  <c:v>-0.13897978825794044</c:v>
                </c:pt>
                <c:pt idx="66">
                  <c:v>-0.1428296438883542</c:v>
                </c:pt>
                <c:pt idx="67">
                  <c:v>-0.14321462945139565</c:v>
                </c:pt>
                <c:pt idx="68">
                  <c:v>-0.14436958614051973</c:v>
                </c:pt>
                <c:pt idx="69">
                  <c:v>-0.15139557266602505</c:v>
                </c:pt>
                <c:pt idx="70">
                  <c:v>-0.15726660250240618</c:v>
                </c:pt>
                <c:pt idx="71">
                  <c:v>-0.15976900866217525</c:v>
                </c:pt>
                <c:pt idx="72">
                  <c:v>-0.15659287776708383</c:v>
                </c:pt>
                <c:pt idx="73">
                  <c:v>-0.1527430221366699</c:v>
                </c:pt>
                <c:pt idx="74">
                  <c:v>-0.15428296438883543</c:v>
                </c:pt>
                <c:pt idx="75">
                  <c:v>-0.15370548604427331</c:v>
                </c:pt>
                <c:pt idx="76">
                  <c:v>-0.14619826756496643</c:v>
                </c:pt>
                <c:pt idx="77">
                  <c:v>-0.14812319538017324</c:v>
                </c:pt>
                <c:pt idx="78">
                  <c:v>-0.15101058710298373</c:v>
                </c:pt>
                <c:pt idx="79">
                  <c:v>-0.14937439846005784</c:v>
                </c:pt>
                <c:pt idx="80">
                  <c:v>-0.15062560153994231</c:v>
                </c:pt>
                <c:pt idx="81">
                  <c:v>-0.15428296438883543</c:v>
                </c:pt>
                <c:pt idx="82">
                  <c:v>-0.15688161693936487</c:v>
                </c:pt>
                <c:pt idx="83">
                  <c:v>-0.15736284889316657</c:v>
                </c:pt>
                <c:pt idx="84">
                  <c:v>-0.15871029836381143</c:v>
                </c:pt>
                <c:pt idx="85">
                  <c:v>-0.16621751684311847</c:v>
                </c:pt>
                <c:pt idx="86">
                  <c:v>-0.170837343599615</c:v>
                </c:pt>
                <c:pt idx="87">
                  <c:v>-0.17391722810394616</c:v>
                </c:pt>
                <c:pt idx="88">
                  <c:v>-0.17151106833493751</c:v>
                </c:pt>
                <c:pt idx="89">
                  <c:v>-0.16843118383060635</c:v>
                </c:pt>
                <c:pt idx="90">
                  <c:v>-0.16708373435996149</c:v>
                </c:pt>
                <c:pt idx="91">
                  <c:v>-0.15332050048123202</c:v>
                </c:pt>
                <c:pt idx="92">
                  <c:v>-0.14254090471607317</c:v>
                </c:pt>
                <c:pt idx="93">
                  <c:v>-0.14071222329162661</c:v>
                </c:pt>
                <c:pt idx="94">
                  <c:v>-0.14119345524542831</c:v>
                </c:pt>
                <c:pt idx="95">
                  <c:v>-0.1484119345524543</c:v>
                </c:pt>
                <c:pt idx="96">
                  <c:v>-0.1527430221366699</c:v>
                </c:pt>
                <c:pt idx="97">
                  <c:v>-0.15851780558229064</c:v>
                </c:pt>
                <c:pt idx="98">
                  <c:v>-0.15948026948989419</c:v>
                </c:pt>
                <c:pt idx="99">
                  <c:v>-0.162752646775746</c:v>
                </c:pt>
                <c:pt idx="100">
                  <c:v>-0.16361886429258901</c:v>
                </c:pt>
                <c:pt idx="101">
                  <c:v>-0.16419634263715113</c:v>
                </c:pt>
                <c:pt idx="102">
                  <c:v>-0.16987487969201159</c:v>
                </c:pt>
                <c:pt idx="103">
                  <c:v>-0.17420596727622722</c:v>
                </c:pt>
                <c:pt idx="104">
                  <c:v>-0.17690086621751694</c:v>
                </c:pt>
                <c:pt idx="105">
                  <c:v>-0.18123195380173254</c:v>
                </c:pt>
                <c:pt idx="106">
                  <c:v>-0.18383060635226187</c:v>
                </c:pt>
                <c:pt idx="107">
                  <c:v>-0.17651588065447549</c:v>
                </c:pt>
                <c:pt idx="108">
                  <c:v>-0.1736284889316651</c:v>
                </c:pt>
                <c:pt idx="109">
                  <c:v>-0.17372473532242552</c:v>
                </c:pt>
                <c:pt idx="110">
                  <c:v>-0.17786333012512034</c:v>
                </c:pt>
                <c:pt idx="111">
                  <c:v>-0.17795957651588074</c:v>
                </c:pt>
                <c:pt idx="112">
                  <c:v>-0.16823869104908568</c:v>
                </c:pt>
                <c:pt idx="113">
                  <c:v>-0.16987487969201159</c:v>
                </c:pt>
                <c:pt idx="114">
                  <c:v>-0.16920115495668925</c:v>
                </c:pt>
                <c:pt idx="115">
                  <c:v>-0.15861405197305103</c:v>
                </c:pt>
                <c:pt idx="116">
                  <c:v>-0.16121270452358036</c:v>
                </c:pt>
                <c:pt idx="117">
                  <c:v>-0.16227141482194415</c:v>
                </c:pt>
                <c:pt idx="118">
                  <c:v>-0.17305101058710301</c:v>
                </c:pt>
                <c:pt idx="119">
                  <c:v>-0.17564966313763233</c:v>
                </c:pt>
                <c:pt idx="120">
                  <c:v>-0.18431183830606357</c:v>
                </c:pt>
                <c:pt idx="121">
                  <c:v>-0.19249278152069296</c:v>
                </c:pt>
                <c:pt idx="122">
                  <c:v>-0.18334937439846016</c:v>
                </c:pt>
                <c:pt idx="123">
                  <c:v>-0.19586140519730516</c:v>
                </c:pt>
                <c:pt idx="124">
                  <c:v>-0.1996150144369587</c:v>
                </c:pt>
                <c:pt idx="125">
                  <c:v>-0.19884504331087594</c:v>
                </c:pt>
                <c:pt idx="126">
                  <c:v>-0.20500481231953813</c:v>
                </c:pt>
                <c:pt idx="127">
                  <c:v>-0.20895091434071228</c:v>
                </c:pt>
                <c:pt idx="128">
                  <c:v>-0.21385948026948987</c:v>
                </c:pt>
                <c:pt idx="129">
                  <c:v>-0.21559191530317617</c:v>
                </c:pt>
                <c:pt idx="130">
                  <c:v>-0.20731472569778639</c:v>
                </c:pt>
                <c:pt idx="131">
                  <c:v>-0.2</c:v>
                </c:pt>
                <c:pt idx="132">
                  <c:v>-0.20375360923965352</c:v>
                </c:pt>
                <c:pt idx="133">
                  <c:v>-0.20519730510105877</c:v>
                </c:pt>
                <c:pt idx="134">
                  <c:v>-0.20635226179018298</c:v>
                </c:pt>
                <c:pt idx="135">
                  <c:v>-0.20731472569778639</c:v>
                </c:pt>
                <c:pt idx="136">
                  <c:v>-0.21395572666025026</c:v>
                </c:pt>
                <c:pt idx="137">
                  <c:v>-0.21645813282001933</c:v>
                </c:pt>
                <c:pt idx="138">
                  <c:v>-0.22184793070259876</c:v>
                </c:pt>
                <c:pt idx="139">
                  <c:v>-0.22945139557266606</c:v>
                </c:pt>
                <c:pt idx="140">
                  <c:v>-0.2281039461020212</c:v>
                </c:pt>
                <c:pt idx="141">
                  <c:v>-0.21780558229066418</c:v>
                </c:pt>
                <c:pt idx="142">
                  <c:v>-0.21655437921077958</c:v>
                </c:pt>
                <c:pt idx="143">
                  <c:v>-0.21289701636188646</c:v>
                </c:pt>
                <c:pt idx="144">
                  <c:v>-0.20182868142444657</c:v>
                </c:pt>
                <c:pt idx="145">
                  <c:v>-0.20461982675649668</c:v>
                </c:pt>
                <c:pt idx="146">
                  <c:v>-0.20519730510105877</c:v>
                </c:pt>
                <c:pt idx="147">
                  <c:v>-0.20683349374398469</c:v>
                </c:pt>
                <c:pt idx="148">
                  <c:v>-0.20846968238691058</c:v>
                </c:pt>
                <c:pt idx="149">
                  <c:v>-0.21164581328200199</c:v>
                </c:pt>
                <c:pt idx="150">
                  <c:v>-0.21029836381135714</c:v>
                </c:pt>
                <c:pt idx="151">
                  <c:v>-0.21434071222329171</c:v>
                </c:pt>
                <c:pt idx="152">
                  <c:v>-0.20346487006737246</c:v>
                </c:pt>
                <c:pt idx="153">
                  <c:v>-0.21135707410972096</c:v>
                </c:pt>
                <c:pt idx="154">
                  <c:v>-0.21511068334937447</c:v>
                </c:pt>
                <c:pt idx="155">
                  <c:v>-0.21645813282001933</c:v>
                </c:pt>
                <c:pt idx="156">
                  <c:v>-0.20972088546679504</c:v>
                </c:pt>
                <c:pt idx="157">
                  <c:v>-0.20336862367661221</c:v>
                </c:pt>
                <c:pt idx="158">
                  <c:v>-0.20981713185755543</c:v>
                </c:pt>
                <c:pt idx="159">
                  <c:v>-0.20923965351299334</c:v>
                </c:pt>
                <c:pt idx="160">
                  <c:v>-0.21174205967276227</c:v>
                </c:pt>
                <c:pt idx="161">
                  <c:v>-0.20413859480269497</c:v>
                </c:pt>
                <c:pt idx="162">
                  <c:v>-0.20336862367661221</c:v>
                </c:pt>
                <c:pt idx="163">
                  <c:v>-0.19817131857555345</c:v>
                </c:pt>
                <c:pt idx="164">
                  <c:v>-0.19538017324350346</c:v>
                </c:pt>
                <c:pt idx="165">
                  <c:v>-0.19345524542829651</c:v>
                </c:pt>
                <c:pt idx="166">
                  <c:v>-0.19412897016361888</c:v>
                </c:pt>
                <c:pt idx="167">
                  <c:v>-0.19210779595765165</c:v>
                </c:pt>
                <c:pt idx="168">
                  <c:v>-0.19480269489894136</c:v>
                </c:pt>
                <c:pt idx="169">
                  <c:v>-0.19740134744947069</c:v>
                </c:pt>
                <c:pt idx="170">
                  <c:v>-0.19865255052935515</c:v>
                </c:pt>
                <c:pt idx="171">
                  <c:v>-0.19595765158806544</c:v>
                </c:pt>
                <c:pt idx="172">
                  <c:v>-0.19874879692011554</c:v>
                </c:pt>
                <c:pt idx="173">
                  <c:v>-0.19701636188642924</c:v>
                </c:pt>
                <c:pt idx="174">
                  <c:v>-0.19201154956689126</c:v>
                </c:pt>
                <c:pt idx="175">
                  <c:v>-0.19422521655437927</c:v>
                </c:pt>
                <c:pt idx="176">
                  <c:v>-0.18883541867179984</c:v>
                </c:pt>
                <c:pt idx="177">
                  <c:v>-0.18623676612127052</c:v>
                </c:pt>
                <c:pt idx="178">
                  <c:v>-0.18816169393647747</c:v>
                </c:pt>
                <c:pt idx="179">
                  <c:v>-0.19133782483156889</c:v>
                </c:pt>
                <c:pt idx="180">
                  <c:v>-0.18950914340712233</c:v>
                </c:pt>
                <c:pt idx="181">
                  <c:v>-0.18922040423484129</c:v>
                </c:pt>
                <c:pt idx="182">
                  <c:v>-0.18614051973051013</c:v>
                </c:pt>
                <c:pt idx="183">
                  <c:v>-0.18633301251203077</c:v>
                </c:pt>
                <c:pt idx="184">
                  <c:v>-0.18594802694898949</c:v>
                </c:pt>
                <c:pt idx="185">
                  <c:v>-0.18460057747834463</c:v>
                </c:pt>
                <c:pt idx="186">
                  <c:v>-0.1891241578440809</c:v>
                </c:pt>
                <c:pt idx="187">
                  <c:v>-0.18922040423484129</c:v>
                </c:pt>
                <c:pt idx="188">
                  <c:v>-0.18748796920115499</c:v>
                </c:pt>
                <c:pt idx="189">
                  <c:v>-0.1901828681424447</c:v>
                </c:pt>
                <c:pt idx="190">
                  <c:v>-0.19855630413859487</c:v>
                </c:pt>
                <c:pt idx="191">
                  <c:v>-0.20202117420596735</c:v>
                </c:pt>
                <c:pt idx="192">
                  <c:v>-0.20076997112608275</c:v>
                </c:pt>
                <c:pt idx="193">
                  <c:v>-0.2006737247353225</c:v>
                </c:pt>
                <c:pt idx="194">
                  <c:v>-0.19634263715110689</c:v>
                </c:pt>
                <c:pt idx="195">
                  <c:v>-0.19287776708373441</c:v>
                </c:pt>
                <c:pt idx="196">
                  <c:v>-0.18748796920115499</c:v>
                </c:pt>
                <c:pt idx="197">
                  <c:v>-0.18508180943214633</c:v>
                </c:pt>
                <c:pt idx="198">
                  <c:v>-0.18325312800769977</c:v>
                </c:pt>
                <c:pt idx="199">
                  <c:v>-0.1782483156881618</c:v>
                </c:pt>
                <c:pt idx="200">
                  <c:v>-0.17795957651588074</c:v>
                </c:pt>
                <c:pt idx="201">
                  <c:v>-0.17988450433108769</c:v>
                </c:pt>
                <c:pt idx="202">
                  <c:v>-0.1792107795957652</c:v>
                </c:pt>
                <c:pt idx="203">
                  <c:v>-0.18113570741097215</c:v>
                </c:pt>
                <c:pt idx="204">
                  <c:v>-0.18277189605389807</c:v>
                </c:pt>
                <c:pt idx="205">
                  <c:v>-0.1807507218479307</c:v>
                </c:pt>
                <c:pt idx="206">
                  <c:v>-0.17853705486044283</c:v>
                </c:pt>
                <c:pt idx="207">
                  <c:v>-0.17526467757459102</c:v>
                </c:pt>
                <c:pt idx="208">
                  <c:v>-0.17853705486044283</c:v>
                </c:pt>
                <c:pt idx="209">
                  <c:v>-0.18084696823869109</c:v>
                </c:pt>
                <c:pt idx="210">
                  <c:v>-0.18421559191530318</c:v>
                </c:pt>
                <c:pt idx="211">
                  <c:v>-0.18238691049085662</c:v>
                </c:pt>
                <c:pt idx="212">
                  <c:v>-0.18007699711260836</c:v>
                </c:pt>
                <c:pt idx="213">
                  <c:v>-0.17901828681424453</c:v>
                </c:pt>
                <c:pt idx="214">
                  <c:v>-0.18421559191530318</c:v>
                </c:pt>
                <c:pt idx="215">
                  <c:v>-0.18691049085659289</c:v>
                </c:pt>
                <c:pt idx="216">
                  <c:v>-0.1940327237728586</c:v>
                </c:pt>
                <c:pt idx="217">
                  <c:v>-0.19153031761308956</c:v>
                </c:pt>
                <c:pt idx="218">
                  <c:v>-0.1945139557266603</c:v>
                </c:pt>
                <c:pt idx="219">
                  <c:v>-0.19095283926852746</c:v>
                </c:pt>
                <c:pt idx="220">
                  <c:v>-0.1841193455245429</c:v>
                </c:pt>
                <c:pt idx="221">
                  <c:v>-0.18113570741097215</c:v>
                </c:pt>
                <c:pt idx="222">
                  <c:v>-0.18007699711260836</c:v>
                </c:pt>
                <c:pt idx="223">
                  <c:v>-0.17699711260827719</c:v>
                </c:pt>
                <c:pt idx="224">
                  <c:v>-0.17353224254090471</c:v>
                </c:pt>
                <c:pt idx="225">
                  <c:v>-0.17728585178055822</c:v>
                </c:pt>
                <c:pt idx="226">
                  <c:v>-0.1726660250240617</c:v>
                </c:pt>
                <c:pt idx="227">
                  <c:v>-0.17459095283926851</c:v>
                </c:pt>
                <c:pt idx="228">
                  <c:v>-0.1703561116458133</c:v>
                </c:pt>
                <c:pt idx="229">
                  <c:v>-0.17228103946102025</c:v>
                </c:pt>
                <c:pt idx="230">
                  <c:v>-0.17199230028873921</c:v>
                </c:pt>
                <c:pt idx="231">
                  <c:v>-0.17670837343599613</c:v>
                </c:pt>
                <c:pt idx="232">
                  <c:v>-0.17131857555341684</c:v>
                </c:pt>
                <c:pt idx="233">
                  <c:v>-0.17045235803657369</c:v>
                </c:pt>
                <c:pt idx="234">
                  <c:v>-0.17324350336862368</c:v>
                </c:pt>
                <c:pt idx="235">
                  <c:v>-0.17151106833493751</c:v>
                </c:pt>
                <c:pt idx="236">
                  <c:v>-0.170837343599615</c:v>
                </c:pt>
                <c:pt idx="237">
                  <c:v>-0.17228103946102025</c:v>
                </c:pt>
                <c:pt idx="238">
                  <c:v>-0.17430221366698748</c:v>
                </c:pt>
                <c:pt idx="239">
                  <c:v>-0.1731472569778634</c:v>
                </c:pt>
                <c:pt idx="240">
                  <c:v>-0.16804619826756503</c:v>
                </c:pt>
                <c:pt idx="241">
                  <c:v>-0.17179980750721854</c:v>
                </c:pt>
                <c:pt idx="242">
                  <c:v>-0.17247353224254092</c:v>
                </c:pt>
                <c:pt idx="243">
                  <c:v>-0.17401347449470655</c:v>
                </c:pt>
                <c:pt idx="244">
                  <c:v>-0.17632338787295482</c:v>
                </c:pt>
                <c:pt idx="245">
                  <c:v>-0.17420596727622722</c:v>
                </c:pt>
                <c:pt idx="246">
                  <c:v>-0.17430221366698748</c:v>
                </c:pt>
                <c:pt idx="247">
                  <c:v>-0.16641000962463912</c:v>
                </c:pt>
                <c:pt idx="248">
                  <c:v>-0.16823869104908568</c:v>
                </c:pt>
                <c:pt idx="249">
                  <c:v>-0.1716073147256979</c:v>
                </c:pt>
                <c:pt idx="250">
                  <c:v>-0.17141482194417709</c:v>
                </c:pt>
                <c:pt idx="251">
                  <c:v>-0.1716073147256979</c:v>
                </c:pt>
                <c:pt idx="252">
                  <c:v>-0.16891241578440819</c:v>
                </c:pt>
                <c:pt idx="253">
                  <c:v>-0.15572666025024068</c:v>
                </c:pt>
                <c:pt idx="254">
                  <c:v>-0.15784408084696827</c:v>
                </c:pt>
                <c:pt idx="255">
                  <c:v>-0.16005774783445628</c:v>
                </c:pt>
                <c:pt idx="256">
                  <c:v>-0.15948026948989419</c:v>
                </c:pt>
                <c:pt idx="257">
                  <c:v>-0.16082771896053905</c:v>
                </c:pt>
                <c:pt idx="258">
                  <c:v>-0.16400384985563046</c:v>
                </c:pt>
                <c:pt idx="259">
                  <c:v>-0.16390760346487007</c:v>
                </c:pt>
                <c:pt idx="260">
                  <c:v>-0.16852743022136674</c:v>
                </c:pt>
                <c:pt idx="261">
                  <c:v>-0.17045235803657369</c:v>
                </c:pt>
                <c:pt idx="262">
                  <c:v>-0.17324350336862368</c:v>
                </c:pt>
                <c:pt idx="263">
                  <c:v>-0.1782483156881618</c:v>
                </c:pt>
                <c:pt idx="264">
                  <c:v>-0.1787295476419635</c:v>
                </c:pt>
                <c:pt idx="265">
                  <c:v>-0.17776708373435995</c:v>
                </c:pt>
                <c:pt idx="266">
                  <c:v>-0.180269489894129</c:v>
                </c:pt>
                <c:pt idx="267">
                  <c:v>-0.1797882579403273</c:v>
                </c:pt>
                <c:pt idx="268">
                  <c:v>-0.1830606352261791</c:v>
                </c:pt>
                <c:pt idx="269">
                  <c:v>-0.18440808469682396</c:v>
                </c:pt>
                <c:pt idx="270">
                  <c:v>-0.18238691049085662</c:v>
                </c:pt>
                <c:pt idx="271">
                  <c:v>-0.17718960538979797</c:v>
                </c:pt>
                <c:pt idx="272">
                  <c:v>-0.17459095283926851</c:v>
                </c:pt>
                <c:pt idx="273">
                  <c:v>-0.18152069297401346</c:v>
                </c:pt>
                <c:pt idx="274">
                  <c:v>-0.18209817131857556</c:v>
                </c:pt>
                <c:pt idx="275">
                  <c:v>-0.1807507218479307</c:v>
                </c:pt>
                <c:pt idx="276">
                  <c:v>-0.18315688161693935</c:v>
                </c:pt>
                <c:pt idx="277">
                  <c:v>-0.18286814244465832</c:v>
                </c:pt>
                <c:pt idx="278">
                  <c:v>-0.1726660250240617</c:v>
                </c:pt>
                <c:pt idx="279">
                  <c:v>-0.17199230028873921</c:v>
                </c:pt>
                <c:pt idx="280">
                  <c:v>-0.1736284889316651</c:v>
                </c:pt>
                <c:pt idx="281">
                  <c:v>-0.1697786333012512</c:v>
                </c:pt>
                <c:pt idx="282">
                  <c:v>-0.17170356111645815</c:v>
                </c:pt>
                <c:pt idx="283">
                  <c:v>-0.16997112608277198</c:v>
                </c:pt>
                <c:pt idx="284">
                  <c:v>-0.17487969201154957</c:v>
                </c:pt>
                <c:pt idx="285">
                  <c:v>-0.17170356111645815</c:v>
                </c:pt>
                <c:pt idx="286">
                  <c:v>-0.17016361886429265</c:v>
                </c:pt>
                <c:pt idx="287">
                  <c:v>-0.17391722810394616</c:v>
                </c:pt>
                <c:pt idx="288">
                  <c:v>-0.16843118383060635</c:v>
                </c:pt>
                <c:pt idx="289">
                  <c:v>-0.17151106833493751</c:v>
                </c:pt>
                <c:pt idx="290">
                  <c:v>-0.17122232916265645</c:v>
                </c:pt>
                <c:pt idx="291">
                  <c:v>-0.1688161693936478</c:v>
                </c:pt>
                <c:pt idx="292">
                  <c:v>-0.17016361886429265</c:v>
                </c:pt>
                <c:pt idx="293">
                  <c:v>-0.170837343599615</c:v>
                </c:pt>
                <c:pt idx="294">
                  <c:v>-0.17382098171318577</c:v>
                </c:pt>
                <c:pt idx="295">
                  <c:v>-0.17199230028873921</c:v>
                </c:pt>
                <c:pt idx="296">
                  <c:v>-0.17738209817131864</c:v>
                </c:pt>
                <c:pt idx="297">
                  <c:v>-0.17882579403272389</c:v>
                </c:pt>
                <c:pt idx="298">
                  <c:v>-0.17603464870067378</c:v>
                </c:pt>
                <c:pt idx="299">
                  <c:v>-0.17786333012512034</c:v>
                </c:pt>
                <c:pt idx="300">
                  <c:v>-0.17718960538979797</c:v>
                </c:pt>
                <c:pt idx="301">
                  <c:v>-0.17834456207892205</c:v>
                </c:pt>
                <c:pt idx="302">
                  <c:v>-0.17959576515880663</c:v>
                </c:pt>
                <c:pt idx="303">
                  <c:v>-0.18517805582290672</c:v>
                </c:pt>
                <c:pt idx="304">
                  <c:v>-0.18710298363811367</c:v>
                </c:pt>
                <c:pt idx="305">
                  <c:v>-0.18806544754571708</c:v>
                </c:pt>
                <c:pt idx="306">
                  <c:v>-0.19239653512993271</c:v>
                </c:pt>
                <c:pt idx="307">
                  <c:v>-0.18979788257940325</c:v>
                </c:pt>
                <c:pt idx="308">
                  <c:v>-0.19153031761308956</c:v>
                </c:pt>
                <c:pt idx="309">
                  <c:v>-0.19740134744947069</c:v>
                </c:pt>
                <c:pt idx="310">
                  <c:v>-0.19951876804619831</c:v>
                </c:pt>
                <c:pt idx="311">
                  <c:v>-0.2021174205967276</c:v>
                </c:pt>
                <c:pt idx="312">
                  <c:v>-0.20500481231953813</c:v>
                </c:pt>
                <c:pt idx="313">
                  <c:v>-0.20692974013474494</c:v>
                </c:pt>
                <c:pt idx="314">
                  <c:v>-0.21924927815206929</c:v>
                </c:pt>
                <c:pt idx="315">
                  <c:v>-0.2214629451395573</c:v>
                </c:pt>
                <c:pt idx="316">
                  <c:v>-0.22771896053897989</c:v>
                </c:pt>
                <c:pt idx="317">
                  <c:v>-0.23589990375360928</c:v>
                </c:pt>
                <c:pt idx="318">
                  <c:v>-0.24600577478344562</c:v>
                </c:pt>
                <c:pt idx="319">
                  <c:v>-0.25255052935514927</c:v>
                </c:pt>
                <c:pt idx="320">
                  <c:v>-0.26005774783445629</c:v>
                </c:pt>
                <c:pt idx="321">
                  <c:v>-0.26862367661212716</c:v>
                </c:pt>
                <c:pt idx="322">
                  <c:v>-0.27536092396535128</c:v>
                </c:pt>
                <c:pt idx="323">
                  <c:v>-0.28854667949951879</c:v>
                </c:pt>
                <c:pt idx="324">
                  <c:v>-0.29971126082771893</c:v>
                </c:pt>
                <c:pt idx="325">
                  <c:v>-0.3205004812319539</c:v>
                </c:pt>
                <c:pt idx="326">
                  <c:v>-0.32521655437921082</c:v>
                </c:pt>
                <c:pt idx="327">
                  <c:v>-0.32868142444658327</c:v>
                </c:pt>
                <c:pt idx="328">
                  <c:v>-0.33897978825794028</c:v>
                </c:pt>
                <c:pt idx="329">
                  <c:v>-0.34831568816169406</c:v>
                </c:pt>
                <c:pt idx="330">
                  <c:v>-0.36852743022136675</c:v>
                </c:pt>
                <c:pt idx="331">
                  <c:v>-0.37921077959576521</c:v>
                </c:pt>
                <c:pt idx="332">
                  <c:v>-0.38257940327237727</c:v>
                </c:pt>
                <c:pt idx="333">
                  <c:v>-0.39509143407122232</c:v>
                </c:pt>
                <c:pt idx="334">
                  <c:v>-0.40019249278152075</c:v>
                </c:pt>
                <c:pt idx="335">
                  <c:v>-0.40567853705486046</c:v>
                </c:pt>
                <c:pt idx="336">
                  <c:v>-0.41809432146294517</c:v>
                </c:pt>
                <c:pt idx="337">
                  <c:v>-0.42127045235803656</c:v>
                </c:pt>
                <c:pt idx="338">
                  <c:v>-0.43512993262752653</c:v>
                </c:pt>
                <c:pt idx="339">
                  <c:v>-0.43416746871992307</c:v>
                </c:pt>
                <c:pt idx="340">
                  <c:v>-0.43378248315688167</c:v>
                </c:pt>
                <c:pt idx="341">
                  <c:v>-0.43368623676612128</c:v>
                </c:pt>
                <c:pt idx="342">
                  <c:v>-0.44725697786333019</c:v>
                </c:pt>
                <c:pt idx="343">
                  <c:v>-0.45611164581328206</c:v>
                </c:pt>
                <c:pt idx="344">
                  <c:v>-0.46063522617901831</c:v>
                </c:pt>
                <c:pt idx="345">
                  <c:v>-0.46265640038498562</c:v>
                </c:pt>
                <c:pt idx="346">
                  <c:v>-0.46910490856592885</c:v>
                </c:pt>
                <c:pt idx="347">
                  <c:v>-0.47487969201154956</c:v>
                </c:pt>
                <c:pt idx="348">
                  <c:v>-0.47064485081809437</c:v>
                </c:pt>
                <c:pt idx="349">
                  <c:v>-0.47237728585178057</c:v>
                </c:pt>
                <c:pt idx="350">
                  <c:v>-0.47228103946102024</c:v>
                </c:pt>
                <c:pt idx="351">
                  <c:v>-0.47767083734359961</c:v>
                </c:pt>
                <c:pt idx="352">
                  <c:v>-0.48248315688161691</c:v>
                </c:pt>
                <c:pt idx="353">
                  <c:v>-0.4812319538017325</c:v>
                </c:pt>
                <c:pt idx="354">
                  <c:v>-0.4829643888354187</c:v>
                </c:pt>
                <c:pt idx="355">
                  <c:v>-0.48383060635226177</c:v>
                </c:pt>
                <c:pt idx="356">
                  <c:v>-0.47959576515880659</c:v>
                </c:pt>
                <c:pt idx="357">
                  <c:v>-0.4829643888354187</c:v>
                </c:pt>
                <c:pt idx="358">
                  <c:v>-0.48286814244465837</c:v>
                </c:pt>
                <c:pt idx="359">
                  <c:v>-0.48248315688161691</c:v>
                </c:pt>
                <c:pt idx="360">
                  <c:v>-0.47959576515880659</c:v>
                </c:pt>
                <c:pt idx="361">
                  <c:v>-0.4770933589990376</c:v>
                </c:pt>
                <c:pt idx="362">
                  <c:v>-0.47690086621751687</c:v>
                </c:pt>
                <c:pt idx="363">
                  <c:v>-0.47680461982675654</c:v>
                </c:pt>
                <c:pt idx="364">
                  <c:v>-0.47574590952839274</c:v>
                </c:pt>
                <c:pt idx="365">
                  <c:v>-0.47228103946102024</c:v>
                </c:pt>
                <c:pt idx="366">
                  <c:v>-0.46564003849855629</c:v>
                </c:pt>
                <c:pt idx="367">
                  <c:v>-0.45072184793070263</c:v>
                </c:pt>
                <c:pt idx="368">
                  <c:v>-0.44793070259865259</c:v>
                </c:pt>
                <c:pt idx="369">
                  <c:v>-0.44744947064485086</c:v>
                </c:pt>
                <c:pt idx="370">
                  <c:v>-0.44494706448508181</c:v>
                </c:pt>
                <c:pt idx="371">
                  <c:v>-0.45755534167468725</c:v>
                </c:pt>
                <c:pt idx="372">
                  <c:v>-0.45986525505293557</c:v>
                </c:pt>
                <c:pt idx="373">
                  <c:v>-0.46717998075072187</c:v>
                </c:pt>
                <c:pt idx="374">
                  <c:v>-0.46554379210779595</c:v>
                </c:pt>
                <c:pt idx="375">
                  <c:v>-0.46410009624639081</c:v>
                </c:pt>
                <c:pt idx="376">
                  <c:v>-0.45986525505293557</c:v>
                </c:pt>
                <c:pt idx="377">
                  <c:v>-0.4672762271414822</c:v>
                </c:pt>
                <c:pt idx="378">
                  <c:v>-0.46217516843118384</c:v>
                </c:pt>
                <c:pt idx="379">
                  <c:v>-0.46304138594802696</c:v>
                </c:pt>
                <c:pt idx="380">
                  <c:v>-0.468334937439846</c:v>
                </c:pt>
                <c:pt idx="381">
                  <c:v>-0.46785370548604432</c:v>
                </c:pt>
                <c:pt idx="382">
                  <c:v>-0.47969201154956692</c:v>
                </c:pt>
                <c:pt idx="383">
                  <c:v>-0.47757459095283927</c:v>
                </c:pt>
                <c:pt idx="384">
                  <c:v>-0.47526467757459095</c:v>
                </c:pt>
                <c:pt idx="385">
                  <c:v>-0.47478344562078922</c:v>
                </c:pt>
                <c:pt idx="386">
                  <c:v>-0.47025986525505298</c:v>
                </c:pt>
                <c:pt idx="387">
                  <c:v>-0.47372473532242543</c:v>
                </c:pt>
                <c:pt idx="388">
                  <c:v>-0.48277189605389798</c:v>
                </c:pt>
                <c:pt idx="389">
                  <c:v>-0.47006737247353225</c:v>
                </c:pt>
                <c:pt idx="390">
                  <c:v>-0.46794995187680466</c:v>
                </c:pt>
                <c:pt idx="391">
                  <c:v>-0.46948989412897024</c:v>
                </c:pt>
                <c:pt idx="392">
                  <c:v>-0.47343599615014437</c:v>
                </c:pt>
                <c:pt idx="393">
                  <c:v>-0.47141482194417711</c:v>
                </c:pt>
                <c:pt idx="394">
                  <c:v>-0.48392685274302216</c:v>
                </c:pt>
                <c:pt idx="395">
                  <c:v>-0.48267564966313764</c:v>
                </c:pt>
                <c:pt idx="396">
                  <c:v>-0.48777670837343601</c:v>
                </c:pt>
                <c:pt idx="397">
                  <c:v>-0.48537054860442735</c:v>
                </c:pt>
                <c:pt idx="398">
                  <c:v>-0.48806544754571707</c:v>
                </c:pt>
                <c:pt idx="399">
                  <c:v>-0.48864292589027913</c:v>
                </c:pt>
                <c:pt idx="400">
                  <c:v>-0.49027911453320505</c:v>
                </c:pt>
                <c:pt idx="401">
                  <c:v>-0.49018286814244472</c:v>
                </c:pt>
                <c:pt idx="402">
                  <c:v>-0.49326275264677577</c:v>
                </c:pt>
                <c:pt idx="403">
                  <c:v>-0.49143407122232918</c:v>
                </c:pt>
                <c:pt idx="404">
                  <c:v>-0.48739172281039467</c:v>
                </c:pt>
                <c:pt idx="405">
                  <c:v>-0.48671799807507221</c:v>
                </c:pt>
                <c:pt idx="406">
                  <c:v>-0.48806544754571707</c:v>
                </c:pt>
                <c:pt idx="407">
                  <c:v>-0.48777670837343601</c:v>
                </c:pt>
                <c:pt idx="408">
                  <c:v>-0.48460057747834462</c:v>
                </c:pt>
                <c:pt idx="409">
                  <c:v>-0.48363811357074116</c:v>
                </c:pt>
                <c:pt idx="410">
                  <c:v>-0.48537054860442735</c:v>
                </c:pt>
                <c:pt idx="411">
                  <c:v>-0.48065447545717038</c:v>
                </c:pt>
                <c:pt idx="412">
                  <c:v>-0.48450433108758423</c:v>
                </c:pt>
                <c:pt idx="413">
                  <c:v>-0.48623676612127048</c:v>
                </c:pt>
                <c:pt idx="414">
                  <c:v>-0.48565928777670841</c:v>
                </c:pt>
                <c:pt idx="415">
                  <c:v>-0.48508180943214635</c:v>
                </c:pt>
                <c:pt idx="416">
                  <c:v>-0.48315688161693937</c:v>
                </c:pt>
                <c:pt idx="417">
                  <c:v>-0.48469682386910495</c:v>
                </c:pt>
                <c:pt idx="418">
                  <c:v>-0.48142444658325312</c:v>
                </c:pt>
                <c:pt idx="419">
                  <c:v>-0.48200192492781524</c:v>
                </c:pt>
                <c:pt idx="420">
                  <c:v>-0.48026948989412899</c:v>
                </c:pt>
                <c:pt idx="421">
                  <c:v>-0.48161693936477384</c:v>
                </c:pt>
                <c:pt idx="422">
                  <c:v>-0.47487969201154956</c:v>
                </c:pt>
                <c:pt idx="423">
                  <c:v>-0.48200192492781524</c:v>
                </c:pt>
                <c:pt idx="424">
                  <c:v>-0.48719923002887394</c:v>
                </c:pt>
                <c:pt idx="425">
                  <c:v>-0.48931665062560153</c:v>
                </c:pt>
                <c:pt idx="426">
                  <c:v>-0.48036573628488932</c:v>
                </c:pt>
                <c:pt idx="427">
                  <c:v>-0.48152069297401351</c:v>
                </c:pt>
                <c:pt idx="428">
                  <c:v>-0.48200192492781524</c:v>
                </c:pt>
                <c:pt idx="429">
                  <c:v>-0.47747834456207894</c:v>
                </c:pt>
                <c:pt idx="430">
                  <c:v>-0.47699711260827721</c:v>
                </c:pt>
                <c:pt idx="431">
                  <c:v>-0.47613089509143408</c:v>
                </c:pt>
                <c:pt idx="432">
                  <c:v>-0.47160731472569783</c:v>
                </c:pt>
                <c:pt idx="433">
                  <c:v>-0.46361886429258908</c:v>
                </c:pt>
                <c:pt idx="434">
                  <c:v>-0.46130895091434077</c:v>
                </c:pt>
                <c:pt idx="435">
                  <c:v>-0.45726660250240619</c:v>
                </c:pt>
                <c:pt idx="436">
                  <c:v>-0.45120307988450431</c:v>
                </c:pt>
                <c:pt idx="437">
                  <c:v>-0.44687199230028879</c:v>
                </c:pt>
                <c:pt idx="438">
                  <c:v>-0.44100096246390763</c:v>
                </c:pt>
                <c:pt idx="439">
                  <c:v>-0.44359961501443695</c:v>
                </c:pt>
                <c:pt idx="440">
                  <c:v>-0.43724735322425412</c:v>
                </c:pt>
                <c:pt idx="441">
                  <c:v>-0.43031761308950922</c:v>
                </c:pt>
                <c:pt idx="442">
                  <c:v>-0.4252165543792108</c:v>
                </c:pt>
                <c:pt idx="443">
                  <c:v>-0.42290664100096248</c:v>
                </c:pt>
                <c:pt idx="444">
                  <c:v>-0.41751684311838305</c:v>
                </c:pt>
                <c:pt idx="445">
                  <c:v>-0.4192492781520693</c:v>
                </c:pt>
                <c:pt idx="446">
                  <c:v>-0.42502406159769007</c:v>
                </c:pt>
                <c:pt idx="447">
                  <c:v>-0.42810394610202118</c:v>
                </c:pt>
                <c:pt idx="448">
                  <c:v>-0.43397497593840234</c:v>
                </c:pt>
                <c:pt idx="449">
                  <c:v>-0.43715110683349379</c:v>
                </c:pt>
                <c:pt idx="450">
                  <c:v>-0.43666987487969205</c:v>
                </c:pt>
                <c:pt idx="451">
                  <c:v>-0.43368623676612128</c:v>
                </c:pt>
                <c:pt idx="452">
                  <c:v>-0.43214629451395575</c:v>
                </c:pt>
                <c:pt idx="453">
                  <c:v>-0.43291626564003849</c:v>
                </c:pt>
                <c:pt idx="454">
                  <c:v>-0.43301251203079894</c:v>
                </c:pt>
                <c:pt idx="455">
                  <c:v>-0.43397497593840234</c:v>
                </c:pt>
                <c:pt idx="456">
                  <c:v>-0.43233878729547648</c:v>
                </c:pt>
                <c:pt idx="457">
                  <c:v>-0.4297401347449471</c:v>
                </c:pt>
                <c:pt idx="458">
                  <c:v>-0.42232916265640041</c:v>
                </c:pt>
                <c:pt idx="459">
                  <c:v>-0.42223291626564008</c:v>
                </c:pt>
                <c:pt idx="460">
                  <c:v>-0.42261790182868142</c:v>
                </c:pt>
                <c:pt idx="461">
                  <c:v>-0.42204042348411941</c:v>
                </c:pt>
                <c:pt idx="462">
                  <c:v>-0.42771896053897979</c:v>
                </c:pt>
                <c:pt idx="463">
                  <c:v>-0.4286814244465833</c:v>
                </c:pt>
                <c:pt idx="464">
                  <c:v>-0.42723772858517811</c:v>
                </c:pt>
                <c:pt idx="465">
                  <c:v>-0.42377285851780566</c:v>
                </c:pt>
                <c:pt idx="466">
                  <c:v>-0.42569778633301253</c:v>
                </c:pt>
                <c:pt idx="467">
                  <c:v>-0.42107795957651595</c:v>
                </c:pt>
                <c:pt idx="468">
                  <c:v>-0.41154956689124161</c:v>
                </c:pt>
                <c:pt idx="469">
                  <c:v>-0.41539942252165546</c:v>
                </c:pt>
                <c:pt idx="470">
                  <c:v>-0.41520692974013479</c:v>
                </c:pt>
                <c:pt idx="471">
                  <c:v>-0.41183830606352267</c:v>
                </c:pt>
                <c:pt idx="472">
                  <c:v>-0.41135707410972094</c:v>
                </c:pt>
                <c:pt idx="473">
                  <c:v>-0.41116458132820022</c:v>
                </c:pt>
                <c:pt idx="474">
                  <c:v>-0.41328200192492787</c:v>
                </c:pt>
                <c:pt idx="475">
                  <c:v>-0.40798845043310883</c:v>
                </c:pt>
                <c:pt idx="476">
                  <c:v>-0.40404234841193459</c:v>
                </c:pt>
                <c:pt idx="477">
                  <c:v>-0.40683349374398459</c:v>
                </c:pt>
                <c:pt idx="478">
                  <c:v>-0.39615014436958618</c:v>
                </c:pt>
                <c:pt idx="479">
                  <c:v>-0.39720885466794997</c:v>
                </c:pt>
                <c:pt idx="480">
                  <c:v>-0.39085659287776714</c:v>
                </c:pt>
                <c:pt idx="481">
                  <c:v>-0.3775745909528393</c:v>
                </c:pt>
                <c:pt idx="482">
                  <c:v>-0.37526467757459103</c:v>
                </c:pt>
                <c:pt idx="483">
                  <c:v>-0.36679499518768044</c:v>
                </c:pt>
                <c:pt idx="484">
                  <c:v>-0.3653512993262753</c:v>
                </c:pt>
                <c:pt idx="485">
                  <c:v>-0.35264677574590952</c:v>
                </c:pt>
                <c:pt idx="486">
                  <c:v>-0.35033686236766126</c:v>
                </c:pt>
                <c:pt idx="487">
                  <c:v>-0.34427333974975949</c:v>
                </c:pt>
                <c:pt idx="488">
                  <c:v>-0.3435033686236767</c:v>
                </c:pt>
                <c:pt idx="489">
                  <c:v>-0.34966313763233892</c:v>
                </c:pt>
                <c:pt idx="490">
                  <c:v>-0.34975938402309914</c:v>
                </c:pt>
                <c:pt idx="491">
                  <c:v>-0.351106833493744</c:v>
                </c:pt>
                <c:pt idx="492">
                  <c:v>-0.34985563041385953</c:v>
                </c:pt>
                <c:pt idx="493">
                  <c:v>-0.34947064485081808</c:v>
                </c:pt>
                <c:pt idx="494">
                  <c:v>-0.34975938402309914</c:v>
                </c:pt>
                <c:pt idx="495">
                  <c:v>-0.34706448508180943</c:v>
                </c:pt>
                <c:pt idx="496">
                  <c:v>-0.34533205004812328</c:v>
                </c:pt>
                <c:pt idx="497">
                  <c:v>-0.33387872954764208</c:v>
                </c:pt>
                <c:pt idx="498">
                  <c:v>-0.32868142444658327</c:v>
                </c:pt>
                <c:pt idx="499">
                  <c:v>-0.32848893166506266</c:v>
                </c:pt>
                <c:pt idx="500">
                  <c:v>-0.31357074109720895</c:v>
                </c:pt>
                <c:pt idx="501">
                  <c:v>-0.32175168431183837</c:v>
                </c:pt>
                <c:pt idx="502">
                  <c:v>-0.32512030798845043</c:v>
                </c:pt>
                <c:pt idx="503">
                  <c:v>-0.32396535129932635</c:v>
                </c:pt>
                <c:pt idx="504">
                  <c:v>-0.3330125120307989</c:v>
                </c:pt>
                <c:pt idx="505">
                  <c:v>-0.3455245428296439</c:v>
                </c:pt>
                <c:pt idx="506">
                  <c:v>-0.35283926852743031</c:v>
                </c:pt>
                <c:pt idx="507">
                  <c:v>-0.36400384985563045</c:v>
                </c:pt>
                <c:pt idx="508">
                  <c:v>-0.36929740134744948</c:v>
                </c:pt>
                <c:pt idx="509">
                  <c:v>-0.37632338787295483</c:v>
                </c:pt>
                <c:pt idx="510">
                  <c:v>-0.38315688161693939</c:v>
                </c:pt>
                <c:pt idx="511">
                  <c:v>-0.39364773820981719</c:v>
                </c:pt>
                <c:pt idx="512">
                  <c:v>-0.40057747834456209</c:v>
                </c:pt>
                <c:pt idx="513">
                  <c:v>-0.40221366698748801</c:v>
                </c:pt>
                <c:pt idx="514">
                  <c:v>-0.39711260827718964</c:v>
                </c:pt>
                <c:pt idx="515">
                  <c:v>-0.40096246390760348</c:v>
                </c:pt>
                <c:pt idx="516">
                  <c:v>-0.40375360923965353</c:v>
                </c:pt>
                <c:pt idx="517">
                  <c:v>-0.40182868142444661</c:v>
                </c:pt>
                <c:pt idx="518">
                  <c:v>-0.39547641963426372</c:v>
                </c:pt>
                <c:pt idx="519">
                  <c:v>-0.4</c:v>
                </c:pt>
                <c:pt idx="520">
                  <c:v>-0.40856592877767084</c:v>
                </c:pt>
                <c:pt idx="521">
                  <c:v>-0.40202117420596728</c:v>
                </c:pt>
                <c:pt idx="522">
                  <c:v>-0.3963426371511069</c:v>
                </c:pt>
                <c:pt idx="523">
                  <c:v>-0.39538017324350339</c:v>
                </c:pt>
                <c:pt idx="524">
                  <c:v>-0.39095283926852747</c:v>
                </c:pt>
                <c:pt idx="525">
                  <c:v>-0.39643888354186718</c:v>
                </c:pt>
                <c:pt idx="526">
                  <c:v>-0.40163618864292588</c:v>
                </c:pt>
                <c:pt idx="527">
                  <c:v>-0.40202117420596728</c:v>
                </c:pt>
                <c:pt idx="528">
                  <c:v>-0.40211742059672767</c:v>
                </c:pt>
                <c:pt idx="529">
                  <c:v>-0.39874879692011556</c:v>
                </c:pt>
                <c:pt idx="530">
                  <c:v>-0.39778633301251204</c:v>
                </c:pt>
                <c:pt idx="531">
                  <c:v>-0.39509143407122232</c:v>
                </c:pt>
                <c:pt idx="532">
                  <c:v>-0.39258902791145334</c:v>
                </c:pt>
                <c:pt idx="533">
                  <c:v>-0.39489894128970171</c:v>
                </c:pt>
                <c:pt idx="534">
                  <c:v>-0.39307025986525507</c:v>
                </c:pt>
                <c:pt idx="535">
                  <c:v>-0.39258902791145334</c:v>
                </c:pt>
                <c:pt idx="536">
                  <c:v>-0.39451395572666031</c:v>
                </c:pt>
                <c:pt idx="537">
                  <c:v>-0.40038498556304147</c:v>
                </c:pt>
                <c:pt idx="538">
                  <c:v>-0.40105871029836387</c:v>
                </c:pt>
                <c:pt idx="539">
                  <c:v>-0.3963426371511069</c:v>
                </c:pt>
                <c:pt idx="540">
                  <c:v>-0.39355149181905685</c:v>
                </c:pt>
                <c:pt idx="541">
                  <c:v>-0.39586140519730512</c:v>
                </c:pt>
                <c:pt idx="542">
                  <c:v>-0.39605389797882584</c:v>
                </c:pt>
                <c:pt idx="543">
                  <c:v>-0.39518768046198266</c:v>
                </c:pt>
                <c:pt idx="544">
                  <c:v>-0.39489894128970171</c:v>
                </c:pt>
                <c:pt idx="545">
                  <c:v>-0.39461020211742065</c:v>
                </c:pt>
                <c:pt idx="546">
                  <c:v>-0.39297401347449473</c:v>
                </c:pt>
                <c:pt idx="547">
                  <c:v>-0.39364773820981719</c:v>
                </c:pt>
                <c:pt idx="548">
                  <c:v>-0.39133782483156881</c:v>
                </c:pt>
                <c:pt idx="549">
                  <c:v>-0.39201154956689127</c:v>
                </c:pt>
                <c:pt idx="550">
                  <c:v>-0.39489894128970171</c:v>
                </c:pt>
                <c:pt idx="551">
                  <c:v>-0.39499518768046205</c:v>
                </c:pt>
                <c:pt idx="552">
                  <c:v>-0.39605389797882584</c:v>
                </c:pt>
                <c:pt idx="553">
                  <c:v>-0.39730510105871036</c:v>
                </c:pt>
                <c:pt idx="554">
                  <c:v>-0.39894128970163617</c:v>
                </c:pt>
                <c:pt idx="555">
                  <c:v>-0.39749759384023103</c:v>
                </c:pt>
                <c:pt idx="556">
                  <c:v>-0.40038498556304147</c:v>
                </c:pt>
                <c:pt idx="557">
                  <c:v>-0.40500481231953805</c:v>
                </c:pt>
                <c:pt idx="558">
                  <c:v>-0.40538979788257945</c:v>
                </c:pt>
                <c:pt idx="559">
                  <c:v>-0.40606352261790185</c:v>
                </c:pt>
                <c:pt idx="560">
                  <c:v>-0.40741097208854671</c:v>
                </c:pt>
                <c:pt idx="561">
                  <c:v>-0.40818094321462944</c:v>
                </c:pt>
                <c:pt idx="562">
                  <c:v>-0.40827718960538983</c:v>
                </c:pt>
                <c:pt idx="563">
                  <c:v>-0.41299326275264681</c:v>
                </c:pt>
                <c:pt idx="564">
                  <c:v>-0.41655437921077965</c:v>
                </c:pt>
                <c:pt idx="565">
                  <c:v>-0.42117420596727623</c:v>
                </c:pt>
                <c:pt idx="566">
                  <c:v>-0.424157844080847</c:v>
                </c:pt>
                <c:pt idx="567">
                  <c:v>-0.42704523580365739</c:v>
                </c:pt>
                <c:pt idx="568">
                  <c:v>-0.42617901828681432</c:v>
                </c:pt>
                <c:pt idx="569">
                  <c:v>-0.42540904716073147</c:v>
                </c:pt>
                <c:pt idx="570">
                  <c:v>-0.42502406159769007</c:v>
                </c:pt>
                <c:pt idx="571">
                  <c:v>-0.42820019249278157</c:v>
                </c:pt>
                <c:pt idx="572">
                  <c:v>-0.4293551491819057</c:v>
                </c:pt>
                <c:pt idx="573">
                  <c:v>-0.43108758421559196</c:v>
                </c:pt>
                <c:pt idx="574">
                  <c:v>-0.43445620789220407</c:v>
                </c:pt>
                <c:pt idx="575">
                  <c:v>-0.43705486044273339</c:v>
                </c:pt>
                <c:pt idx="576">
                  <c:v>-0.43917228103946104</c:v>
                </c:pt>
                <c:pt idx="577">
                  <c:v>-0.44167468719923009</c:v>
                </c:pt>
                <c:pt idx="578">
                  <c:v>-0.44090471607314724</c:v>
                </c:pt>
                <c:pt idx="579">
                  <c:v>-0.44071222329162663</c:v>
                </c:pt>
                <c:pt idx="580">
                  <c:v>-0.44244465832531282</c:v>
                </c:pt>
                <c:pt idx="581">
                  <c:v>-0.44600577478344561</c:v>
                </c:pt>
                <c:pt idx="582">
                  <c:v>-0.44080846968238691</c:v>
                </c:pt>
                <c:pt idx="583">
                  <c:v>-0.43984600577478344</c:v>
                </c:pt>
                <c:pt idx="584">
                  <c:v>-0.4402309913378249</c:v>
                </c:pt>
                <c:pt idx="585">
                  <c:v>-0.44080846968238691</c:v>
                </c:pt>
                <c:pt idx="586">
                  <c:v>-0.43994225216554383</c:v>
                </c:pt>
                <c:pt idx="587">
                  <c:v>-0.43330125120307988</c:v>
                </c:pt>
                <c:pt idx="588">
                  <c:v>-0.43378248315688167</c:v>
                </c:pt>
                <c:pt idx="589">
                  <c:v>-0.4353224254090472</c:v>
                </c:pt>
                <c:pt idx="590">
                  <c:v>-0.43253128007699715</c:v>
                </c:pt>
                <c:pt idx="591">
                  <c:v>-0.43358999037536095</c:v>
                </c:pt>
                <c:pt idx="592">
                  <c:v>-0.43089509143407123</c:v>
                </c:pt>
                <c:pt idx="593">
                  <c:v>-0.42560153994225219</c:v>
                </c:pt>
                <c:pt idx="594">
                  <c:v>-0.42752646775745917</c:v>
                </c:pt>
                <c:pt idx="595">
                  <c:v>-0.4286814244465833</c:v>
                </c:pt>
                <c:pt idx="596">
                  <c:v>-0.42473532242540907</c:v>
                </c:pt>
                <c:pt idx="597">
                  <c:v>-0.42502406159769007</c:v>
                </c:pt>
                <c:pt idx="598">
                  <c:v>-0.42569778633301253</c:v>
                </c:pt>
                <c:pt idx="599">
                  <c:v>-0.42800769971126085</c:v>
                </c:pt>
                <c:pt idx="600">
                  <c:v>-0.4293551491819057</c:v>
                </c:pt>
                <c:pt idx="601">
                  <c:v>-0.4286814244465833</c:v>
                </c:pt>
                <c:pt idx="602">
                  <c:v>-0.43262752646775748</c:v>
                </c:pt>
                <c:pt idx="603">
                  <c:v>-0.43618864292589032</c:v>
                </c:pt>
                <c:pt idx="604">
                  <c:v>-0.43647738209817138</c:v>
                </c:pt>
                <c:pt idx="605">
                  <c:v>-0.43917228103946104</c:v>
                </c:pt>
                <c:pt idx="606">
                  <c:v>-0.44321462945139561</c:v>
                </c:pt>
                <c:pt idx="607">
                  <c:v>-0.43965351299326277</c:v>
                </c:pt>
                <c:pt idx="608">
                  <c:v>-0.44234841193455249</c:v>
                </c:pt>
                <c:pt idx="609">
                  <c:v>-0.44648700673724739</c:v>
                </c:pt>
                <c:pt idx="610">
                  <c:v>-0.44629451395572667</c:v>
                </c:pt>
                <c:pt idx="611">
                  <c:v>-0.44398460057747835</c:v>
                </c:pt>
                <c:pt idx="612">
                  <c:v>-0.44446583253128014</c:v>
                </c:pt>
                <c:pt idx="613">
                  <c:v>-0.44456207892204047</c:v>
                </c:pt>
                <c:pt idx="614">
                  <c:v>-0.4411934552454283</c:v>
                </c:pt>
                <c:pt idx="615">
                  <c:v>-0.44032723772858523</c:v>
                </c:pt>
                <c:pt idx="616">
                  <c:v>-0.4405197305101059</c:v>
                </c:pt>
                <c:pt idx="617">
                  <c:v>-0.44889316650625605</c:v>
                </c:pt>
                <c:pt idx="618">
                  <c:v>-0.45255052935514917</c:v>
                </c:pt>
                <c:pt idx="619">
                  <c:v>-0.44783445620789225</c:v>
                </c:pt>
                <c:pt idx="620">
                  <c:v>-0.44619826756496633</c:v>
                </c:pt>
                <c:pt idx="621">
                  <c:v>-0.44927815206929744</c:v>
                </c:pt>
                <c:pt idx="622">
                  <c:v>-0.44831568816169398</c:v>
                </c:pt>
                <c:pt idx="623">
                  <c:v>-0.45264677574590956</c:v>
                </c:pt>
                <c:pt idx="624">
                  <c:v>-0.45717035611164586</c:v>
                </c:pt>
                <c:pt idx="625">
                  <c:v>-0.45986525505293557</c:v>
                </c:pt>
                <c:pt idx="626">
                  <c:v>-0.45996150144369591</c:v>
                </c:pt>
                <c:pt idx="627">
                  <c:v>-0.45967276227141485</c:v>
                </c:pt>
                <c:pt idx="628">
                  <c:v>-0.45899903753609239</c:v>
                </c:pt>
                <c:pt idx="629">
                  <c:v>-0.46256015399422523</c:v>
                </c:pt>
                <c:pt idx="630">
                  <c:v>-0.45630413859480273</c:v>
                </c:pt>
                <c:pt idx="631">
                  <c:v>-0.45428296438883542</c:v>
                </c:pt>
                <c:pt idx="632">
                  <c:v>-0.45765158806544753</c:v>
                </c:pt>
                <c:pt idx="633">
                  <c:v>-0.45784408084696826</c:v>
                </c:pt>
                <c:pt idx="634">
                  <c:v>-0.45938402309913379</c:v>
                </c:pt>
                <c:pt idx="635">
                  <c:v>-0.44908565928777672</c:v>
                </c:pt>
                <c:pt idx="636">
                  <c:v>-0.44677574590952845</c:v>
                </c:pt>
                <c:pt idx="637">
                  <c:v>-0.44600577478344561</c:v>
                </c:pt>
                <c:pt idx="638">
                  <c:v>-0.43782483156881624</c:v>
                </c:pt>
                <c:pt idx="639">
                  <c:v>-0.43638113570741099</c:v>
                </c:pt>
                <c:pt idx="640">
                  <c:v>-0.43301251203079894</c:v>
                </c:pt>
                <c:pt idx="641">
                  <c:v>-0.43397497593840234</c:v>
                </c:pt>
                <c:pt idx="642">
                  <c:v>-0.43743984600577479</c:v>
                </c:pt>
                <c:pt idx="643">
                  <c:v>-0.43840230991337825</c:v>
                </c:pt>
                <c:pt idx="644">
                  <c:v>-0.43022136669874878</c:v>
                </c:pt>
                <c:pt idx="645">
                  <c:v>-0.42791145332050051</c:v>
                </c:pt>
                <c:pt idx="646">
                  <c:v>-0.42887391722810392</c:v>
                </c:pt>
                <c:pt idx="647">
                  <c:v>-0.4307988450433109</c:v>
                </c:pt>
                <c:pt idx="648">
                  <c:v>-0.43031761308950922</c:v>
                </c:pt>
                <c:pt idx="649">
                  <c:v>-0.43022136669874878</c:v>
                </c:pt>
                <c:pt idx="650">
                  <c:v>-0.43195380173243503</c:v>
                </c:pt>
                <c:pt idx="651">
                  <c:v>-0.43349374398460061</c:v>
                </c:pt>
                <c:pt idx="652">
                  <c:v>-0.43147256977863335</c:v>
                </c:pt>
                <c:pt idx="653">
                  <c:v>-0.43002887391722816</c:v>
                </c:pt>
                <c:pt idx="654">
                  <c:v>-0.42839268527430224</c:v>
                </c:pt>
                <c:pt idx="655">
                  <c:v>-0.43205004812319542</c:v>
                </c:pt>
                <c:pt idx="656">
                  <c:v>-0.42492781520692979</c:v>
                </c:pt>
                <c:pt idx="657">
                  <c:v>-0.424157844080847</c:v>
                </c:pt>
                <c:pt idx="658">
                  <c:v>-0.42550529355149186</c:v>
                </c:pt>
                <c:pt idx="659">
                  <c:v>-0.42358036573628494</c:v>
                </c:pt>
                <c:pt idx="660">
                  <c:v>-0.42136669874879695</c:v>
                </c:pt>
                <c:pt idx="661">
                  <c:v>-0.42232916265640041</c:v>
                </c:pt>
                <c:pt idx="662">
                  <c:v>-0.42502406159769007</c:v>
                </c:pt>
                <c:pt idx="663">
                  <c:v>-0.42271414821944181</c:v>
                </c:pt>
                <c:pt idx="664">
                  <c:v>-0.42329162656400388</c:v>
                </c:pt>
                <c:pt idx="665">
                  <c:v>-0.41992300288739171</c:v>
                </c:pt>
                <c:pt idx="666">
                  <c:v>-0.41684311838306065</c:v>
                </c:pt>
                <c:pt idx="667">
                  <c:v>-0.41578440808469685</c:v>
                </c:pt>
                <c:pt idx="668">
                  <c:v>-0.41154956689124161</c:v>
                </c:pt>
                <c:pt idx="669">
                  <c:v>-0.40741097208854671</c:v>
                </c:pt>
                <c:pt idx="670">
                  <c:v>-0.4043310875842156</c:v>
                </c:pt>
                <c:pt idx="671">
                  <c:v>-0.40163618864292588</c:v>
                </c:pt>
                <c:pt idx="672">
                  <c:v>-0.40009624639076041</c:v>
                </c:pt>
                <c:pt idx="673">
                  <c:v>-0.39538017324350339</c:v>
                </c:pt>
                <c:pt idx="674">
                  <c:v>-0.38960538979788262</c:v>
                </c:pt>
                <c:pt idx="675">
                  <c:v>-0.38883541867179983</c:v>
                </c:pt>
                <c:pt idx="676">
                  <c:v>-0.39615014436958618</c:v>
                </c:pt>
                <c:pt idx="677">
                  <c:v>-0.39923002887391723</c:v>
                </c:pt>
                <c:pt idx="678">
                  <c:v>-0.40307988450433108</c:v>
                </c:pt>
                <c:pt idx="679">
                  <c:v>-0.4</c:v>
                </c:pt>
                <c:pt idx="680">
                  <c:v>-0.40028873917228103</c:v>
                </c:pt>
                <c:pt idx="681">
                  <c:v>-0.40134744947064488</c:v>
                </c:pt>
                <c:pt idx="682">
                  <c:v>-0.39663137632338791</c:v>
                </c:pt>
                <c:pt idx="683">
                  <c:v>-0.39133782483156881</c:v>
                </c:pt>
                <c:pt idx="684">
                  <c:v>-0.39037536092396535</c:v>
                </c:pt>
                <c:pt idx="685">
                  <c:v>-0.38816169393647743</c:v>
                </c:pt>
                <c:pt idx="686">
                  <c:v>-0.38517805582290665</c:v>
                </c:pt>
                <c:pt idx="687">
                  <c:v>-0.38113570741097214</c:v>
                </c:pt>
                <c:pt idx="688">
                  <c:v>-0.3740134744947064</c:v>
                </c:pt>
                <c:pt idx="689">
                  <c:v>-0.36939364773820987</c:v>
                </c:pt>
                <c:pt idx="690">
                  <c:v>-0.36756496631376334</c:v>
                </c:pt>
                <c:pt idx="691">
                  <c:v>-0.36275264677574598</c:v>
                </c:pt>
                <c:pt idx="692">
                  <c:v>-0.36429258902791151</c:v>
                </c:pt>
                <c:pt idx="693">
                  <c:v>-0.36275264677574598</c:v>
                </c:pt>
                <c:pt idx="694">
                  <c:v>-0.35447545717035622</c:v>
                </c:pt>
                <c:pt idx="695">
                  <c:v>-0.34850818094321467</c:v>
                </c:pt>
                <c:pt idx="696">
                  <c:v>-0.34793070259865261</c:v>
                </c:pt>
                <c:pt idx="697">
                  <c:v>-0.34735322425409049</c:v>
                </c:pt>
                <c:pt idx="698">
                  <c:v>-0.34590952839268535</c:v>
                </c:pt>
                <c:pt idx="699">
                  <c:v>-0.34128970163618871</c:v>
                </c:pt>
                <c:pt idx="700">
                  <c:v>-0.34148219441770933</c:v>
                </c:pt>
                <c:pt idx="701">
                  <c:v>-0.33811357074109727</c:v>
                </c:pt>
                <c:pt idx="702">
                  <c:v>-0.32858517805582288</c:v>
                </c:pt>
                <c:pt idx="703">
                  <c:v>-0.32685274302213674</c:v>
                </c:pt>
                <c:pt idx="704">
                  <c:v>-0.32059672762271413</c:v>
                </c:pt>
                <c:pt idx="705">
                  <c:v>-0.3131857555341675</c:v>
                </c:pt>
                <c:pt idx="706">
                  <c:v>-0.31020211742059672</c:v>
                </c:pt>
                <c:pt idx="707">
                  <c:v>-0.30538979788257942</c:v>
                </c:pt>
                <c:pt idx="708">
                  <c:v>-0.30346487006737249</c:v>
                </c:pt>
                <c:pt idx="709">
                  <c:v>-0.30057747834456211</c:v>
                </c:pt>
                <c:pt idx="710">
                  <c:v>-0.29797882579403279</c:v>
                </c:pt>
                <c:pt idx="711">
                  <c:v>-0.29634263715110687</c:v>
                </c:pt>
                <c:pt idx="712">
                  <c:v>-0.29807507218479307</c:v>
                </c:pt>
                <c:pt idx="713">
                  <c:v>-0.29672762271414832</c:v>
                </c:pt>
                <c:pt idx="714">
                  <c:v>-0.28575553416746879</c:v>
                </c:pt>
                <c:pt idx="715">
                  <c:v>-0.28383060635226187</c:v>
                </c:pt>
                <c:pt idx="716">
                  <c:v>-0.28161693936477383</c:v>
                </c:pt>
                <c:pt idx="717">
                  <c:v>-0.28248315688161701</c:v>
                </c:pt>
                <c:pt idx="718">
                  <c:v>-0.28421559191530316</c:v>
                </c:pt>
                <c:pt idx="719">
                  <c:v>-0.28344562078922042</c:v>
                </c:pt>
                <c:pt idx="720">
                  <c:v>-0.28132820019249283</c:v>
                </c:pt>
                <c:pt idx="721">
                  <c:v>-0.28142444658325322</c:v>
                </c:pt>
                <c:pt idx="722">
                  <c:v>-0.29210779595765163</c:v>
                </c:pt>
                <c:pt idx="723">
                  <c:v>-0.29297401347449481</c:v>
                </c:pt>
                <c:pt idx="724">
                  <c:v>-0.29345524542829649</c:v>
                </c:pt>
                <c:pt idx="725">
                  <c:v>-0.29278152069297403</c:v>
                </c:pt>
                <c:pt idx="726">
                  <c:v>-0.29624639076034648</c:v>
                </c:pt>
                <c:pt idx="727">
                  <c:v>-0.30211742059672764</c:v>
                </c:pt>
                <c:pt idx="728">
                  <c:v>-0.30259865255052948</c:v>
                </c:pt>
                <c:pt idx="729">
                  <c:v>-0.2996150144369587</c:v>
                </c:pt>
                <c:pt idx="730">
                  <c:v>-0.30038498556304144</c:v>
                </c:pt>
                <c:pt idx="731">
                  <c:v>-0.30153994225216563</c:v>
                </c:pt>
                <c:pt idx="732">
                  <c:v>-0.30250240615976903</c:v>
                </c:pt>
                <c:pt idx="733">
                  <c:v>-0.29653512993262754</c:v>
                </c:pt>
                <c:pt idx="734">
                  <c:v>-0.29547641963426374</c:v>
                </c:pt>
                <c:pt idx="735">
                  <c:v>-0.29220404234841191</c:v>
                </c:pt>
                <c:pt idx="736">
                  <c:v>-0.29143407122232917</c:v>
                </c:pt>
                <c:pt idx="737">
                  <c:v>-0.29095283926852744</c:v>
                </c:pt>
                <c:pt idx="738">
                  <c:v>-0.29499518768046201</c:v>
                </c:pt>
                <c:pt idx="739">
                  <c:v>-0.29807507218479307</c:v>
                </c:pt>
                <c:pt idx="740">
                  <c:v>-0.29846005774783446</c:v>
                </c:pt>
                <c:pt idx="741">
                  <c:v>-0.3</c:v>
                </c:pt>
                <c:pt idx="742">
                  <c:v>-0.29990375360923976</c:v>
                </c:pt>
                <c:pt idx="743">
                  <c:v>-0.3026948989412897</c:v>
                </c:pt>
                <c:pt idx="744">
                  <c:v>-0.3</c:v>
                </c:pt>
                <c:pt idx="745">
                  <c:v>-0.29894128970163619</c:v>
                </c:pt>
                <c:pt idx="746">
                  <c:v>-0.30038498556304144</c:v>
                </c:pt>
                <c:pt idx="747">
                  <c:v>-0.30076997112608278</c:v>
                </c:pt>
                <c:pt idx="748">
                  <c:v>-0.30038498556304144</c:v>
                </c:pt>
                <c:pt idx="749">
                  <c:v>-0.29797882579403279</c:v>
                </c:pt>
                <c:pt idx="750">
                  <c:v>-0.29749759384023106</c:v>
                </c:pt>
                <c:pt idx="751">
                  <c:v>-0.29605389797882581</c:v>
                </c:pt>
                <c:pt idx="752">
                  <c:v>-0.28796920115495667</c:v>
                </c:pt>
                <c:pt idx="753">
                  <c:v>-0.28556304138594801</c:v>
                </c:pt>
                <c:pt idx="754">
                  <c:v>-0.284696823869105</c:v>
                </c:pt>
                <c:pt idx="755">
                  <c:v>-0.27901828681424456</c:v>
                </c:pt>
                <c:pt idx="756">
                  <c:v>-0.27892204042348412</c:v>
                </c:pt>
                <c:pt idx="757">
                  <c:v>-0.28113570741097216</c:v>
                </c:pt>
                <c:pt idx="758">
                  <c:v>-0.27844080846968244</c:v>
                </c:pt>
                <c:pt idx="759">
                  <c:v>-0.28373435996150148</c:v>
                </c:pt>
                <c:pt idx="760">
                  <c:v>-0.2853705486044274</c:v>
                </c:pt>
                <c:pt idx="761">
                  <c:v>-0.2892204042348413</c:v>
                </c:pt>
                <c:pt idx="762">
                  <c:v>-0.28758421559191538</c:v>
                </c:pt>
                <c:pt idx="763">
                  <c:v>-0.28681424446583265</c:v>
                </c:pt>
                <c:pt idx="764">
                  <c:v>-0.28893166506256024</c:v>
                </c:pt>
                <c:pt idx="765">
                  <c:v>-0.28912415784408091</c:v>
                </c:pt>
                <c:pt idx="766">
                  <c:v>-0.2873917228103946</c:v>
                </c:pt>
                <c:pt idx="767">
                  <c:v>-0.28729547641963432</c:v>
                </c:pt>
                <c:pt idx="768">
                  <c:v>-0.28306063522617908</c:v>
                </c:pt>
                <c:pt idx="769">
                  <c:v>-0.28017324350336859</c:v>
                </c:pt>
                <c:pt idx="770">
                  <c:v>-0.27824831568816177</c:v>
                </c:pt>
                <c:pt idx="771">
                  <c:v>-0.27507218479307038</c:v>
                </c:pt>
                <c:pt idx="772">
                  <c:v>-0.27237728585178067</c:v>
                </c:pt>
                <c:pt idx="773">
                  <c:v>-0.26814244465832532</c:v>
                </c:pt>
                <c:pt idx="774">
                  <c:v>-0.26448508180943214</c:v>
                </c:pt>
                <c:pt idx="775">
                  <c:v>-0.25659287776708384</c:v>
                </c:pt>
                <c:pt idx="776">
                  <c:v>-0.25640038498556306</c:v>
                </c:pt>
                <c:pt idx="777">
                  <c:v>-0.24966313763233888</c:v>
                </c:pt>
                <c:pt idx="778">
                  <c:v>-0.23965351299326279</c:v>
                </c:pt>
                <c:pt idx="779">
                  <c:v>-0.2384985563041386</c:v>
                </c:pt>
                <c:pt idx="780">
                  <c:v>-0.23137632338787301</c:v>
                </c:pt>
                <c:pt idx="781">
                  <c:v>-0.23368623676612127</c:v>
                </c:pt>
                <c:pt idx="782">
                  <c:v>-0.24051973051010594</c:v>
                </c:pt>
                <c:pt idx="783">
                  <c:v>-0.21790182868142444</c:v>
                </c:pt>
                <c:pt idx="784">
                  <c:v>-0.19518768046198268</c:v>
                </c:pt>
                <c:pt idx="785">
                  <c:v>-0.189701636188643</c:v>
                </c:pt>
                <c:pt idx="786">
                  <c:v>-0.18334937439846016</c:v>
                </c:pt>
                <c:pt idx="787">
                  <c:v>-0.16583253128007702</c:v>
                </c:pt>
                <c:pt idx="788">
                  <c:v>-0.1609239653512993</c:v>
                </c:pt>
                <c:pt idx="789">
                  <c:v>-0.15611164581328199</c:v>
                </c:pt>
                <c:pt idx="790">
                  <c:v>-0.15794032723772869</c:v>
                </c:pt>
                <c:pt idx="791">
                  <c:v>-0.15620789220404238</c:v>
                </c:pt>
                <c:pt idx="792">
                  <c:v>-0.15447545717035621</c:v>
                </c:pt>
                <c:pt idx="793">
                  <c:v>-0.14619826756496643</c:v>
                </c:pt>
                <c:pt idx="794">
                  <c:v>-0.14802694898941299</c:v>
                </c:pt>
                <c:pt idx="795">
                  <c:v>-0.14263715110683356</c:v>
                </c:pt>
                <c:pt idx="796">
                  <c:v>-0.13965351299326279</c:v>
                </c:pt>
                <c:pt idx="797">
                  <c:v>-0.13493743984600587</c:v>
                </c:pt>
                <c:pt idx="798">
                  <c:v>-0.13541867179980757</c:v>
                </c:pt>
                <c:pt idx="799">
                  <c:v>-0.13128007699711261</c:v>
                </c:pt>
                <c:pt idx="800">
                  <c:v>-0.13060635226179024</c:v>
                </c:pt>
                <c:pt idx="801">
                  <c:v>-0.13205004812319537</c:v>
                </c:pt>
                <c:pt idx="802">
                  <c:v>-0.13301251203079892</c:v>
                </c:pt>
                <c:pt idx="803">
                  <c:v>-0.1324350336862368</c:v>
                </c:pt>
                <c:pt idx="804">
                  <c:v>-0.13628488931665073</c:v>
                </c:pt>
                <c:pt idx="805">
                  <c:v>-0.14225216554379211</c:v>
                </c:pt>
                <c:pt idx="806">
                  <c:v>-0.14398460057747842</c:v>
                </c:pt>
                <c:pt idx="807">
                  <c:v>-0.15380173243503373</c:v>
                </c:pt>
                <c:pt idx="808">
                  <c:v>-0.15428296438883543</c:v>
                </c:pt>
                <c:pt idx="809">
                  <c:v>-0.15582290664100107</c:v>
                </c:pt>
                <c:pt idx="810">
                  <c:v>-0.16631376323387873</c:v>
                </c:pt>
                <c:pt idx="811">
                  <c:v>-0.17256977863330131</c:v>
                </c:pt>
                <c:pt idx="812">
                  <c:v>-0.1836381135707412</c:v>
                </c:pt>
                <c:pt idx="813">
                  <c:v>-0.18546679499518776</c:v>
                </c:pt>
                <c:pt idx="814">
                  <c:v>-0.18354186717998081</c:v>
                </c:pt>
                <c:pt idx="815">
                  <c:v>-0.17949951876804623</c:v>
                </c:pt>
                <c:pt idx="816">
                  <c:v>-0.17497593840230996</c:v>
                </c:pt>
                <c:pt idx="817">
                  <c:v>-0.17641963426371521</c:v>
                </c:pt>
                <c:pt idx="818">
                  <c:v>-0.18209817131857556</c:v>
                </c:pt>
                <c:pt idx="819">
                  <c:v>-0.17901828681424453</c:v>
                </c:pt>
                <c:pt idx="820">
                  <c:v>-0.18469682386910502</c:v>
                </c:pt>
                <c:pt idx="821">
                  <c:v>-0.19364773820981718</c:v>
                </c:pt>
                <c:pt idx="822">
                  <c:v>-0.19643888354186728</c:v>
                </c:pt>
                <c:pt idx="823">
                  <c:v>-0.20529355149181916</c:v>
                </c:pt>
                <c:pt idx="824">
                  <c:v>-0.2110683349374399</c:v>
                </c:pt>
                <c:pt idx="825">
                  <c:v>-0.21462945139557277</c:v>
                </c:pt>
                <c:pt idx="826">
                  <c:v>-0.22483156881616936</c:v>
                </c:pt>
                <c:pt idx="827">
                  <c:v>-0.22531280076997121</c:v>
                </c:pt>
                <c:pt idx="828">
                  <c:v>-0.22646775745909528</c:v>
                </c:pt>
                <c:pt idx="829">
                  <c:v>-0.22877767083734368</c:v>
                </c:pt>
                <c:pt idx="830">
                  <c:v>-0.23897978825794045</c:v>
                </c:pt>
                <c:pt idx="831">
                  <c:v>-0.23917228103946109</c:v>
                </c:pt>
                <c:pt idx="832">
                  <c:v>-0.25303176130895094</c:v>
                </c:pt>
                <c:pt idx="833">
                  <c:v>-0.26487006737247359</c:v>
                </c:pt>
                <c:pt idx="834">
                  <c:v>-0.26920115495668911</c:v>
                </c:pt>
                <c:pt idx="835">
                  <c:v>-0.27747834456207904</c:v>
                </c:pt>
                <c:pt idx="836">
                  <c:v>-0.28450433108758422</c:v>
                </c:pt>
                <c:pt idx="837">
                  <c:v>-0.29191530317613101</c:v>
                </c:pt>
                <c:pt idx="838">
                  <c:v>-0.29624639076034648</c:v>
                </c:pt>
                <c:pt idx="839">
                  <c:v>-0.29672762271414832</c:v>
                </c:pt>
                <c:pt idx="840">
                  <c:v>-0.29807507218479307</c:v>
                </c:pt>
                <c:pt idx="841">
                  <c:v>-0.30048123195380172</c:v>
                </c:pt>
                <c:pt idx="842">
                  <c:v>-0.30134744947064485</c:v>
                </c:pt>
                <c:pt idx="843">
                  <c:v>-0.30673724735322427</c:v>
                </c:pt>
                <c:pt idx="844">
                  <c:v>-0.31453320500481236</c:v>
                </c:pt>
                <c:pt idx="845">
                  <c:v>-0.31539942252165554</c:v>
                </c:pt>
                <c:pt idx="846">
                  <c:v>-0.31434071222329174</c:v>
                </c:pt>
                <c:pt idx="847">
                  <c:v>-0.31838306063522626</c:v>
                </c:pt>
                <c:pt idx="848">
                  <c:v>-0.33185755534167471</c:v>
                </c:pt>
                <c:pt idx="849">
                  <c:v>-0.33426371511068337</c:v>
                </c:pt>
                <c:pt idx="850">
                  <c:v>-0.33638113570741096</c:v>
                </c:pt>
                <c:pt idx="851">
                  <c:v>-0.33734359961501453</c:v>
                </c:pt>
                <c:pt idx="852">
                  <c:v>-0.33695861405197308</c:v>
                </c:pt>
                <c:pt idx="853">
                  <c:v>-0.33570741097208862</c:v>
                </c:pt>
                <c:pt idx="854">
                  <c:v>-0.33628488931665074</c:v>
                </c:pt>
                <c:pt idx="855">
                  <c:v>-0.33079884504331092</c:v>
                </c:pt>
                <c:pt idx="856">
                  <c:v>-0.33792107795957649</c:v>
                </c:pt>
                <c:pt idx="857">
                  <c:v>-0.34812319538017322</c:v>
                </c:pt>
                <c:pt idx="858">
                  <c:v>-0.34581328200192496</c:v>
                </c:pt>
                <c:pt idx="859">
                  <c:v>-0.3489894128970164</c:v>
                </c:pt>
                <c:pt idx="860">
                  <c:v>-0.34927815206929747</c:v>
                </c:pt>
                <c:pt idx="861">
                  <c:v>-0.35033686236766126</c:v>
                </c:pt>
                <c:pt idx="862">
                  <c:v>-0.35168431183830612</c:v>
                </c:pt>
                <c:pt idx="863">
                  <c:v>-0.34485081809432155</c:v>
                </c:pt>
                <c:pt idx="864">
                  <c:v>-0.3444658325312801</c:v>
                </c:pt>
                <c:pt idx="865">
                  <c:v>-0.34138594802694894</c:v>
                </c:pt>
                <c:pt idx="866">
                  <c:v>-0.34292589027911463</c:v>
                </c:pt>
                <c:pt idx="867">
                  <c:v>-0.3451395572666025</c:v>
                </c:pt>
                <c:pt idx="868">
                  <c:v>-0.34956689124157847</c:v>
                </c:pt>
                <c:pt idx="869">
                  <c:v>-0.34889316650625601</c:v>
                </c:pt>
                <c:pt idx="870">
                  <c:v>-0.3549566891241579</c:v>
                </c:pt>
                <c:pt idx="871">
                  <c:v>-0.36785370548604424</c:v>
                </c:pt>
                <c:pt idx="872">
                  <c:v>-0.3719923002887392</c:v>
                </c:pt>
                <c:pt idx="873">
                  <c:v>-0.38257940327237727</c:v>
                </c:pt>
                <c:pt idx="874">
                  <c:v>-0.38354186717998079</c:v>
                </c:pt>
                <c:pt idx="875">
                  <c:v>-0.38941289701636195</c:v>
                </c:pt>
                <c:pt idx="876">
                  <c:v>-0.39027911453320502</c:v>
                </c:pt>
                <c:pt idx="877">
                  <c:v>-0.3918190567853706</c:v>
                </c:pt>
                <c:pt idx="878">
                  <c:v>-0.39384023099133791</c:v>
                </c:pt>
                <c:pt idx="879">
                  <c:v>-0.39451395572666031</c:v>
                </c:pt>
                <c:pt idx="880">
                  <c:v>-0.39624639076034657</c:v>
                </c:pt>
                <c:pt idx="881">
                  <c:v>-0.39576515880654478</c:v>
                </c:pt>
                <c:pt idx="882">
                  <c:v>-0.39518768046198266</c:v>
                </c:pt>
                <c:pt idx="883">
                  <c:v>-0.39432146294513959</c:v>
                </c:pt>
                <c:pt idx="884">
                  <c:v>-0.38989412897016362</c:v>
                </c:pt>
                <c:pt idx="885">
                  <c:v>-0.38825794032723776</c:v>
                </c:pt>
                <c:pt idx="886">
                  <c:v>-0.38383060635226185</c:v>
                </c:pt>
                <c:pt idx="887">
                  <c:v>-0.38402309913378252</c:v>
                </c:pt>
                <c:pt idx="888">
                  <c:v>-0.38296438883541872</c:v>
                </c:pt>
                <c:pt idx="889">
                  <c:v>-0.38652550529355151</c:v>
                </c:pt>
                <c:pt idx="890">
                  <c:v>-0.3869104908565929</c:v>
                </c:pt>
                <c:pt idx="891">
                  <c:v>-0.38748796920115497</c:v>
                </c:pt>
                <c:pt idx="892">
                  <c:v>-0.38873917228103949</c:v>
                </c:pt>
                <c:pt idx="893">
                  <c:v>-0.38845043310875849</c:v>
                </c:pt>
                <c:pt idx="894">
                  <c:v>-0.38681424446583257</c:v>
                </c:pt>
                <c:pt idx="895">
                  <c:v>-0.38402309913378252</c:v>
                </c:pt>
                <c:pt idx="896">
                  <c:v>-0.38392685274302213</c:v>
                </c:pt>
                <c:pt idx="897">
                  <c:v>-0.38719923002887391</c:v>
                </c:pt>
                <c:pt idx="898">
                  <c:v>-0.38806544754571709</c:v>
                </c:pt>
                <c:pt idx="899">
                  <c:v>-0.38777670837343603</c:v>
                </c:pt>
                <c:pt idx="900">
                  <c:v>-0.38739172281039463</c:v>
                </c:pt>
                <c:pt idx="901">
                  <c:v>-0.38508180943214632</c:v>
                </c:pt>
                <c:pt idx="902">
                  <c:v>-0.3869104908565929</c:v>
                </c:pt>
                <c:pt idx="903">
                  <c:v>-0.39008662175168435</c:v>
                </c:pt>
                <c:pt idx="904">
                  <c:v>-0.3911453320500482</c:v>
                </c:pt>
                <c:pt idx="905">
                  <c:v>-0.39047160731472574</c:v>
                </c:pt>
                <c:pt idx="906">
                  <c:v>-0.38565928777670844</c:v>
                </c:pt>
                <c:pt idx="907">
                  <c:v>-0.38527430221366704</c:v>
                </c:pt>
                <c:pt idx="908">
                  <c:v>-0.38373435996150146</c:v>
                </c:pt>
                <c:pt idx="909">
                  <c:v>-0.38354186717998079</c:v>
                </c:pt>
                <c:pt idx="910">
                  <c:v>-0.38094321462945152</c:v>
                </c:pt>
                <c:pt idx="911">
                  <c:v>-0.38075072184793068</c:v>
                </c:pt>
                <c:pt idx="912">
                  <c:v>-0.3793070259865256</c:v>
                </c:pt>
                <c:pt idx="913">
                  <c:v>-0.38152069297401348</c:v>
                </c:pt>
                <c:pt idx="914">
                  <c:v>-0.38123195380173241</c:v>
                </c:pt>
                <c:pt idx="915">
                  <c:v>-0.38075072184793068</c:v>
                </c:pt>
                <c:pt idx="916">
                  <c:v>-0.37892204042348415</c:v>
                </c:pt>
                <c:pt idx="917">
                  <c:v>-0.37844080846968242</c:v>
                </c:pt>
                <c:pt idx="918">
                  <c:v>-0.37728585178055823</c:v>
                </c:pt>
                <c:pt idx="919">
                  <c:v>-0.3765158806544755</c:v>
                </c:pt>
                <c:pt idx="920">
                  <c:v>-0.37613089509143416</c:v>
                </c:pt>
                <c:pt idx="921">
                  <c:v>-0.3729547641963426</c:v>
                </c:pt>
                <c:pt idx="922">
                  <c:v>-0.37372473532242551</c:v>
                </c:pt>
                <c:pt idx="923">
                  <c:v>-0.37468719923002891</c:v>
                </c:pt>
                <c:pt idx="924">
                  <c:v>-0.37410972088546685</c:v>
                </c:pt>
                <c:pt idx="925">
                  <c:v>-0.37362848893166511</c:v>
                </c:pt>
                <c:pt idx="926">
                  <c:v>-0.37256977863330132</c:v>
                </c:pt>
                <c:pt idx="927">
                  <c:v>-0.3709335899903754</c:v>
                </c:pt>
                <c:pt idx="928">
                  <c:v>-0.37122232916265646</c:v>
                </c:pt>
                <c:pt idx="929">
                  <c:v>-0.37131857555341685</c:v>
                </c:pt>
                <c:pt idx="930">
                  <c:v>-0.3768046198267565</c:v>
                </c:pt>
                <c:pt idx="931">
                  <c:v>-0.38094321462945152</c:v>
                </c:pt>
                <c:pt idx="932">
                  <c:v>-0.38084696823869107</c:v>
                </c:pt>
                <c:pt idx="933">
                  <c:v>-0.38055822906641007</c:v>
                </c:pt>
                <c:pt idx="934">
                  <c:v>-0.38075072184793068</c:v>
                </c:pt>
                <c:pt idx="935">
                  <c:v>-0.38055822906641007</c:v>
                </c:pt>
                <c:pt idx="936">
                  <c:v>-0.38152069297401348</c:v>
                </c:pt>
                <c:pt idx="937">
                  <c:v>-0.38103946102021174</c:v>
                </c:pt>
                <c:pt idx="938">
                  <c:v>-0.37853705486044281</c:v>
                </c:pt>
                <c:pt idx="939">
                  <c:v>-0.37661212704523589</c:v>
                </c:pt>
                <c:pt idx="940">
                  <c:v>-0.37507218479307025</c:v>
                </c:pt>
                <c:pt idx="941">
                  <c:v>-0.37353224254090472</c:v>
                </c:pt>
                <c:pt idx="942">
                  <c:v>-0.37151106833493752</c:v>
                </c:pt>
                <c:pt idx="943">
                  <c:v>-0.37256977863330132</c:v>
                </c:pt>
                <c:pt idx="944">
                  <c:v>-0.37237728585178065</c:v>
                </c:pt>
                <c:pt idx="945">
                  <c:v>-0.3729547641963426</c:v>
                </c:pt>
                <c:pt idx="946">
                  <c:v>-0.37459095283926852</c:v>
                </c:pt>
                <c:pt idx="947">
                  <c:v>-0.3747834456207893</c:v>
                </c:pt>
                <c:pt idx="948">
                  <c:v>-0.37324350336862366</c:v>
                </c:pt>
                <c:pt idx="949">
                  <c:v>-0.36929740134744948</c:v>
                </c:pt>
                <c:pt idx="950">
                  <c:v>-0.36968238691049093</c:v>
                </c:pt>
                <c:pt idx="951">
                  <c:v>-0.36852743022136675</c:v>
                </c:pt>
                <c:pt idx="952">
                  <c:v>-0.3698748796920116</c:v>
                </c:pt>
                <c:pt idx="953">
                  <c:v>-0.36833493743984608</c:v>
                </c:pt>
                <c:pt idx="954">
                  <c:v>-0.36804619826756502</c:v>
                </c:pt>
                <c:pt idx="955">
                  <c:v>-0.36756496631376334</c:v>
                </c:pt>
                <c:pt idx="956">
                  <c:v>-0.36631376323387871</c:v>
                </c:pt>
                <c:pt idx="957">
                  <c:v>-0.36448508180943218</c:v>
                </c:pt>
                <c:pt idx="958">
                  <c:v>-0.36246390760346497</c:v>
                </c:pt>
                <c:pt idx="959">
                  <c:v>-0.36333012512030799</c:v>
                </c:pt>
                <c:pt idx="960">
                  <c:v>-0.36063522617901828</c:v>
                </c:pt>
                <c:pt idx="961">
                  <c:v>-0.35813282001924934</c:v>
                </c:pt>
                <c:pt idx="962">
                  <c:v>-0.35707410972088555</c:v>
                </c:pt>
                <c:pt idx="963">
                  <c:v>-0.35659287776708382</c:v>
                </c:pt>
                <c:pt idx="964">
                  <c:v>-0.35437921077959583</c:v>
                </c:pt>
                <c:pt idx="965">
                  <c:v>-0.35216554379210779</c:v>
                </c:pt>
                <c:pt idx="966">
                  <c:v>-0.35187680461982673</c:v>
                </c:pt>
                <c:pt idx="967">
                  <c:v>-0.35168431183830612</c:v>
                </c:pt>
                <c:pt idx="968">
                  <c:v>-0.35072184793070271</c:v>
                </c:pt>
                <c:pt idx="969">
                  <c:v>-0.35014436958614059</c:v>
                </c:pt>
                <c:pt idx="970">
                  <c:v>-0.34918190567853702</c:v>
                </c:pt>
                <c:pt idx="971">
                  <c:v>-0.34927815206929747</c:v>
                </c:pt>
                <c:pt idx="972">
                  <c:v>-0.3489894128970164</c:v>
                </c:pt>
                <c:pt idx="973">
                  <c:v>-0.34870067372473534</c:v>
                </c:pt>
                <c:pt idx="974">
                  <c:v>-0.34725697786333021</c:v>
                </c:pt>
                <c:pt idx="975">
                  <c:v>-0.34321462945139564</c:v>
                </c:pt>
                <c:pt idx="976">
                  <c:v>-0.34167468719923</c:v>
                </c:pt>
                <c:pt idx="977">
                  <c:v>-0.33955726660250241</c:v>
                </c:pt>
                <c:pt idx="978">
                  <c:v>-0.33820981713185755</c:v>
                </c:pt>
                <c:pt idx="979">
                  <c:v>-0.33551491819056783</c:v>
                </c:pt>
                <c:pt idx="980">
                  <c:v>-0.33070259865255053</c:v>
                </c:pt>
                <c:pt idx="981">
                  <c:v>-0.3271414821944178</c:v>
                </c:pt>
                <c:pt idx="982">
                  <c:v>-0.32656400384985568</c:v>
                </c:pt>
                <c:pt idx="983">
                  <c:v>-0.32338787295476429</c:v>
                </c:pt>
                <c:pt idx="984">
                  <c:v>-0.32483156881616937</c:v>
                </c:pt>
                <c:pt idx="985">
                  <c:v>-0.32637151106833501</c:v>
                </c:pt>
                <c:pt idx="986">
                  <c:v>-0.32858517805582288</c:v>
                </c:pt>
                <c:pt idx="987">
                  <c:v>-0.32993262752646774</c:v>
                </c:pt>
                <c:pt idx="988">
                  <c:v>-0.33147256977863337</c:v>
                </c:pt>
                <c:pt idx="989">
                  <c:v>-0.32906641000962472</c:v>
                </c:pt>
                <c:pt idx="990">
                  <c:v>-0.33051010587102986</c:v>
                </c:pt>
                <c:pt idx="991">
                  <c:v>-0.3340712223291627</c:v>
                </c:pt>
                <c:pt idx="992">
                  <c:v>-0.33330125120307996</c:v>
                </c:pt>
                <c:pt idx="993">
                  <c:v>-0.33185755534167471</c:v>
                </c:pt>
                <c:pt idx="994">
                  <c:v>-0.33137632338787298</c:v>
                </c:pt>
                <c:pt idx="995">
                  <c:v>-0.33108758421559198</c:v>
                </c:pt>
                <c:pt idx="996">
                  <c:v>-0.33128007699711259</c:v>
                </c:pt>
                <c:pt idx="997">
                  <c:v>-0.33147256977863337</c:v>
                </c:pt>
                <c:pt idx="998">
                  <c:v>-0.33108758421559198</c:v>
                </c:pt>
                <c:pt idx="999">
                  <c:v>-0.33156881616939365</c:v>
                </c:pt>
                <c:pt idx="1000">
                  <c:v>-0.33224254090471617</c:v>
                </c:pt>
                <c:pt idx="1001">
                  <c:v>-0.33464870067372482</c:v>
                </c:pt>
                <c:pt idx="1002">
                  <c:v>-0.33589990375360929</c:v>
                </c:pt>
                <c:pt idx="1003">
                  <c:v>-0.33647738209817135</c:v>
                </c:pt>
                <c:pt idx="1004">
                  <c:v>-0.33570741097208862</c:v>
                </c:pt>
                <c:pt idx="1005">
                  <c:v>-0.33743984600577481</c:v>
                </c:pt>
                <c:pt idx="1006">
                  <c:v>-0.33792107795957649</c:v>
                </c:pt>
                <c:pt idx="1007">
                  <c:v>-0.34138594802694894</c:v>
                </c:pt>
                <c:pt idx="1008">
                  <c:v>-0.34196342637151106</c:v>
                </c:pt>
                <c:pt idx="1009">
                  <c:v>-0.34157844080846977</c:v>
                </c:pt>
                <c:pt idx="1010">
                  <c:v>-0.34436958614051971</c:v>
                </c:pt>
                <c:pt idx="1011">
                  <c:v>-0.35072184793070271</c:v>
                </c:pt>
                <c:pt idx="1012">
                  <c:v>-0.35476419634263712</c:v>
                </c:pt>
                <c:pt idx="1013">
                  <c:v>-0.35784408084696828</c:v>
                </c:pt>
                <c:pt idx="1014">
                  <c:v>-0.35871029836381141</c:v>
                </c:pt>
                <c:pt idx="1015">
                  <c:v>-0.35813282001924934</c:v>
                </c:pt>
                <c:pt idx="1016">
                  <c:v>-0.36265640038498559</c:v>
                </c:pt>
                <c:pt idx="1017">
                  <c:v>-0.3660250240615977</c:v>
                </c:pt>
                <c:pt idx="1018">
                  <c:v>-0.36515880654475469</c:v>
                </c:pt>
                <c:pt idx="1019">
                  <c:v>-0.36381135707410983</c:v>
                </c:pt>
                <c:pt idx="1020">
                  <c:v>-0.36313763233878732</c:v>
                </c:pt>
                <c:pt idx="1021">
                  <c:v>-0.36207892204042352</c:v>
                </c:pt>
                <c:pt idx="1022">
                  <c:v>-0.360538979788258</c:v>
                </c:pt>
                <c:pt idx="1023">
                  <c:v>-0.36005774783445627</c:v>
                </c:pt>
                <c:pt idx="1024">
                  <c:v>-0.35726660250240616</c:v>
                </c:pt>
                <c:pt idx="1025">
                  <c:v>-0.35428296438883544</c:v>
                </c:pt>
                <c:pt idx="1026">
                  <c:v>-0.35457170356111645</c:v>
                </c:pt>
                <c:pt idx="1027">
                  <c:v>-0.35312800769971137</c:v>
                </c:pt>
                <c:pt idx="1028">
                  <c:v>-0.34870067372473534</c:v>
                </c:pt>
                <c:pt idx="1029">
                  <c:v>-0.34417709335899904</c:v>
                </c:pt>
                <c:pt idx="1030">
                  <c:v>-0.34177093358999039</c:v>
                </c:pt>
                <c:pt idx="1031">
                  <c:v>-0.33782483156881621</c:v>
                </c:pt>
                <c:pt idx="1032">
                  <c:v>-0.33840230991337833</c:v>
                </c:pt>
                <c:pt idx="1033">
                  <c:v>-0.33570741097208862</c:v>
                </c:pt>
                <c:pt idx="1034">
                  <c:v>-0.33455245428296443</c:v>
                </c:pt>
                <c:pt idx="1035">
                  <c:v>-0.33320500481231957</c:v>
                </c:pt>
                <c:pt idx="1036">
                  <c:v>-0.33320500481231957</c:v>
                </c:pt>
                <c:pt idx="1037">
                  <c:v>-0.33079884504331092</c:v>
                </c:pt>
                <c:pt idx="1038">
                  <c:v>-0.32868142444658327</c:v>
                </c:pt>
                <c:pt idx="1039">
                  <c:v>-0.32646775745909529</c:v>
                </c:pt>
                <c:pt idx="1040">
                  <c:v>-0.32406159769008663</c:v>
                </c:pt>
                <c:pt idx="1041">
                  <c:v>-0.32396535129932635</c:v>
                </c:pt>
                <c:pt idx="1042">
                  <c:v>-0.32088546679499519</c:v>
                </c:pt>
                <c:pt idx="1043">
                  <c:v>-0.32021174205967284</c:v>
                </c:pt>
                <c:pt idx="1044">
                  <c:v>-0.31578440808469682</c:v>
                </c:pt>
                <c:pt idx="1045">
                  <c:v>-0.31357074109720895</c:v>
                </c:pt>
                <c:pt idx="1046">
                  <c:v>-0.31126082771896058</c:v>
                </c:pt>
                <c:pt idx="1047">
                  <c:v>-0.307218479307026</c:v>
                </c:pt>
                <c:pt idx="1048">
                  <c:v>-0.30606352261790193</c:v>
                </c:pt>
                <c:pt idx="1049">
                  <c:v>-0.30683349374398466</c:v>
                </c:pt>
                <c:pt idx="1050">
                  <c:v>-0.31472569778633303</c:v>
                </c:pt>
                <c:pt idx="1051">
                  <c:v>-0.31058710298363817</c:v>
                </c:pt>
                <c:pt idx="1052">
                  <c:v>-0.31308950914340711</c:v>
                </c:pt>
                <c:pt idx="1053">
                  <c:v>-0.31424446583253129</c:v>
                </c:pt>
                <c:pt idx="1054">
                  <c:v>-0.31655437921077956</c:v>
                </c:pt>
                <c:pt idx="1055">
                  <c:v>-0.32194417709335899</c:v>
                </c:pt>
                <c:pt idx="1056">
                  <c:v>-0.32309913378248323</c:v>
                </c:pt>
                <c:pt idx="1057">
                  <c:v>-0.32300288739172284</c:v>
                </c:pt>
                <c:pt idx="1058">
                  <c:v>-0.32348411934552451</c:v>
                </c:pt>
                <c:pt idx="1059">
                  <c:v>-0.32271414821944178</c:v>
                </c:pt>
                <c:pt idx="1060">
                  <c:v>-0.32319538017324362</c:v>
                </c:pt>
                <c:pt idx="1061">
                  <c:v>-0.32666025024061607</c:v>
                </c:pt>
                <c:pt idx="1062">
                  <c:v>-0.3274302213666988</c:v>
                </c:pt>
                <c:pt idx="1063">
                  <c:v>-0.33031761308950919</c:v>
                </c:pt>
                <c:pt idx="1064">
                  <c:v>-0.32829643888354182</c:v>
                </c:pt>
                <c:pt idx="1065">
                  <c:v>-0.3302213666987488</c:v>
                </c:pt>
                <c:pt idx="1066">
                  <c:v>-0.33522617901828694</c:v>
                </c:pt>
                <c:pt idx="1067">
                  <c:v>-0.33801732435033688</c:v>
                </c:pt>
                <c:pt idx="1068">
                  <c:v>-0.34812319538017322</c:v>
                </c:pt>
                <c:pt idx="1069">
                  <c:v>-0.35052935514918188</c:v>
                </c:pt>
                <c:pt idx="1070">
                  <c:v>-0.35505293551491818</c:v>
                </c:pt>
                <c:pt idx="1071">
                  <c:v>-0.35697786333012516</c:v>
                </c:pt>
                <c:pt idx="1072">
                  <c:v>-0.36044273339749761</c:v>
                </c:pt>
                <c:pt idx="1073">
                  <c:v>-0.3615014436958614</c:v>
                </c:pt>
                <c:pt idx="1074">
                  <c:v>-0.36130895091434073</c:v>
                </c:pt>
                <c:pt idx="1075">
                  <c:v>-0.35871029836381141</c:v>
                </c:pt>
                <c:pt idx="1076">
                  <c:v>-0.35832531280077001</c:v>
                </c:pt>
                <c:pt idx="1077">
                  <c:v>-0.35832531280077001</c:v>
                </c:pt>
                <c:pt idx="1078">
                  <c:v>-0.35601539942252175</c:v>
                </c:pt>
                <c:pt idx="1079">
                  <c:v>-0.35601539942252175</c:v>
                </c:pt>
                <c:pt idx="1080">
                  <c:v>-0.35466794995187689</c:v>
                </c:pt>
                <c:pt idx="1081">
                  <c:v>-0.35774783445620789</c:v>
                </c:pt>
                <c:pt idx="1082">
                  <c:v>-0.36082771896053906</c:v>
                </c:pt>
                <c:pt idx="1083">
                  <c:v>-0.36410009624639084</c:v>
                </c:pt>
                <c:pt idx="1084">
                  <c:v>-0.36496631376323385</c:v>
                </c:pt>
                <c:pt idx="1085">
                  <c:v>-0.36554379210779597</c:v>
                </c:pt>
                <c:pt idx="1086">
                  <c:v>-0.36948989412897015</c:v>
                </c:pt>
                <c:pt idx="1087">
                  <c:v>-0.37102983638113579</c:v>
                </c:pt>
                <c:pt idx="1088">
                  <c:v>-0.37035611164581328</c:v>
                </c:pt>
                <c:pt idx="1089">
                  <c:v>-0.3709335899903754</c:v>
                </c:pt>
                <c:pt idx="1090">
                  <c:v>-0.37131857555341685</c:v>
                </c:pt>
                <c:pt idx="1091">
                  <c:v>-0.37170356111645814</c:v>
                </c:pt>
                <c:pt idx="1092">
                  <c:v>-0.37112608277189607</c:v>
                </c:pt>
                <c:pt idx="1093">
                  <c:v>-0.37045235803657367</c:v>
                </c:pt>
                <c:pt idx="1094">
                  <c:v>-0.3698748796920116</c:v>
                </c:pt>
                <c:pt idx="1095">
                  <c:v>-0.37064485081809434</c:v>
                </c:pt>
                <c:pt idx="1096">
                  <c:v>-0.37449470644850824</c:v>
                </c:pt>
                <c:pt idx="1097">
                  <c:v>-0.37314725697786338</c:v>
                </c:pt>
                <c:pt idx="1098">
                  <c:v>-0.37536092396535126</c:v>
                </c:pt>
                <c:pt idx="1099">
                  <c:v>-0.37526467757459103</c:v>
                </c:pt>
                <c:pt idx="1100">
                  <c:v>-0.37670837343599611</c:v>
                </c:pt>
                <c:pt idx="1101">
                  <c:v>-0.37882579403272376</c:v>
                </c:pt>
                <c:pt idx="1102">
                  <c:v>-0.37911453320500482</c:v>
                </c:pt>
                <c:pt idx="1103">
                  <c:v>-0.37921077959576521</c:v>
                </c:pt>
                <c:pt idx="1104">
                  <c:v>-0.37882579403272376</c:v>
                </c:pt>
                <c:pt idx="1105">
                  <c:v>-0.38152069297401348</c:v>
                </c:pt>
                <c:pt idx="1106">
                  <c:v>-0.38315688161693939</c:v>
                </c:pt>
                <c:pt idx="1107">
                  <c:v>-0.38373435996150146</c:v>
                </c:pt>
                <c:pt idx="1108">
                  <c:v>-0.38200192492781532</c:v>
                </c:pt>
                <c:pt idx="1109">
                  <c:v>-0.39393647738209819</c:v>
                </c:pt>
                <c:pt idx="1110">
                  <c:v>-0.39316650625601546</c:v>
                </c:pt>
                <c:pt idx="1111">
                  <c:v>-0.39374398460057747</c:v>
                </c:pt>
                <c:pt idx="1112">
                  <c:v>-0.39470644850818098</c:v>
                </c:pt>
                <c:pt idx="1113">
                  <c:v>-0.39393647738209819</c:v>
                </c:pt>
                <c:pt idx="1114">
                  <c:v>-0.39326275264677579</c:v>
                </c:pt>
                <c:pt idx="1115">
                  <c:v>-0.39249278152069306</c:v>
                </c:pt>
                <c:pt idx="1116">
                  <c:v>-0.39278152069297401</c:v>
                </c:pt>
                <c:pt idx="1117">
                  <c:v>-0.39104908565928775</c:v>
                </c:pt>
                <c:pt idx="1118">
                  <c:v>-0.38931665062560156</c:v>
                </c:pt>
                <c:pt idx="1119">
                  <c:v>-0.38979788257940334</c:v>
                </c:pt>
                <c:pt idx="1120">
                  <c:v>-0.38806544754571709</c:v>
                </c:pt>
                <c:pt idx="1121">
                  <c:v>-0.38383060635226185</c:v>
                </c:pt>
                <c:pt idx="1122">
                  <c:v>-0.38277189605389805</c:v>
                </c:pt>
                <c:pt idx="1123">
                  <c:v>-0.38354186717998079</c:v>
                </c:pt>
                <c:pt idx="1124">
                  <c:v>-0.38402309913378252</c:v>
                </c:pt>
                <c:pt idx="1125">
                  <c:v>-0.38103946102021174</c:v>
                </c:pt>
                <c:pt idx="1126">
                  <c:v>-0.38046198267564968</c:v>
                </c:pt>
                <c:pt idx="1127">
                  <c:v>-0.38046198267564968</c:v>
                </c:pt>
                <c:pt idx="1128">
                  <c:v>-0.37911453320500482</c:v>
                </c:pt>
                <c:pt idx="1129">
                  <c:v>-0.37805582290664097</c:v>
                </c:pt>
                <c:pt idx="1130">
                  <c:v>-0.37786333012512036</c:v>
                </c:pt>
                <c:pt idx="1131">
                  <c:v>-0.37661212704523589</c:v>
                </c:pt>
                <c:pt idx="1132">
                  <c:v>-0.37564966313763232</c:v>
                </c:pt>
                <c:pt idx="1133">
                  <c:v>-0.37497593840230997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E-462D-AA9C-E6465B6D1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642175"/>
        <c:axId val="1092466047"/>
      </c:areaChart>
      <c:dateAx>
        <c:axId val="10896421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66047"/>
        <c:crosses val="autoZero"/>
        <c:auto val="0"/>
        <c:lblOffset val="100"/>
        <c:baseTimeUnit val="days"/>
        <c:majorUnit val="6"/>
        <c:majorTimeUnit val="months"/>
      </c:dateAx>
      <c:valAx>
        <c:axId val="109246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4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% Semanal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Análise_À_Vista!$G$3:$G$240</c:f>
              <c:strCache>
                <c:ptCount val="238"/>
                <c:pt idx="0">
                  <c:v>2021-S52</c:v>
                </c:pt>
                <c:pt idx="1">
                  <c:v>2022-S01</c:v>
                </c:pt>
                <c:pt idx="2">
                  <c:v>2022-S02</c:v>
                </c:pt>
                <c:pt idx="3">
                  <c:v>2022-S03</c:v>
                </c:pt>
                <c:pt idx="4">
                  <c:v>2022-S04</c:v>
                </c:pt>
                <c:pt idx="5">
                  <c:v>2022-S05</c:v>
                </c:pt>
                <c:pt idx="6">
                  <c:v>2022-S06</c:v>
                </c:pt>
                <c:pt idx="7">
                  <c:v>2022-S07</c:v>
                </c:pt>
                <c:pt idx="8">
                  <c:v>2022-S08</c:v>
                </c:pt>
                <c:pt idx="9">
                  <c:v>2022-S09</c:v>
                </c:pt>
                <c:pt idx="10">
                  <c:v>2022-S10</c:v>
                </c:pt>
                <c:pt idx="11">
                  <c:v>2022-S11</c:v>
                </c:pt>
                <c:pt idx="12">
                  <c:v>2022-S12</c:v>
                </c:pt>
                <c:pt idx="13">
                  <c:v>2022-S13</c:v>
                </c:pt>
                <c:pt idx="14">
                  <c:v>2022-S14</c:v>
                </c:pt>
                <c:pt idx="15">
                  <c:v>2022-S15</c:v>
                </c:pt>
                <c:pt idx="16">
                  <c:v>2022-S16</c:v>
                </c:pt>
                <c:pt idx="17">
                  <c:v>2022-S17</c:v>
                </c:pt>
                <c:pt idx="18">
                  <c:v>2022-S18</c:v>
                </c:pt>
                <c:pt idx="19">
                  <c:v>2022-S19</c:v>
                </c:pt>
                <c:pt idx="20">
                  <c:v>2022-S20</c:v>
                </c:pt>
                <c:pt idx="21">
                  <c:v>2022-S21</c:v>
                </c:pt>
                <c:pt idx="22">
                  <c:v>2022-S22</c:v>
                </c:pt>
                <c:pt idx="23">
                  <c:v>2022-S23</c:v>
                </c:pt>
                <c:pt idx="24">
                  <c:v>2022-S24</c:v>
                </c:pt>
                <c:pt idx="25">
                  <c:v>2022-S25</c:v>
                </c:pt>
                <c:pt idx="26">
                  <c:v>2022-S26</c:v>
                </c:pt>
                <c:pt idx="27">
                  <c:v>2022-S27</c:v>
                </c:pt>
                <c:pt idx="28">
                  <c:v>2022-S28</c:v>
                </c:pt>
                <c:pt idx="29">
                  <c:v>2022-S29</c:v>
                </c:pt>
                <c:pt idx="30">
                  <c:v>2022-S30</c:v>
                </c:pt>
                <c:pt idx="31">
                  <c:v>2022-S31</c:v>
                </c:pt>
                <c:pt idx="32">
                  <c:v>2022-S32</c:v>
                </c:pt>
                <c:pt idx="33">
                  <c:v>2022-S33</c:v>
                </c:pt>
                <c:pt idx="34">
                  <c:v>2022-S34</c:v>
                </c:pt>
                <c:pt idx="35">
                  <c:v>2022-S35</c:v>
                </c:pt>
                <c:pt idx="36">
                  <c:v>2022-S36</c:v>
                </c:pt>
                <c:pt idx="37">
                  <c:v>2022-S37</c:v>
                </c:pt>
                <c:pt idx="38">
                  <c:v>2022-S38</c:v>
                </c:pt>
                <c:pt idx="39">
                  <c:v>2022-S39</c:v>
                </c:pt>
                <c:pt idx="40">
                  <c:v>2022-S40</c:v>
                </c:pt>
                <c:pt idx="41">
                  <c:v>2022-S41</c:v>
                </c:pt>
                <c:pt idx="42">
                  <c:v>2022-S42</c:v>
                </c:pt>
                <c:pt idx="43">
                  <c:v>2022-S43</c:v>
                </c:pt>
                <c:pt idx="44">
                  <c:v>2022-S44</c:v>
                </c:pt>
                <c:pt idx="45">
                  <c:v>2022-S45</c:v>
                </c:pt>
                <c:pt idx="46">
                  <c:v>2022-S46</c:v>
                </c:pt>
                <c:pt idx="47">
                  <c:v>2022-S47</c:v>
                </c:pt>
                <c:pt idx="48">
                  <c:v>2022-S48</c:v>
                </c:pt>
                <c:pt idx="49">
                  <c:v>2022-S49</c:v>
                </c:pt>
                <c:pt idx="50">
                  <c:v>2022-S50</c:v>
                </c:pt>
                <c:pt idx="51">
                  <c:v>2022-S51</c:v>
                </c:pt>
                <c:pt idx="52">
                  <c:v>2022-S52</c:v>
                </c:pt>
                <c:pt idx="53">
                  <c:v>2023-S01</c:v>
                </c:pt>
                <c:pt idx="54">
                  <c:v>2023-S02</c:v>
                </c:pt>
                <c:pt idx="55">
                  <c:v>2023-S03</c:v>
                </c:pt>
                <c:pt idx="56">
                  <c:v>2023-S04</c:v>
                </c:pt>
                <c:pt idx="57">
                  <c:v>2023-S05</c:v>
                </c:pt>
                <c:pt idx="58">
                  <c:v>2023-S06</c:v>
                </c:pt>
                <c:pt idx="59">
                  <c:v>2023-S07</c:v>
                </c:pt>
                <c:pt idx="60">
                  <c:v>2023-S08</c:v>
                </c:pt>
                <c:pt idx="61">
                  <c:v>2023-S09</c:v>
                </c:pt>
                <c:pt idx="62">
                  <c:v>2023-S10</c:v>
                </c:pt>
                <c:pt idx="63">
                  <c:v>2023-S11</c:v>
                </c:pt>
                <c:pt idx="64">
                  <c:v>2023-S12</c:v>
                </c:pt>
                <c:pt idx="65">
                  <c:v>2023-S13</c:v>
                </c:pt>
                <c:pt idx="66">
                  <c:v>2023-S14</c:v>
                </c:pt>
                <c:pt idx="67">
                  <c:v>2023-S15</c:v>
                </c:pt>
                <c:pt idx="68">
                  <c:v>2023-S16</c:v>
                </c:pt>
                <c:pt idx="69">
                  <c:v>2023-S17</c:v>
                </c:pt>
                <c:pt idx="70">
                  <c:v>2023-S18</c:v>
                </c:pt>
                <c:pt idx="71">
                  <c:v>2023-S19</c:v>
                </c:pt>
                <c:pt idx="72">
                  <c:v>2023-S20</c:v>
                </c:pt>
                <c:pt idx="73">
                  <c:v>2023-S21</c:v>
                </c:pt>
                <c:pt idx="74">
                  <c:v>2023-S22</c:v>
                </c:pt>
                <c:pt idx="75">
                  <c:v>2023-S23</c:v>
                </c:pt>
                <c:pt idx="76">
                  <c:v>2023-S24</c:v>
                </c:pt>
                <c:pt idx="77">
                  <c:v>2023-S25</c:v>
                </c:pt>
                <c:pt idx="78">
                  <c:v>2023-S26</c:v>
                </c:pt>
                <c:pt idx="79">
                  <c:v>2023-S27</c:v>
                </c:pt>
                <c:pt idx="80">
                  <c:v>2023-S28</c:v>
                </c:pt>
                <c:pt idx="81">
                  <c:v>2023-S29</c:v>
                </c:pt>
                <c:pt idx="82">
                  <c:v>2023-S30</c:v>
                </c:pt>
                <c:pt idx="83">
                  <c:v>2023-S31</c:v>
                </c:pt>
                <c:pt idx="84">
                  <c:v>2023-S32</c:v>
                </c:pt>
                <c:pt idx="85">
                  <c:v>2023-S33</c:v>
                </c:pt>
                <c:pt idx="86">
                  <c:v>2023-S34</c:v>
                </c:pt>
                <c:pt idx="87">
                  <c:v>2023-S35</c:v>
                </c:pt>
                <c:pt idx="88">
                  <c:v>2023-S36</c:v>
                </c:pt>
                <c:pt idx="89">
                  <c:v>2023-S37</c:v>
                </c:pt>
                <c:pt idx="90">
                  <c:v>2023-S38</c:v>
                </c:pt>
                <c:pt idx="91">
                  <c:v>2023-S39</c:v>
                </c:pt>
                <c:pt idx="92">
                  <c:v>2023-S40</c:v>
                </c:pt>
                <c:pt idx="93">
                  <c:v>2023-S41</c:v>
                </c:pt>
                <c:pt idx="94">
                  <c:v>2023-S42</c:v>
                </c:pt>
                <c:pt idx="95">
                  <c:v>2023-S43</c:v>
                </c:pt>
                <c:pt idx="96">
                  <c:v>2023-S44</c:v>
                </c:pt>
                <c:pt idx="97">
                  <c:v>2023-S45</c:v>
                </c:pt>
                <c:pt idx="98">
                  <c:v>2023-S46</c:v>
                </c:pt>
                <c:pt idx="99">
                  <c:v>2023-S47</c:v>
                </c:pt>
                <c:pt idx="100">
                  <c:v>2023-S48</c:v>
                </c:pt>
                <c:pt idx="101">
                  <c:v>2023-S49</c:v>
                </c:pt>
                <c:pt idx="102">
                  <c:v>2023-S50</c:v>
                </c:pt>
                <c:pt idx="103">
                  <c:v>2023-S51</c:v>
                </c:pt>
                <c:pt idx="104">
                  <c:v>2023-S52</c:v>
                </c:pt>
                <c:pt idx="105">
                  <c:v>2024-S01</c:v>
                </c:pt>
                <c:pt idx="106">
                  <c:v>2024-S02</c:v>
                </c:pt>
                <c:pt idx="107">
                  <c:v>2024-S03</c:v>
                </c:pt>
                <c:pt idx="108">
                  <c:v>2024-S04</c:v>
                </c:pt>
                <c:pt idx="109">
                  <c:v>2024-S05</c:v>
                </c:pt>
                <c:pt idx="110">
                  <c:v>2024-S06</c:v>
                </c:pt>
                <c:pt idx="111">
                  <c:v>2024-S07</c:v>
                </c:pt>
                <c:pt idx="112">
                  <c:v>2024-S08</c:v>
                </c:pt>
                <c:pt idx="113">
                  <c:v>2024-S09</c:v>
                </c:pt>
                <c:pt idx="114">
                  <c:v>2024-S10</c:v>
                </c:pt>
                <c:pt idx="115">
                  <c:v>2024-S11</c:v>
                </c:pt>
                <c:pt idx="116">
                  <c:v>2024-S12</c:v>
                </c:pt>
                <c:pt idx="117">
                  <c:v>2024-S13</c:v>
                </c:pt>
                <c:pt idx="118">
                  <c:v>2024-S14</c:v>
                </c:pt>
                <c:pt idx="119">
                  <c:v>2024-S15</c:v>
                </c:pt>
                <c:pt idx="120">
                  <c:v>2024-S16</c:v>
                </c:pt>
                <c:pt idx="121">
                  <c:v>2024-S17</c:v>
                </c:pt>
                <c:pt idx="122">
                  <c:v>2024-S18</c:v>
                </c:pt>
                <c:pt idx="123">
                  <c:v>2024-S19</c:v>
                </c:pt>
                <c:pt idx="124">
                  <c:v>2024-S20</c:v>
                </c:pt>
                <c:pt idx="125">
                  <c:v>2024-S21</c:v>
                </c:pt>
                <c:pt idx="126">
                  <c:v>2024-S22</c:v>
                </c:pt>
                <c:pt idx="127">
                  <c:v>2024-S23</c:v>
                </c:pt>
                <c:pt idx="128">
                  <c:v>2024-S24</c:v>
                </c:pt>
                <c:pt idx="129">
                  <c:v>2024-S25</c:v>
                </c:pt>
                <c:pt idx="130">
                  <c:v>2024-S26</c:v>
                </c:pt>
                <c:pt idx="131">
                  <c:v>2024-S27</c:v>
                </c:pt>
                <c:pt idx="132">
                  <c:v>2024-S28</c:v>
                </c:pt>
                <c:pt idx="133">
                  <c:v>2024-S29</c:v>
                </c:pt>
                <c:pt idx="134">
                  <c:v>2024-S30</c:v>
                </c:pt>
                <c:pt idx="135">
                  <c:v>2024-S31</c:v>
                </c:pt>
                <c:pt idx="136">
                  <c:v>2024-S32</c:v>
                </c:pt>
                <c:pt idx="137">
                  <c:v>2024-S33</c:v>
                </c:pt>
                <c:pt idx="138">
                  <c:v>2024-S34</c:v>
                </c:pt>
                <c:pt idx="139">
                  <c:v>2024-S35</c:v>
                </c:pt>
                <c:pt idx="140">
                  <c:v>2024-S36</c:v>
                </c:pt>
                <c:pt idx="141">
                  <c:v>2024-S37</c:v>
                </c:pt>
                <c:pt idx="142">
                  <c:v>2024-S38</c:v>
                </c:pt>
                <c:pt idx="143">
                  <c:v>2024-S39</c:v>
                </c:pt>
                <c:pt idx="144">
                  <c:v>2024-S40</c:v>
                </c:pt>
                <c:pt idx="145">
                  <c:v>2024-S41</c:v>
                </c:pt>
                <c:pt idx="146">
                  <c:v>2024-S42</c:v>
                </c:pt>
                <c:pt idx="147">
                  <c:v>2024-S43</c:v>
                </c:pt>
                <c:pt idx="148">
                  <c:v>2024-S44</c:v>
                </c:pt>
                <c:pt idx="149">
                  <c:v>2024-S45</c:v>
                </c:pt>
                <c:pt idx="150">
                  <c:v>2024-S46</c:v>
                </c:pt>
                <c:pt idx="151">
                  <c:v>2024-S47</c:v>
                </c:pt>
                <c:pt idx="152">
                  <c:v>2024-S48</c:v>
                </c:pt>
                <c:pt idx="153">
                  <c:v>2024-S49</c:v>
                </c:pt>
                <c:pt idx="154">
                  <c:v>2024-S50</c:v>
                </c:pt>
                <c:pt idx="155">
                  <c:v>2024-S51</c:v>
                </c:pt>
                <c:pt idx="156">
                  <c:v>2024-S52</c:v>
                </c:pt>
                <c:pt idx="157">
                  <c:v>2025-S01</c:v>
                </c:pt>
                <c:pt idx="158">
                  <c:v>2025-S02</c:v>
                </c:pt>
                <c:pt idx="159">
                  <c:v>2025-S03</c:v>
                </c:pt>
                <c:pt idx="160">
                  <c:v>2025-S04</c:v>
                </c:pt>
                <c:pt idx="161">
                  <c:v>2025-S05</c:v>
                </c:pt>
                <c:pt idx="162">
                  <c:v>2025-S06</c:v>
                </c:pt>
                <c:pt idx="163">
                  <c:v>2025-S07</c:v>
                </c:pt>
                <c:pt idx="164">
                  <c:v>2025-S08</c:v>
                </c:pt>
                <c:pt idx="165">
                  <c:v>2025-S09</c:v>
                </c:pt>
                <c:pt idx="166">
                  <c:v>2025-S10</c:v>
                </c:pt>
                <c:pt idx="167">
                  <c:v>2025-S11</c:v>
                </c:pt>
                <c:pt idx="168">
                  <c:v>2025-S12</c:v>
                </c:pt>
                <c:pt idx="169">
                  <c:v>2025-S13</c:v>
                </c:pt>
                <c:pt idx="170">
                  <c:v>2025-S14</c:v>
                </c:pt>
                <c:pt idx="171">
                  <c:v>2025-S15</c:v>
                </c:pt>
                <c:pt idx="172">
                  <c:v>2025-S16</c:v>
                </c:pt>
                <c:pt idx="173">
                  <c:v>2025-S17</c:v>
                </c:pt>
                <c:pt idx="174">
                  <c:v>2025-S18</c:v>
                </c:pt>
                <c:pt idx="175">
                  <c:v>2025-S19</c:v>
                </c:pt>
                <c:pt idx="176">
                  <c:v>2025-S20</c:v>
                </c:pt>
                <c:pt idx="177">
                  <c:v>2025-S21</c:v>
                </c:pt>
                <c:pt idx="178">
                  <c:v>2025-S22</c:v>
                </c:pt>
                <c:pt idx="179">
                  <c:v>2025-S23</c:v>
                </c:pt>
                <c:pt idx="180">
                  <c:v>2025-S24</c:v>
                </c:pt>
                <c:pt idx="181">
                  <c:v>2025-S25</c:v>
                </c:pt>
                <c:pt idx="182">
                  <c:v>2025-S26</c:v>
                </c:pt>
                <c:pt idx="183">
                  <c:v>2025-S27</c:v>
                </c:pt>
                <c:pt idx="184">
                  <c:v>2025-S28</c:v>
                </c:pt>
                <c:pt idx="185">
                  <c:v>2025-S29</c:v>
                </c:pt>
                <c:pt idx="186">
                  <c:v>2025-S30</c:v>
                </c:pt>
                <c:pt idx="187">
                  <c:v>2025-S31</c:v>
                </c:pt>
                <c:pt idx="188">
                  <c:v>2025-S32</c:v>
                </c:pt>
                <c:pt idx="189">
                  <c:v>2025-S33</c:v>
                </c:pt>
                <c:pt idx="190">
                  <c:v>2025-S34</c:v>
                </c:pt>
                <c:pt idx="191">
                  <c:v>2025-S35</c:v>
                </c:pt>
                <c:pt idx="192">
                  <c:v>2025-S36</c:v>
                </c:pt>
                <c:pt idx="193">
                  <c:v>2025-S37</c:v>
                </c:pt>
                <c:pt idx="194">
                  <c:v>2025-S38</c:v>
                </c:pt>
                <c:pt idx="195">
                  <c:v>2025-S39</c:v>
                </c:pt>
                <c:pt idx="196">
                  <c:v>2025-S40</c:v>
                </c:pt>
                <c:pt idx="197">
                  <c:v>2025-S41</c:v>
                </c:pt>
                <c:pt idx="198">
                  <c:v>2025-S42</c:v>
                </c:pt>
                <c:pt idx="199">
                  <c:v>2025-S43</c:v>
                </c:pt>
                <c:pt idx="200">
                  <c:v>2025-S44</c:v>
                </c:pt>
                <c:pt idx="201">
                  <c:v>2025-S45</c:v>
                </c:pt>
                <c:pt idx="202">
                  <c:v>2025-S46</c:v>
                </c:pt>
                <c:pt idx="203">
                  <c:v>2025-S47</c:v>
                </c:pt>
                <c:pt idx="204">
                  <c:v>2025-S48</c:v>
                </c:pt>
                <c:pt idx="205">
                  <c:v>2025-S49</c:v>
                </c:pt>
                <c:pt idx="206">
                  <c:v>2025-S50</c:v>
                </c:pt>
                <c:pt idx="207">
                  <c:v>2025-S51</c:v>
                </c:pt>
                <c:pt idx="208">
                  <c:v>2025-S52</c:v>
                </c:pt>
                <c:pt idx="209">
                  <c:v>2026-S01</c:v>
                </c:pt>
                <c:pt idx="210">
                  <c:v>2026-S02</c:v>
                </c:pt>
                <c:pt idx="211">
                  <c:v>2026-S03</c:v>
                </c:pt>
                <c:pt idx="212">
                  <c:v>2026-S04</c:v>
                </c:pt>
                <c:pt idx="213">
                  <c:v>2026-S05</c:v>
                </c:pt>
                <c:pt idx="214">
                  <c:v>2026-S06</c:v>
                </c:pt>
                <c:pt idx="215">
                  <c:v>2026-S07</c:v>
                </c:pt>
                <c:pt idx="216">
                  <c:v>2026-S08</c:v>
                </c:pt>
                <c:pt idx="217">
                  <c:v>2026-S09</c:v>
                </c:pt>
                <c:pt idx="218">
                  <c:v>2026-S10</c:v>
                </c:pt>
                <c:pt idx="219">
                  <c:v>2026-S11</c:v>
                </c:pt>
                <c:pt idx="220">
                  <c:v>2026-S12</c:v>
                </c:pt>
                <c:pt idx="221">
                  <c:v>2026-S13</c:v>
                </c:pt>
                <c:pt idx="222">
                  <c:v>2026-S14</c:v>
                </c:pt>
                <c:pt idx="223">
                  <c:v>2026-S15</c:v>
                </c:pt>
                <c:pt idx="224">
                  <c:v>2026-S16</c:v>
                </c:pt>
                <c:pt idx="225">
                  <c:v>2026-S17</c:v>
                </c:pt>
                <c:pt idx="226">
                  <c:v>2026-S18</c:v>
                </c:pt>
                <c:pt idx="227">
                  <c:v>2026-S19</c:v>
                </c:pt>
                <c:pt idx="228">
                  <c:v>2026-S20</c:v>
                </c:pt>
                <c:pt idx="229">
                  <c:v>2026-S21</c:v>
                </c:pt>
                <c:pt idx="230">
                  <c:v>2026-S22</c:v>
                </c:pt>
                <c:pt idx="231">
                  <c:v>2026-S23</c:v>
                </c:pt>
                <c:pt idx="232">
                  <c:v>2026-S24</c:v>
                </c:pt>
                <c:pt idx="233">
                  <c:v>2026-S25</c:v>
                </c:pt>
                <c:pt idx="234">
                  <c:v>2026-S26</c:v>
                </c:pt>
                <c:pt idx="235">
                  <c:v>2026-S27</c:v>
                </c:pt>
                <c:pt idx="236">
                  <c:v>2026-S28</c:v>
                </c:pt>
                <c:pt idx="237">
                  <c:v>2026-S29</c:v>
                </c:pt>
              </c:strCache>
            </c:strRef>
          </c:cat>
          <c:val>
            <c:numRef>
              <c:f>Análise_À_Vista!$I$3:$I$240</c:f>
              <c:numCache>
                <c:formatCode>0.00%</c:formatCode>
                <c:ptCount val="238"/>
                <c:pt idx="0">
                  <c:v>0</c:v>
                </c:pt>
                <c:pt idx="1">
                  <c:v>2.6301488968590386E-2</c:v>
                </c:pt>
                <c:pt idx="2">
                  <c:v>2.8910303928836065E-2</c:v>
                </c:pt>
                <c:pt idx="3">
                  <c:v>7.9250720461096161E-3</c:v>
                </c:pt>
                <c:pt idx="4">
                  <c:v>-5.2078014908608708E-3</c:v>
                </c:pt>
                <c:pt idx="5">
                  <c:v>-4.6191747074522975E-3</c:v>
                </c:pt>
                <c:pt idx="6">
                  <c:v>-1.0209343095802773E-2</c:v>
                </c:pt>
                <c:pt idx="7">
                  <c:v>5.626172119191415E-3</c:v>
                </c:pt>
                <c:pt idx="8">
                  <c:v>8.4956485702445857E-3</c:v>
                </c:pt>
                <c:pt idx="9">
                  <c:v>2.9278816519416419E-2</c:v>
                </c:pt>
                <c:pt idx="10">
                  <c:v>3.7029643677013752E-2</c:v>
                </c:pt>
                <c:pt idx="11">
                  <c:v>-1.2223291626564102E-2</c:v>
                </c:pt>
                <c:pt idx="12">
                  <c:v>-6.3041995517879756E-2</c:v>
                </c:pt>
                <c:pt idx="13">
                  <c:v>-4.7940931780366056E-2</c:v>
                </c:pt>
                <c:pt idx="14">
                  <c:v>-2.8945931185144637E-2</c:v>
                </c:pt>
                <c:pt idx="15">
                  <c:v>-1.42857142857144E-2</c:v>
                </c:pt>
                <c:pt idx="16">
                  <c:v>1.2324546388223192E-2</c:v>
                </c:pt>
                <c:pt idx="17">
                  <c:v>-9.4690564761581476E-3</c:v>
                </c:pt>
                <c:pt idx="18">
                  <c:v>-1.9574371230226456E-2</c:v>
                </c:pt>
                <c:pt idx="19">
                  <c:v>2.1125943122460744E-2</c:v>
                </c:pt>
                <c:pt idx="20">
                  <c:v>6.8205069910199246E-4</c:v>
                </c:pt>
                <c:pt idx="21">
                  <c:v>-1.3518118823128453E-2</c:v>
                </c:pt>
                <c:pt idx="22">
                  <c:v>-2.3491478581299012E-2</c:v>
                </c:pt>
                <c:pt idx="23">
                  <c:v>7.1933962264150875E-3</c:v>
                </c:pt>
                <c:pt idx="24">
                  <c:v>2.3533544081489347E-2</c:v>
                </c:pt>
                <c:pt idx="25">
                  <c:v>-3.0542210020590273E-2</c:v>
                </c:pt>
                <c:pt idx="26">
                  <c:v>-1.7817109144542834E-2</c:v>
                </c:pt>
                <c:pt idx="27">
                  <c:v>-1.0571840461316621E-2</c:v>
                </c:pt>
                <c:pt idx="28">
                  <c:v>0</c:v>
                </c:pt>
                <c:pt idx="29">
                  <c:v>-2.6226323457989274E-2</c:v>
                </c:pt>
                <c:pt idx="30">
                  <c:v>3.0423940149625905E-2</c:v>
                </c:pt>
                <c:pt idx="31">
                  <c:v>-7.1393998063891987E-3</c:v>
                </c:pt>
                <c:pt idx="32">
                  <c:v>-7.800121876904334E-3</c:v>
                </c:pt>
                <c:pt idx="33">
                  <c:v>6.0189165950130094E-3</c:v>
                </c:pt>
                <c:pt idx="34">
                  <c:v>2.3199023199023092E-2</c:v>
                </c:pt>
                <c:pt idx="35">
                  <c:v>-6.4439140811454899E-3</c:v>
                </c:pt>
                <c:pt idx="36">
                  <c:v>8.2872928176795299E-3</c:v>
                </c:pt>
                <c:pt idx="37">
                  <c:v>8.3382966051212841E-4</c:v>
                </c:pt>
                <c:pt idx="38">
                  <c:v>6.6650797429183804E-3</c:v>
                </c:pt>
                <c:pt idx="39">
                  <c:v>-5.2021754551903254E-3</c:v>
                </c:pt>
                <c:pt idx="40">
                  <c:v>-7.6063703351556995E-3</c:v>
                </c:pt>
                <c:pt idx="41">
                  <c:v>1.6287425149700593E-2</c:v>
                </c:pt>
                <c:pt idx="42">
                  <c:v>2.5925053028517425E-3</c:v>
                </c:pt>
                <c:pt idx="43">
                  <c:v>3.1734837799717447E-3</c:v>
                </c:pt>
                <c:pt idx="44">
                  <c:v>-1.8746338605740668E-3</c:v>
                </c:pt>
                <c:pt idx="45">
                  <c:v>-1.396877567789644E-2</c:v>
                </c:pt>
                <c:pt idx="46">
                  <c:v>1.2857142857142836E-2</c:v>
                </c:pt>
                <c:pt idx="47">
                  <c:v>1.0343206393982082E-2</c:v>
                </c:pt>
                <c:pt idx="48">
                  <c:v>-4.8859934853418743E-3</c:v>
                </c:pt>
                <c:pt idx="49">
                  <c:v>7.1311667056347837E-3</c:v>
                </c:pt>
                <c:pt idx="50">
                  <c:v>-1.1607661056298145E-3</c:v>
                </c:pt>
                <c:pt idx="51">
                  <c:v>-3.0214991284136074E-3</c:v>
                </c:pt>
                <c:pt idx="52">
                  <c:v>3.4969110618952924E-3</c:v>
                </c:pt>
                <c:pt idx="53">
                  <c:v>1.370658613079327E-2</c:v>
                </c:pt>
                <c:pt idx="54">
                  <c:v>-1.0083648447347261E-2</c:v>
                </c:pt>
                <c:pt idx="55">
                  <c:v>-1.1112397268202266E-2</c:v>
                </c:pt>
                <c:pt idx="56">
                  <c:v>-5.6186351398806499E-3</c:v>
                </c:pt>
                <c:pt idx="57">
                  <c:v>2.0011771630371006E-3</c:v>
                </c:pt>
                <c:pt idx="58">
                  <c:v>8.6936090225563298E-3</c:v>
                </c:pt>
                <c:pt idx="59">
                  <c:v>-1.5140927090612096E-3</c:v>
                </c:pt>
                <c:pt idx="60">
                  <c:v>7.8152338737898248E-3</c:v>
                </c:pt>
                <c:pt idx="61">
                  <c:v>-2.8935185185185184E-3</c:v>
                </c:pt>
                <c:pt idx="62">
                  <c:v>-6.2681369704005365E-3</c:v>
                </c:pt>
                <c:pt idx="63">
                  <c:v>-1.1096834481953076E-2</c:v>
                </c:pt>
                <c:pt idx="64">
                  <c:v>-7.7958894401133549E-3</c:v>
                </c:pt>
                <c:pt idx="65">
                  <c:v>-1.904761904761898E-2</c:v>
                </c:pt>
                <c:pt idx="66">
                  <c:v>-3.6529126213592292E-2</c:v>
                </c:pt>
                <c:pt idx="67">
                  <c:v>-5.1643783851870441E-2</c:v>
                </c:pt>
                <c:pt idx="68">
                  <c:v>-6.8800637534865275E-2</c:v>
                </c:pt>
                <c:pt idx="69">
                  <c:v>-6.4184852374839535E-2</c:v>
                </c:pt>
                <c:pt idx="70">
                  <c:v>-5.8832495046486806E-2</c:v>
                </c:pt>
                <c:pt idx="71">
                  <c:v>-4.728744939271258E-2</c:v>
                </c:pt>
                <c:pt idx="72">
                  <c:v>-5.0994390617032127E-2</c:v>
                </c:pt>
                <c:pt idx="73">
                  <c:v>-1.7911517105498837E-2</c:v>
                </c:pt>
                <c:pt idx="74">
                  <c:v>-2.1885828925770488E-2</c:v>
                </c:pt>
                <c:pt idx="75">
                  <c:v>2.6104792093977354E-3</c:v>
                </c:pt>
                <c:pt idx="76">
                  <c:v>1.301841175376596E-2</c:v>
                </c:pt>
                <c:pt idx="77">
                  <c:v>5.3974664953185196E-2</c:v>
                </c:pt>
                <c:pt idx="78">
                  <c:v>-3.2746908204145539E-2</c:v>
                </c:pt>
                <c:pt idx="79">
                  <c:v>4.6821537907437063E-3</c:v>
                </c:pt>
                <c:pt idx="80">
                  <c:v>-2.2763936189281162E-2</c:v>
                </c:pt>
                <c:pt idx="81">
                  <c:v>9.9046221570065866E-3</c:v>
                </c:pt>
                <c:pt idx="82">
                  <c:v>-2.6153287322920538E-2</c:v>
                </c:pt>
                <c:pt idx="83">
                  <c:v>-9.1383812010442916E-3</c:v>
                </c:pt>
                <c:pt idx="84">
                  <c:v>2.4468285337849696E-3</c:v>
                </c:pt>
                <c:pt idx="85">
                  <c:v>7.3225685317311415E-3</c:v>
                </c:pt>
                <c:pt idx="86">
                  <c:v>-3.9142590866728961E-3</c:v>
                </c:pt>
                <c:pt idx="87">
                  <c:v>7.1107784431138207E-3</c:v>
                </c:pt>
                <c:pt idx="88">
                  <c:v>0</c:v>
                </c:pt>
                <c:pt idx="89">
                  <c:v>0</c:v>
                </c:pt>
                <c:pt idx="90">
                  <c:v>3.5488665923448466E-2</c:v>
                </c:pt>
                <c:pt idx="91">
                  <c:v>4.216759375560742E-2</c:v>
                </c:pt>
                <c:pt idx="92">
                  <c:v>3.2369146005509684E-2</c:v>
                </c:pt>
                <c:pt idx="93">
                  <c:v>-9.0060040026684312E-3</c:v>
                </c:pt>
                <c:pt idx="94">
                  <c:v>-7.0683271625715536E-3</c:v>
                </c:pt>
                <c:pt idx="95">
                  <c:v>4.2372881355932203E-3</c:v>
                </c:pt>
                <c:pt idx="96">
                  <c:v>1.3502109704641302E-2</c:v>
                </c:pt>
                <c:pt idx="97">
                  <c:v>-6.3280599500415563E-3</c:v>
                </c:pt>
                <c:pt idx="98">
                  <c:v>1.8267135914194675E-2</c:v>
                </c:pt>
                <c:pt idx="99">
                  <c:v>1.2343647136273865E-2</c:v>
                </c:pt>
                <c:pt idx="100">
                  <c:v>2.8938384002601222E-2</c:v>
                </c:pt>
                <c:pt idx="101">
                  <c:v>6.2727129088323688E-2</c:v>
                </c:pt>
                <c:pt idx="102">
                  <c:v>4.4603033006244E-3</c:v>
                </c:pt>
                <c:pt idx="103">
                  <c:v>0</c:v>
                </c:pt>
                <c:pt idx="104">
                  <c:v>2.4422735346358665E-2</c:v>
                </c:pt>
                <c:pt idx="105">
                  <c:v>1.3148388961132941E-2</c:v>
                </c:pt>
                <c:pt idx="106">
                  <c:v>-5.761551625784378E-2</c:v>
                </c:pt>
                <c:pt idx="107">
                  <c:v>-5.7506053268765095E-2</c:v>
                </c:pt>
                <c:pt idx="108">
                  <c:v>-2.0873474630700474E-3</c:v>
                </c:pt>
                <c:pt idx="109">
                  <c:v>9.1713596138374952E-3</c:v>
                </c:pt>
                <c:pt idx="110">
                  <c:v>-8.7691326530611787E-3</c:v>
                </c:pt>
                <c:pt idx="111">
                  <c:v>6.4339713688273854E-3</c:v>
                </c:pt>
                <c:pt idx="112">
                  <c:v>8.6303340258909889E-3</c:v>
                </c:pt>
                <c:pt idx="113">
                  <c:v>-1.5845349389954273E-3</c:v>
                </c:pt>
                <c:pt idx="114">
                  <c:v>-1.7457546421202894E-3</c:v>
                </c:pt>
                <c:pt idx="115">
                  <c:v>-4.7694753577108329E-4</c:v>
                </c:pt>
                <c:pt idx="116">
                  <c:v>-4.2945761094320984E-3</c:v>
                </c:pt>
                <c:pt idx="117">
                  <c:v>-1.4217252396166143E-2</c:v>
                </c:pt>
                <c:pt idx="118">
                  <c:v>-1.7663263652568522E-2</c:v>
                </c:pt>
                <c:pt idx="119">
                  <c:v>-1.517650940283726E-2</c:v>
                </c:pt>
                <c:pt idx="120">
                  <c:v>-1.5745393634840951E-2</c:v>
                </c:pt>
                <c:pt idx="121">
                  <c:v>-1.1061946902654843E-2</c:v>
                </c:pt>
                <c:pt idx="122">
                  <c:v>1.5487867836861712E-3</c:v>
                </c:pt>
                <c:pt idx="123">
                  <c:v>1.0824742268041159E-2</c:v>
                </c:pt>
                <c:pt idx="124">
                  <c:v>1.4448410674825794E-2</c:v>
                </c:pt>
                <c:pt idx="125">
                  <c:v>-1.6756032171578436E-4</c:v>
                </c:pt>
                <c:pt idx="126">
                  <c:v>-1.206636500754146E-2</c:v>
                </c:pt>
                <c:pt idx="127">
                  <c:v>-1.2383375742154435E-2</c:v>
                </c:pt>
                <c:pt idx="128">
                  <c:v>-8.5881140501545862E-3</c:v>
                </c:pt>
                <c:pt idx="129">
                  <c:v>-7.969507969507985E-3</c:v>
                </c:pt>
                <c:pt idx="130">
                  <c:v>1.0478519035976646E-3</c:v>
                </c:pt>
                <c:pt idx="131">
                  <c:v>-2.0586182833217021E-2</c:v>
                </c:pt>
                <c:pt idx="132">
                  <c:v>3.7406483790523842E-3</c:v>
                </c:pt>
                <c:pt idx="133">
                  <c:v>2.1472937000887326E-2</c:v>
                </c:pt>
                <c:pt idx="134">
                  <c:v>1.5462126476719953E-2</c:v>
                </c:pt>
                <c:pt idx="135">
                  <c:v>1.1804961505560268E-2</c:v>
                </c:pt>
                <c:pt idx="136">
                  <c:v>-1.1836320595197884E-3</c:v>
                </c:pt>
                <c:pt idx="137">
                  <c:v>1.2866091078381547E-2</c:v>
                </c:pt>
                <c:pt idx="138">
                  <c:v>-1.504262075881603E-3</c:v>
                </c:pt>
                <c:pt idx="139">
                  <c:v>1.6069635085369949E-2</c:v>
                </c:pt>
                <c:pt idx="140">
                  <c:v>2.6853377265238804E-2</c:v>
                </c:pt>
                <c:pt idx="141">
                  <c:v>1.4439274827531432E-3</c:v>
                </c:pt>
                <c:pt idx="142">
                  <c:v>4.3255366869592443E-3</c:v>
                </c:pt>
                <c:pt idx="143">
                  <c:v>2.568192694209602E-2</c:v>
                </c:pt>
                <c:pt idx="144">
                  <c:v>2.7216174183514776E-2</c:v>
                </c:pt>
                <c:pt idx="145">
                  <c:v>2.6646479939439898E-2</c:v>
                </c:pt>
                <c:pt idx="146">
                  <c:v>2.8756820527945773E-2</c:v>
                </c:pt>
                <c:pt idx="147">
                  <c:v>3.4547018348623802E-2</c:v>
                </c:pt>
                <c:pt idx="148">
                  <c:v>1.053069142302903E-2</c:v>
                </c:pt>
                <c:pt idx="149">
                  <c:v>2.2213081036610315E-2</c:v>
                </c:pt>
                <c:pt idx="150">
                  <c:v>1.4755197853789327E-3</c:v>
                </c:pt>
                <c:pt idx="151">
                  <c:v>-1.5804982587730949E-2</c:v>
                </c:pt>
                <c:pt idx="152">
                  <c:v>-1.0751224823081195E-2</c:v>
                </c:pt>
                <c:pt idx="153">
                  <c:v>1.1693492915119116E-2</c:v>
                </c:pt>
                <c:pt idx="154">
                  <c:v>-8.8387272232799234E-3</c:v>
                </c:pt>
                <c:pt idx="155">
                  <c:v>-6.8596515297019009E-4</c:v>
                </c:pt>
                <c:pt idx="156">
                  <c:v>-2.0593080724877221E-3</c:v>
                </c:pt>
                <c:pt idx="157">
                  <c:v>6.190672719768921E-3</c:v>
                </c:pt>
                <c:pt idx="158">
                  <c:v>2.4336888159693752E-2</c:v>
                </c:pt>
                <c:pt idx="159">
                  <c:v>-1.4281900694073776E-2</c:v>
                </c:pt>
                <c:pt idx="160">
                  <c:v>2.5727826675695591E-3</c:v>
                </c:pt>
                <c:pt idx="161">
                  <c:v>1.7287952458130564E-2</c:v>
                </c:pt>
                <c:pt idx="162">
                  <c:v>2.5756771109931121E-2</c:v>
                </c:pt>
                <c:pt idx="163">
                  <c:v>3.0546207610665278E-2</c:v>
                </c:pt>
                <c:pt idx="164">
                  <c:v>6.5687013313237744E-2</c:v>
                </c:pt>
                <c:pt idx="165">
                  <c:v>3.1113730111962296E-2</c:v>
                </c:pt>
                <c:pt idx="166">
                  <c:v>1.1772774031317879E-2</c:v>
                </c:pt>
                <c:pt idx="167">
                  <c:v>1.9656574785359343E-2</c:v>
                </c:pt>
                <c:pt idx="168">
                  <c:v>-5.7611345003324866E-3</c:v>
                </c:pt>
                <c:pt idx="169">
                  <c:v>-2.2620904836193462E-2</c:v>
                </c:pt>
                <c:pt idx="170">
                  <c:v>-3.2835480560939413E-2</c:v>
                </c:pt>
                <c:pt idx="171">
                  <c:v>5.5404927502062818E-3</c:v>
                </c:pt>
                <c:pt idx="172">
                  <c:v>-2.1219226260257941E-2</c:v>
                </c:pt>
                <c:pt idx="173">
                  <c:v>-3.5932446999640676E-2</c:v>
                </c:pt>
                <c:pt idx="174">
                  <c:v>-1.789042117033169E-2</c:v>
                </c:pt>
                <c:pt idx="175">
                  <c:v>-5.958254269449708E-2</c:v>
                </c:pt>
                <c:pt idx="176">
                  <c:v>-2.2329835889157875E-2</c:v>
                </c:pt>
                <c:pt idx="177">
                  <c:v>-1.9812878370941273E-2</c:v>
                </c:pt>
                <c:pt idx="178">
                  <c:v>-3.3548568220101077E-2</c:v>
                </c:pt>
                <c:pt idx="179">
                  <c:v>-8.7145969498893347E-4</c:v>
                </c:pt>
                <c:pt idx="180">
                  <c:v>-1.8752725686873181E-2</c:v>
                </c:pt>
                <c:pt idx="181">
                  <c:v>1.3777777777777878E-2</c:v>
                </c:pt>
                <c:pt idx="182">
                  <c:v>-2.0604997807979114E-2</c:v>
                </c:pt>
                <c:pt idx="183">
                  <c:v>-5.3416890480453574E-2</c:v>
                </c:pt>
                <c:pt idx="184">
                  <c:v>-1.1191677175283746E-2</c:v>
                </c:pt>
                <c:pt idx="185">
                  <c:v>1.3231308783676159E-2</c:v>
                </c:pt>
                <c:pt idx="186">
                  <c:v>2.2026431718061763E-3</c:v>
                </c:pt>
                <c:pt idx="187">
                  <c:v>4.7095761381475221E-3</c:v>
                </c:pt>
                <c:pt idx="188">
                  <c:v>-5.4687500000000222E-3</c:v>
                </c:pt>
                <c:pt idx="189">
                  <c:v>-5.0274941084053459E-3</c:v>
                </c:pt>
                <c:pt idx="190">
                  <c:v>1.5632401705352832E-2</c:v>
                </c:pt>
                <c:pt idx="191">
                  <c:v>3.109452736319999E-4</c:v>
                </c:pt>
                <c:pt idx="192">
                  <c:v>7.4603668013675743E-3</c:v>
                </c:pt>
                <c:pt idx="193">
                  <c:v>4.0111076828140257E-3</c:v>
                </c:pt>
                <c:pt idx="194">
                  <c:v>-5.0706822372464395E-3</c:v>
                </c:pt>
                <c:pt idx="195">
                  <c:v>-6.0231660231660315E-3</c:v>
                </c:pt>
                <c:pt idx="196">
                  <c:v>8.8564325668117998E-3</c:v>
                </c:pt>
                <c:pt idx="197">
                  <c:v>3.3882642846141823E-3</c:v>
                </c:pt>
                <c:pt idx="198">
                  <c:v>5.2187260168839473E-3</c:v>
                </c:pt>
                <c:pt idx="199">
                  <c:v>3.3592914948846983E-3</c:v>
                </c:pt>
                <c:pt idx="200">
                  <c:v>1.0957236341500733E-2</c:v>
                </c:pt>
                <c:pt idx="201">
                  <c:v>1.3247026945657013E-2</c:v>
                </c:pt>
                <c:pt idx="202">
                  <c:v>4.6055563809241163E-3</c:v>
                </c:pt>
                <c:pt idx="203">
                  <c:v>2.95770482105869E-3</c:v>
                </c:pt>
                <c:pt idx="204">
                  <c:v>1.7988793866116383E-2</c:v>
                </c:pt>
                <c:pt idx="205">
                  <c:v>1.6077636152954797E-2</c:v>
                </c:pt>
                <c:pt idx="206">
                  <c:v>-6.2722736992161356E-3</c:v>
                </c:pt>
                <c:pt idx="207">
                  <c:v>-3.4428346004876619E-3</c:v>
                </c:pt>
                <c:pt idx="208">
                  <c:v>-1.4394702749395591E-4</c:v>
                </c:pt>
                <c:pt idx="209">
                  <c:v>-1.1517420097897826E-3</c:v>
                </c:pt>
                <c:pt idx="210">
                  <c:v>-7.7832228307868562E-3</c:v>
                </c:pt>
                <c:pt idx="211">
                  <c:v>-1.0459035444508989E-2</c:v>
                </c:pt>
                <c:pt idx="212">
                  <c:v>-2.0992366412213838E-2</c:v>
                </c:pt>
                <c:pt idx="213">
                  <c:v>-7.7972709551656326E-3</c:v>
                </c:pt>
                <c:pt idx="214">
                  <c:v>1.3903581683542417E-2</c:v>
                </c:pt>
                <c:pt idx="215">
                  <c:v>1.5650618572067329E-2</c:v>
                </c:pt>
                <c:pt idx="216">
                  <c:v>1.2914587613736359E-2</c:v>
                </c:pt>
                <c:pt idx="217">
                  <c:v>1.0576644450883859E-2</c:v>
                </c:pt>
                <c:pt idx="218">
                  <c:v>1.2616487455197067E-2</c:v>
                </c:pt>
                <c:pt idx="219">
                  <c:v>2.0812685827552017E-2</c:v>
                </c:pt>
                <c:pt idx="220">
                  <c:v>-1.1789181692094235E-2</c:v>
                </c:pt>
                <c:pt idx="221">
                  <c:v>-1.3473684210526228E-2</c:v>
                </c:pt>
                <c:pt idx="222">
                  <c:v>-5.8329776639637326E-3</c:v>
                </c:pt>
                <c:pt idx="223">
                  <c:v>-1.5741270749856817E-2</c:v>
                </c:pt>
                <c:pt idx="224">
                  <c:v>-3.3876126781040974E-2</c:v>
                </c:pt>
                <c:pt idx="225">
                  <c:v>3.310759969902165E-3</c:v>
                </c:pt>
                <c:pt idx="226">
                  <c:v>5.6997150142492192E-3</c:v>
                </c:pt>
                <c:pt idx="227">
                  <c:v>-1.6853094705443633E-2</c:v>
                </c:pt>
                <c:pt idx="228">
                  <c:v>-9.1019417475729451E-3</c:v>
                </c:pt>
                <c:pt idx="229">
                  <c:v>1.0716472749541855E-3</c:v>
                </c:pt>
                <c:pt idx="230">
                  <c:v>-9.6345006881785513E-3</c:v>
                </c:pt>
                <c:pt idx="231">
                  <c:v>-3.397158739962922E-3</c:v>
                </c:pt>
                <c:pt idx="232">
                  <c:v>-2.4325999380229429E-2</c:v>
                </c:pt>
                <c:pt idx="233">
                  <c:v>1.1116404637128837E-3</c:v>
                </c:pt>
                <c:pt idx="234">
                  <c:v>5.7106598984771485E-3</c:v>
                </c:pt>
                <c:pt idx="235">
                  <c:v>9.4637223974763634E-3</c:v>
                </c:pt>
                <c:pt idx="236">
                  <c:v>9.6875000000000711E-3</c:v>
                </c:pt>
                <c:pt idx="237">
                  <c:v>4.952027236149693E-3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B-4E60-9EE7-16DB531DA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39391"/>
        <c:axId val="1092463647"/>
      </c:barChart>
      <c:catAx>
        <c:axId val="108963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63647"/>
        <c:crosses val="autoZero"/>
        <c:auto val="1"/>
        <c:lblAlgn val="ctr"/>
        <c:lblOffset val="100"/>
        <c:tickLblSkip val="8"/>
        <c:noMultiLvlLbl val="0"/>
      </c:catAx>
      <c:valAx>
        <c:axId val="109246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3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 % Semanal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cat>
            <c:strRef>
              <c:f>Análise_À_Vista!$G$3:$G$240</c:f>
              <c:strCache>
                <c:ptCount val="238"/>
                <c:pt idx="0">
                  <c:v>2021-S52</c:v>
                </c:pt>
                <c:pt idx="1">
                  <c:v>2022-S01</c:v>
                </c:pt>
                <c:pt idx="2">
                  <c:v>2022-S02</c:v>
                </c:pt>
                <c:pt idx="3">
                  <c:v>2022-S03</c:v>
                </c:pt>
                <c:pt idx="4">
                  <c:v>2022-S04</c:v>
                </c:pt>
                <c:pt idx="5">
                  <c:v>2022-S05</c:v>
                </c:pt>
                <c:pt idx="6">
                  <c:v>2022-S06</c:v>
                </c:pt>
                <c:pt idx="7">
                  <c:v>2022-S07</c:v>
                </c:pt>
                <c:pt idx="8">
                  <c:v>2022-S08</c:v>
                </c:pt>
                <c:pt idx="9">
                  <c:v>2022-S09</c:v>
                </c:pt>
                <c:pt idx="10">
                  <c:v>2022-S10</c:v>
                </c:pt>
                <c:pt idx="11">
                  <c:v>2022-S11</c:v>
                </c:pt>
                <c:pt idx="12">
                  <c:v>2022-S12</c:v>
                </c:pt>
                <c:pt idx="13">
                  <c:v>2022-S13</c:v>
                </c:pt>
                <c:pt idx="14">
                  <c:v>2022-S14</c:v>
                </c:pt>
                <c:pt idx="15">
                  <c:v>2022-S15</c:v>
                </c:pt>
                <c:pt idx="16">
                  <c:v>2022-S16</c:v>
                </c:pt>
                <c:pt idx="17">
                  <c:v>2022-S17</c:v>
                </c:pt>
                <c:pt idx="18">
                  <c:v>2022-S18</c:v>
                </c:pt>
                <c:pt idx="19">
                  <c:v>2022-S19</c:v>
                </c:pt>
                <c:pt idx="20">
                  <c:v>2022-S20</c:v>
                </c:pt>
                <c:pt idx="21">
                  <c:v>2022-S21</c:v>
                </c:pt>
                <c:pt idx="22">
                  <c:v>2022-S22</c:v>
                </c:pt>
                <c:pt idx="23">
                  <c:v>2022-S23</c:v>
                </c:pt>
                <c:pt idx="24">
                  <c:v>2022-S24</c:v>
                </c:pt>
                <c:pt idx="25">
                  <c:v>2022-S25</c:v>
                </c:pt>
                <c:pt idx="26">
                  <c:v>2022-S26</c:v>
                </c:pt>
                <c:pt idx="27">
                  <c:v>2022-S27</c:v>
                </c:pt>
                <c:pt idx="28">
                  <c:v>2022-S28</c:v>
                </c:pt>
                <c:pt idx="29">
                  <c:v>2022-S29</c:v>
                </c:pt>
                <c:pt idx="30">
                  <c:v>2022-S30</c:v>
                </c:pt>
                <c:pt idx="31">
                  <c:v>2022-S31</c:v>
                </c:pt>
                <c:pt idx="32">
                  <c:v>2022-S32</c:v>
                </c:pt>
                <c:pt idx="33">
                  <c:v>2022-S33</c:v>
                </c:pt>
                <c:pt idx="34">
                  <c:v>2022-S34</c:v>
                </c:pt>
                <c:pt idx="35">
                  <c:v>2022-S35</c:v>
                </c:pt>
                <c:pt idx="36">
                  <c:v>2022-S36</c:v>
                </c:pt>
                <c:pt idx="37">
                  <c:v>2022-S37</c:v>
                </c:pt>
                <c:pt idx="38">
                  <c:v>2022-S38</c:v>
                </c:pt>
                <c:pt idx="39">
                  <c:v>2022-S39</c:v>
                </c:pt>
                <c:pt idx="40">
                  <c:v>2022-S40</c:v>
                </c:pt>
                <c:pt idx="41">
                  <c:v>2022-S41</c:v>
                </c:pt>
                <c:pt idx="42">
                  <c:v>2022-S42</c:v>
                </c:pt>
                <c:pt idx="43">
                  <c:v>2022-S43</c:v>
                </c:pt>
                <c:pt idx="44">
                  <c:v>2022-S44</c:v>
                </c:pt>
                <c:pt idx="45">
                  <c:v>2022-S45</c:v>
                </c:pt>
                <c:pt idx="46">
                  <c:v>2022-S46</c:v>
                </c:pt>
                <c:pt idx="47">
                  <c:v>2022-S47</c:v>
                </c:pt>
                <c:pt idx="48">
                  <c:v>2022-S48</c:v>
                </c:pt>
                <c:pt idx="49">
                  <c:v>2022-S49</c:v>
                </c:pt>
                <c:pt idx="50">
                  <c:v>2022-S50</c:v>
                </c:pt>
                <c:pt idx="51">
                  <c:v>2022-S51</c:v>
                </c:pt>
                <c:pt idx="52">
                  <c:v>2022-S52</c:v>
                </c:pt>
                <c:pt idx="53">
                  <c:v>2023-S01</c:v>
                </c:pt>
                <c:pt idx="54">
                  <c:v>2023-S02</c:v>
                </c:pt>
                <c:pt idx="55">
                  <c:v>2023-S03</c:v>
                </c:pt>
                <c:pt idx="56">
                  <c:v>2023-S04</c:v>
                </c:pt>
                <c:pt idx="57">
                  <c:v>2023-S05</c:v>
                </c:pt>
                <c:pt idx="58">
                  <c:v>2023-S06</c:v>
                </c:pt>
                <c:pt idx="59">
                  <c:v>2023-S07</c:v>
                </c:pt>
                <c:pt idx="60">
                  <c:v>2023-S08</c:v>
                </c:pt>
                <c:pt idx="61">
                  <c:v>2023-S09</c:v>
                </c:pt>
                <c:pt idx="62">
                  <c:v>2023-S10</c:v>
                </c:pt>
                <c:pt idx="63">
                  <c:v>2023-S11</c:v>
                </c:pt>
                <c:pt idx="64">
                  <c:v>2023-S12</c:v>
                </c:pt>
                <c:pt idx="65">
                  <c:v>2023-S13</c:v>
                </c:pt>
                <c:pt idx="66">
                  <c:v>2023-S14</c:v>
                </c:pt>
                <c:pt idx="67">
                  <c:v>2023-S15</c:v>
                </c:pt>
                <c:pt idx="68">
                  <c:v>2023-S16</c:v>
                </c:pt>
                <c:pt idx="69">
                  <c:v>2023-S17</c:v>
                </c:pt>
                <c:pt idx="70">
                  <c:v>2023-S18</c:v>
                </c:pt>
                <c:pt idx="71">
                  <c:v>2023-S19</c:v>
                </c:pt>
                <c:pt idx="72">
                  <c:v>2023-S20</c:v>
                </c:pt>
                <c:pt idx="73">
                  <c:v>2023-S21</c:v>
                </c:pt>
                <c:pt idx="74">
                  <c:v>2023-S22</c:v>
                </c:pt>
                <c:pt idx="75">
                  <c:v>2023-S23</c:v>
                </c:pt>
                <c:pt idx="76">
                  <c:v>2023-S24</c:v>
                </c:pt>
                <c:pt idx="77">
                  <c:v>2023-S25</c:v>
                </c:pt>
                <c:pt idx="78">
                  <c:v>2023-S26</c:v>
                </c:pt>
                <c:pt idx="79">
                  <c:v>2023-S27</c:v>
                </c:pt>
                <c:pt idx="80">
                  <c:v>2023-S28</c:v>
                </c:pt>
                <c:pt idx="81">
                  <c:v>2023-S29</c:v>
                </c:pt>
                <c:pt idx="82">
                  <c:v>2023-S30</c:v>
                </c:pt>
                <c:pt idx="83">
                  <c:v>2023-S31</c:v>
                </c:pt>
                <c:pt idx="84">
                  <c:v>2023-S32</c:v>
                </c:pt>
                <c:pt idx="85">
                  <c:v>2023-S33</c:v>
                </c:pt>
                <c:pt idx="86">
                  <c:v>2023-S34</c:v>
                </c:pt>
                <c:pt idx="87">
                  <c:v>2023-S35</c:v>
                </c:pt>
                <c:pt idx="88">
                  <c:v>2023-S36</c:v>
                </c:pt>
                <c:pt idx="89">
                  <c:v>2023-S37</c:v>
                </c:pt>
                <c:pt idx="90">
                  <c:v>2023-S38</c:v>
                </c:pt>
                <c:pt idx="91">
                  <c:v>2023-S39</c:v>
                </c:pt>
                <c:pt idx="92">
                  <c:v>2023-S40</c:v>
                </c:pt>
                <c:pt idx="93">
                  <c:v>2023-S41</c:v>
                </c:pt>
                <c:pt idx="94">
                  <c:v>2023-S42</c:v>
                </c:pt>
                <c:pt idx="95">
                  <c:v>2023-S43</c:v>
                </c:pt>
                <c:pt idx="96">
                  <c:v>2023-S44</c:v>
                </c:pt>
                <c:pt idx="97">
                  <c:v>2023-S45</c:v>
                </c:pt>
                <c:pt idx="98">
                  <c:v>2023-S46</c:v>
                </c:pt>
                <c:pt idx="99">
                  <c:v>2023-S47</c:v>
                </c:pt>
                <c:pt idx="100">
                  <c:v>2023-S48</c:v>
                </c:pt>
                <c:pt idx="101">
                  <c:v>2023-S49</c:v>
                </c:pt>
                <c:pt idx="102">
                  <c:v>2023-S50</c:v>
                </c:pt>
                <c:pt idx="103">
                  <c:v>2023-S51</c:v>
                </c:pt>
                <c:pt idx="104">
                  <c:v>2023-S52</c:v>
                </c:pt>
                <c:pt idx="105">
                  <c:v>2024-S01</c:v>
                </c:pt>
                <c:pt idx="106">
                  <c:v>2024-S02</c:v>
                </c:pt>
                <c:pt idx="107">
                  <c:v>2024-S03</c:v>
                </c:pt>
                <c:pt idx="108">
                  <c:v>2024-S04</c:v>
                </c:pt>
                <c:pt idx="109">
                  <c:v>2024-S05</c:v>
                </c:pt>
                <c:pt idx="110">
                  <c:v>2024-S06</c:v>
                </c:pt>
                <c:pt idx="111">
                  <c:v>2024-S07</c:v>
                </c:pt>
                <c:pt idx="112">
                  <c:v>2024-S08</c:v>
                </c:pt>
                <c:pt idx="113">
                  <c:v>2024-S09</c:v>
                </c:pt>
                <c:pt idx="114">
                  <c:v>2024-S10</c:v>
                </c:pt>
                <c:pt idx="115">
                  <c:v>2024-S11</c:v>
                </c:pt>
                <c:pt idx="116">
                  <c:v>2024-S12</c:v>
                </c:pt>
                <c:pt idx="117">
                  <c:v>2024-S13</c:v>
                </c:pt>
                <c:pt idx="118">
                  <c:v>2024-S14</c:v>
                </c:pt>
                <c:pt idx="119">
                  <c:v>2024-S15</c:v>
                </c:pt>
                <c:pt idx="120">
                  <c:v>2024-S16</c:v>
                </c:pt>
                <c:pt idx="121">
                  <c:v>2024-S17</c:v>
                </c:pt>
                <c:pt idx="122">
                  <c:v>2024-S18</c:v>
                </c:pt>
                <c:pt idx="123">
                  <c:v>2024-S19</c:v>
                </c:pt>
                <c:pt idx="124">
                  <c:v>2024-S20</c:v>
                </c:pt>
                <c:pt idx="125">
                  <c:v>2024-S21</c:v>
                </c:pt>
                <c:pt idx="126">
                  <c:v>2024-S22</c:v>
                </c:pt>
                <c:pt idx="127">
                  <c:v>2024-S23</c:v>
                </c:pt>
                <c:pt idx="128">
                  <c:v>2024-S24</c:v>
                </c:pt>
                <c:pt idx="129">
                  <c:v>2024-S25</c:v>
                </c:pt>
                <c:pt idx="130">
                  <c:v>2024-S26</c:v>
                </c:pt>
                <c:pt idx="131">
                  <c:v>2024-S27</c:v>
                </c:pt>
                <c:pt idx="132">
                  <c:v>2024-S28</c:v>
                </c:pt>
                <c:pt idx="133">
                  <c:v>2024-S29</c:v>
                </c:pt>
                <c:pt idx="134">
                  <c:v>2024-S30</c:v>
                </c:pt>
                <c:pt idx="135">
                  <c:v>2024-S31</c:v>
                </c:pt>
                <c:pt idx="136">
                  <c:v>2024-S32</c:v>
                </c:pt>
                <c:pt idx="137">
                  <c:v>2024-S33</c:v>
                </c:pt>
                <c:pt idx="138">
                  <c:v>2024-S34</c:v>
                </c:pt>
                <c:pt idx="139">
                  <c:v>2024-S35</c:v>
                </c:pt>
                <c:pt idx="140">
                  <c:v>2024-S36</c:v>
                </c:pt>
                <c:pt idx="141">
                  <c:v>2024-S37</c:v>
                </c:pt>
                <c:pt idx="142">
                  <c:v>2024-S38</c:v>
                </c:pt>
                <c:pt idx="143">
                  <c:v>2024-S39</c:v>
                </c:pt>
                <c:pt idx="144">
                  <c:v>2024-S40</c:v>
                </c:pt>
                <c:pt idx="145">
                  <c:v>2024-S41</c:v>
                </c:pt>
                <c:pt idx="146">
                  <c:v>2024-S42</c:v>
                </c:pt>
                <c:pt idx="147">
                  <c:v>2024-S43</c:v>
                </c:pt>
                <c:pt idx="148">
                  <c:v>2024-S44</c:v>
                </c:pt>
                <c:pt idx="149">
                  <c:v>2024-S45</c:v>
                </c:pt>
                <c:pt idx="150">
                  <c:v>2024-S46</c:v>
                </c:pt>
                <c:pt idx="151">
                  <c:v>2024-S47</c:v>
                </c:pt>
                <c:pt idx="152">
                  <c:v>2024-S48</c:v>
                </c:pt>
                <c:pt idx="153">
                  <c:v>2024-S49</c:v>
                </c:pt>
                <c:pt idx="154">
                  <c:v>2024-S50</c:v>
                </c:pt>
                <c:pt idx="155">
                  <c:v>2024-S51</c:v>
                </c:pt>
                <c:pt idx="156">
                  <c:v>2024-S52</c:v>
                </c:pt>
                <c:pt idx="157">
                  <c:v>2025-S01</c:v>
                </c:pt>
                <c:pt idx="158">
                  <c:v>2025-S02</c:v>
                </c:pt>
                <c:pt idx="159">
                  <c:v>2025-S03</c:v>
                </c:pt>
                <c:pt idx="160">
                  <c:v>2025-S04</c:v>
                </c:pt>
                <c:pt idx="161">
                  <c:v>2025-S05</c:v>
                </c:pt>
                <c:pt idx="162">
                  <c:v>2025-S06</c:v>
                </c:pt>
                <c:pt idx="163">
                  <c:v>2025-S07</c:v>
                </c:pt>
                <c:pt idx="164">
                  <c:v>2025-S08</c:v>
                </c:pt>
                <c:pt idx="165">
                  <c:v>2025-S09</c:v>
                </c:pt>
                <c:pt idx="166">
                  <c:v>2025-S10</c:v>
                </c:pt>
                <c:pt idx="167">
                  <c:v>2025-S11</c:v>
                </c:pt>
                <c:pt idx="168">
                  <c:v>2025-S12</c:v>
                </c:pt>
                <c:pt idx="169">
                  <c:v>2025-S13</c:v>
                </c:pt>
                <c:pt idx="170">
                  <c:v>2025-S14</c:v>
                </c:pt>
                <c:pt idx="171">
                  <c:v>2025-S15</c:v>
                </c:pt>
                <c:pt idx="172">
                  <c:v>2025-S16</c:v>
                </c:pt>
                <c:pt idx="173">
                  <c:v>2025-S17</c:v>
                </c:pt>
                <c:pt idx="174">
                  <c:v>2025-S18</c:v>
                </c:pt>
                <c:pt idx="175">
                  <c:v>2025-S19</c:v>
                </c:pt>
                <c:pt idx="176">
                  <c:v>2025-S20</c:v>
                </c:pt>
                <c:pt idx="177">
                  <c:v>2025-S21</c:v>
                </c:pt>
                <c:pt idx="178">
                  <c:v>2025-S22</c:v>
                </c:pt>
                <c:pt idx="179">
                  <c:v>2025-S23</c:v>
                </c:pt>
                <c:pt idx="180">
                  <c:v>2025-S24</c:v>
                </c:pt>
                <c:pt idx="181">
                  <c:v>2025-S25</c:v>
                </c:pt>
                <c:pt idx="182">
                  <c:v>2025-S26</c:v>
                </c:pt>
                <c:pt idx="183">
                  <c:v>2025-S27</c:v>
                </c:pt>
                <c:pt idx="184">
                  <c:v>2025-S28</c:v>
                </c:pt>
                <c:pt idx="185">
                  <c:v>2025-S29</c:v>
                </c:pt>
                <c:pt idx="186">
                  <c:v>2025-S30</c:v>
                </c:pt>
                <c:pt idx="187">
                  <c:v>2025-S31</c:v>
                </c:pt>
                <c:pt idx="188">
                  <c:v>2025-S32</c:v>
                </c:pt>
                <c:pt idx="189">
                  <c:v>2025-S33</c:v>
                </c:pt>
                <c:pt idx="190">
                  <c:v>2025-S34</c:v>
                </c:pt>
                <c:pt idx="191">
                  <c:v>2025-S35</c:v>
                </c:pt>
                <c:pt idx="192">
                  <c:v>2025-S36</c:v>
                </c:pt>
                <c:pt idx="193">
                  <c:v>2025-S37</c:v>
                </c:pt>
                <c:pt idx="194">
                  <c:v>2025-S38</c:v>
                </c:pt>
                <c:pt idx="195">
                  <c:v>2025-S39</c:v>
                </c:pt>
                <c:pt idx="196">
                  <c:v>2025-S40</c:v>
                </c:pt>
                <c:pt idx="197">
                  <c:v>2025-S41</c:v>
                </c:pt>
                <c:pt idx="198">
                  <c:v>2025-S42</c:v>
                </c:pt>
                <c:pt idx="199">
                  <c:v>2025-S43</c:v>
                </c:pt>
                <c:pt idx="200">
                  <c:v>2025-S44</c:v>
                </c:pt>
                <c:pt idx="201">
                  <c:v>2025-S45</c:v>
                </c:pt>
                <c:pt idx="202">
                  <c:v>2025-S46</c:v>
                </c:pt>
                <c:pt idx="203">
                  <c:v>2025-S47</c:v>
                </c:pt>
                <c:pt idx="204">
                  <c:v>2025-S48</c:v>
                </c:pt>
                <c:pt idx="205">
                  <c:v>2025-S49</c:v>
                </c:pt>
                <c:pt idx="206">
                  <c:v>2025-S50</c:v>
                </c:pt>
                <c:pt idx="207">
                  <c:v>2025-S51</c:v>
                </c:pt>
                <c:pt idx="208">
                  <c:v>2025-S52</c:v>
                </c:pt>
                <c:pt idx="209">
                  <c:v>2026-S01</c:v>
                </c:pt>
                <c:pt idx="210">
                  <c:v>2026-S02</c:v>
                </c:pt>
                <c:pt idx="211">
                  <c:v>2026-S03</c:v>
                </c:pt>
                <c:pt idx="212">
                  <c:v>2026-S04</c:v>
                </c:pt>
                <c:pt idx="213">
                  <c:v>2026-S05</c:v>
                </c:pt>
                <c:pt idx="214">
                  <c:v>2026-S06</c:v>
                </c:pt>
                <c:pt idx="215">
                  <c:v>2026-S07</c:v>
                </c:pt>
                <c:pt idx="216">
                  <c:v>2026-S08</c:v>
                </c:pt>
                <c:pt idx="217">
                  <c:v>2026-S09</c:v>
                </c:pt>
                <c:pt idx="218">
                  <c:v>2026-S10</c:v>
                </c:pt>
                <c:pt idx="219">
                  <c:v>2026-S11</c:v>
                </c:pt>
                <c:pt idx="220">
                  <c:v>2026-S12</c:v>
                </c:pt>
                <c:pt idx="221">
                  <c:v>2026-S13</c:v>
                </c:pt>
                <c:pt idx="222">
                  <c:v>2026-S14</c:v>
                </c:pt>
                <c:pt idx="223">
                  <c:v>2026-S15</c:v>
                </c:pt>
                <c:pt idx="224">
                  <c:v>2026-S16</c:v>
                </c:pt>
                <c:pt idx="225">
                  <c:v>2026-S17</c:v>
                </c:pt>
                <c:pt idx="226">
                  <c:v>2026-S18</c:v>
                </c:pt>
                <c:pt idx="227">
                  <c:v>2026-S19</c:v>
                </c:pt>
                <c:pt idx="228">
                  <c:v>2026-S20</c:v>
                </c:pt>
                <c:pt idx="229">
                  <c:v>2026-S21</c:v>
                </c:pt>
                <c:pt idx="230">
                  <c:v>2026-S22</c:v>
                </c:pt>
                <c:pt idx="231">
                  <c:v>2026-S23</c:v>
                </c:pt>
                <c:pt idx="232">
                  <c:v>2026-S24</c:v>
                </c:pt>
                <c:pt idx="233">
                  <c:v>2026-S25</c:v>
                </c:pt>
                <c:pt idx="234">
                  <c:v>2026-S26</c:v>
                </c:pt>
                <c:pt idx="235">
                  <c:v>2026-S27</c:v>
                </c:pt>
                <c:pt idx="236">
                  <c:v>2026-S28</c:v>
                </c:pt>
                <c:pt idx="237">
                  <c:v>2026-S29</c:v>
                </c:pt>
              </c:strCache>
            </c:strRef>
          </c:cat>
          <c:val>
            <c:numRef>
              <c:f>Análise_À_Vista!$K$3:$K$240</c:f>
              <c:numCache>
                <c:formatCode>0.00%</c:formatCode>
                <c:ptCount val="2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-5.2078014908608708E-3</c:v>
                </c:pt>
                <c:pt idx="5">
                  <c:v>-9.802920453385152E-3</c:v>
                </c:pt>
                <c:pt idx="6">
                  <c:v>-1.9912182170938451E-2</c:v>
                </c:pt>
                <c:pt idx="7">
                  <c:v>-1.4398039415909432E-2</c:v>
                </c:pt>
                <c:pt idx="8">
                  <c:v>-6.0247115286429422E-3</c:v>
                </c:pt>
                <c:pt idx="9">
                  <c:v>0</c:v>
                </c:pt>
                <c:pt idx="10">
                  <c:v>0</c:v>
                </c:pt>
                <c:pt idx="11">
                  <c:v>-1.2223291626564102E-2</c:v>
                </c:pt>
                <c:pt idx="12">
                  <c:v>-7.4494706448508266E-2</c:v>
                </c:pt>
                <c:pt idx="13">
                  <c:v>-0.11886429258902799</c:v>
                </c:pt>
                <c:pt idx="14">
                  <c:v>-0.14436958614051973</c:v>
                </c:pt>
                <c:pt idx="15">
                  <c:v>-0.15659287776708383</c:v>
                </c:pt>
                <c:pt idx="16">
                  <c:v>-0.14619826756496643</c:v>
                </c:pt>
                <c:pt idx="17">
                  <c:v>-0.15428296438883543</c:v>
                </c:pt>
                <c:pt idx="18">
                  <c:v>-0.170837343599615</c:v>
                </c:pt>
                <c:pt idx="19">
                  <c:v>-0.15332050048123202</c:v>
                </c:pt>
                <c:pt idx="20">
                  <c:v>-0.1527430221366699</c:v>
                </c:pt>
                <c:pt idx="21">
                  <c:v>-0.16419634263715113</c:v>
                </c:pt>
                <c:pt idx="22">
                  <c:v>-0.18383060635226187</c:v>
                </c:pt>
                <c:pt idx="23">
                  <c:v>-0.17795957651588074</c:v>
                </c:pt>
                <c:pt idx="24">
                  <c:v>-0.15861405197305103</c:v>
                </c:pt>
                <c:pt idx="25">
                  <c:v>-0.18431183830606357</c:v>
                </c:pt>
                <c:pt idx="26">
                  <c:v>-0.19884504331087594</c:v>
                </c:pt>
                <c:pt idx="27">
                  <c:v>-0.20731472569778639</c:v>
                </c:pt>
                <c:pt idx="28">
                  <c:v>-0.20731472569778639</c:v>
                </c:pt>
                <c:pt idx="29">
                  <c:v>-0.2281039461020212</c:v>
                </c:pt>
                <c:pt idx="30">
                  <c:v>-0.20461982675649668</c:v>
                </c:pt>
                <c:pt idx="31">
                  <c:v>-0.21029836381135714</c:v>
                </c:pt>
                <c:pt idx="32">
                  <c:v>-0.21645813282001933</c:v>
                </c:pt>
                <c:pt idx="33">
                  <c:v>-0.21174205967276227</c:v>
                </c:pt>
                <c:pt idx="34">
                  <c:v>-0.19345524542829651</c:v>
                </c:pt>
                <c:pt idx="35">
                  <c:v>-0.19865255052935515</c:v>
                </c:pt>
                <c:pt idx="36">
                  <c:v>-0.19201154956689126</c:v>
                </c:pt>
                <c:pt idx="37">
                  <c:v>-0.19133782483156889</c:v>
                </c:pt>
                <c:pt idx="38">
                  <c:v>-0.18594802694898949</c:v>
                </c:pt>
                <c:pt idx="39">
                  <c:v>-0.1901828681424447</c:v>
                </c:pt>
                <c:pt idx="40">
                  <c:v>-0.19634263715110689</c:v>
                </c:pt>
                <c:pt idx="41">
                  <c:v>-0.18325312800769977</c:v>
                </c:pt>
                <c:pt idx="42">
                  <c:v>-0.18113570741097215</c:v>
                </c:pt>
                <c:pt idx="43">
                  <c:v>-0.17853705486044283</c:v>
                </c:pt>
                <c:pt idx="44">
                  <c:v>-0.18007699711260836</c:v>
                </c:pt>
                <c:pt idx="45">
                  <c:v>-0.19153031761308956</c:v>
                </c:pt>
                <c:pt idx="46">
                  <c:v>-0.18113570741097215</c:v>
                </c:pt>
                <c:pt idx="47">
                  <c:v>-0.1726660250240617</c:v>
                </c:pt>
                <c:pt idx="48">
                  <c:v>-0.17670837343599613</c:v>
                </c:pt>
                <c:pt idx="49">
                  <c:v>-0.170837343599615</c:v>
                </c:pt>
                <c:pt idx="50">
                  <c:v>-0.17179980750721854</c:v>
                </c:pt>
                <c:pt idx="51">
                  <c:v>-0.17430221366698748</c:v>
                </c:pt>
                <c:pt idx="52">
                  <c:v>-0.17141482194417709</c:v>
                </c:pt>
                <c:pt idx="53">
                  <c:v>-0.16005774783445628</c:v>
                </c:pt>
                <c:pt idx="54">
                  <c:v>-0.16852743022136674</c:v>
                </c:pt>
                <c:pt idx="55">
                  <c:v>-0.17776708373435995</c:v>
                </c:pt>
                <c:pt idx="56">
                  <c:v>-0.18238691049085662</c:v>
                </c:pt>
                <c:pt idx="57">
                  <c:v>-0.1807507218479307</c:v>
                </c:pt>
                <c:pt idx="58">
                  <c:v>-0.1736284889316651</c:v>
                </c:pt>
                <c:pt idx="59">
                  <c:v>-0.17487969201154957</c:v>
                </c:pt>
                <c:pt idx="60">
                  <c:v>-0.16843118383060635</c:v>
                </c:pt>
                <c:pt idx="61">
                  <c:v>-0.170837343599615</c:v>
                </c:pt>
                <c:pt idx="62">
                  <c:v>-0.17603464870067378</c:v>
                </c:pt>
                <c:pt idx="63">
                  <c:v>-0.18517805582290672</c:v>
                </c:pt>
                <c:pt idx="64">
                  <c:v>-0.19153031761308956</c:v>
                </c:pt>
                <c:pt idx="65">
                  <c:v>-0.20692974013474494</c:v>
                </c:pt>
                <c:pt idx="66">
                  <c:v>-0.23589990375360928</c:v>
                </c:pt>
                <c:pt idx="67">
                  <c:v>-0.27536092396535128</c:v>
                </c:pt>
                <c:pt idx="68">
                  <c:v>-0.32521655437921082</c:v>
                </c:pt>
                <c:pt idx="69">
                  <c:v>-0.36852743022136675</c:v>
                </c:pt>
                <c:pt idx="70">
                  <c:v>-0.40567853705486046</c:v>
                </c:pt>
                <c:pt idx="71">
                  <c:v>-0.43378248315688167</c:v>
                </c:pt>
                <c:pt idx="72">
                  <c:v>-0.46265640038498562</c:v>
                </c:pt>
                <c:pt idx="73">
                  <c:v>-0.47228103946102024</c:v>
                </c:pt>
                <c:pt idx="74">
                  <c:v>-0.48383060635226177</c:v>
                </c:pt>
                <c:pt idx="75">
                  <c:v>-0.48248315688161691</c:v>
                </c:pt>
                <c:pt idx="76">
                  <c:v>-0.47574590952839274</c:v>
                </c:pt>
                <c:pt idx="77">
                  <c:v>-0.44744947064485086</c:v>
                </c:pt>
                <c:pt idx="78">
                  <c:v>-0.46554379210779595</c:v>
                </c:pt>
                <c:pt idx="79">
                  <c:v>-0.46304138594802696</c:v>
                </c:pt>
                <c:pt idx="80">
                  <c:v>-0.47526467757459095</c:v>
                </c:pt>
                <c:pt idx="81">
                  <c:v>-0.47006737247353225</c:v>
                </c:pt>
                <c:pt idx="82">
                  <c:v>-0.48392685274302216</c:v>
                </c:pt>
                <c:pt idx="83">
                  <c:v>-0.48864292589027913</c:v>
                </c:pt>
                <c:pt idx="84">
                  <c:v>-0.48739172281039467</c:v>
                </c:pt>
                <c:pt idx="85">
                  <c:v>-0.48363811357074116</c:v>
                </c:pt>
                <c:pt idx="86">
                  <c:v>-0.48565928777670841</c:v>
                </c:pt>
                <c:pt idx="87">
                  <c:v>-0.48200192492781524</c:v>
                </c:pt>
                <c:pt idx="88">
                  <c:v>-0.48200192492781524</c:v>
                </c:pt>
                <c:pt idx="89">
                  <c:v>-0.48200192492781524</c:v>
                </c:pt>
                <c:pt idx="90">
                  <c:v>-0.46361886429258908</c:v>
                </c:pt>
                <c:pt idx="91">
                  <c:v>-0.44100096246390763</c:v>
                </c:pt>
                <c:pt idx="92">
                  <c:v>-0.42290664100096248</c:v>
                </c:pt>
                <c:pt idx="93">
                  <c:v>-0.42810394610202118</c:v>
                </c:pt>
                <c:pt idx="94">
                  <c:v>-0.43214629451395575</c:v>
                </c:pt>
                <c:pt idx="95">
                  <c:v>-0.4297401347449471</c:v>
                </c:pt>
                <c:pt idx="96">
                  <c:v>-0.42204042348411941</c:v>
                </c:pt>
                <c:pt idx="97">
                  <c:v>-0.42569778633301253</c:v>
                </c:pt>
                <c:pt idx="98">
                  <c:v>-0.41520692974013479</c:v>
                </c:pt>
                <c:pt idx="99">
                  <c:v>-0.40798845043310883</c:v>
                </c:pt>
                <c:pt idx="100">
                  <c:v>-0.39085659287776714</c:v>
                </c:pt>
                <c:pt idx="101">
                  <c:v>-0.35264677574590952</c:v>
                </c:pt>
                <c:pt idx="102">
                  <c:v>-0.34975938402309914</c:v>
                </c:pt>
                <c:pt idx="103">
                  <c:v>-0.34975938402309914</c:v>
                </c:pt>
                <c:pt idx="104">
                  <c:v>-0.33387872954764208</c:v>
                </c:pt>
                <c:pt idx="105">
                  <c:v>-0.32512030798845043</c:v>
                </c:pt>
                <c:pt idx="106">
                  <c:v>-0.36400384985563045</c:v>
                </c:pt>
                <c:pt idx="107">
                  <c:v>-0.40057747834456209</c:v>
                </c:pt>
                <c:pt idx="108">
                  <c:v>-0.40182868142444661</c:v>
                </c:pt>
                <c:pt idx="109">
                  <c:v>-0.3963426371511069</c:v>
                </c:pt>
                <c:pt idx="110">
                  <c:v>-0.40163618864292588</c:v>
                </c:pt>
                <c:pt idx="111">
                  <c:v>-0.39778633301251204</c:v>
                </c:pt>
                <c:pt idx="112">
                  <c:v>-0.39258902791145334</c:v>
                </c:pt>
                <c:pt idx="113">
                  <c:v>-0.39355149181905685</c:v>
                </c:pt>
                <c:pt idx="114">
                  <c:v>-0.39461020211742065</c:v>
                </c:pt>
                <c:pt idx="115">
                  <c:v>-0.39489894128970171</c:v>
                </c:pt>
                <c:pt idx="116">
                  <c:v>-0.39749759384023103</c:v>
                </c:pt>
                <c:pt idx="117">
                  <c:v>-0.40606352261790185</c:v>
                </c:pt>
                <c:pt idx="118">
                  <c:v>-0.41655437921077965</c:v>
                </c:pt>
                <c:pt idx="119">
                  <c:v>-0.42540904716073147</c:v>
                </c:pt>
                <c:pt idx="120">
                  <c:v>-0.43445620789220407</c:v>
                </c:pt>
                <c:pt idx="121">
                  <c:v>-0.44071222329162663</c:v>
                </c:pt>
                <c:pt idx="122">
                  <c:v>-0.43984600577478344</c:v>
                </c:pt>
                <c:pt idx="123">
                  <c:v>-0.43378248315688167</c:v>
                </c:pt>
                <c:pt idx="124">
                  <c:v>-0.42560153994225219</c:v>
                </c:pt>
                <c:pt idx="125">
                  <c:v>-0.42569778633301253</c:v>
                </c:pt>
                <c:pt idx="126">
                  <c:v>-0.43262752646775748</c:v>
                </c:pt>
                <c:pt idx="127">
                  <c:v>-0.43965351299326277</c:v>
                </c:pt>
                <c:pt idx="128">
                  <c:v>-0.44446583253128014</c:v>
                </c:pt>
                <c:pt idx="129">
                  <c:v>-0.44889316650625605</c:v>
                </c:pt>
                <c:pt idx="130">
                  <c:v>-0.44831568816169398</c:v>
                </c:pt>
                <c:pt idx="131">
                  <c:v>-0.45967276227141485</c:v>
                </c:pt>
                <c:pt idx="132">
                  <c:v>-0.45765158806544753</c:v>
                </c:pt>
                <c:pt idx="133">
                  <c:v>-0.44600577478344561</c:v>
                </c:pt>
                <c:pt idx="134">
                  <c:v>-0.43743984600577479</c:v>
                </c:pt>
                <c:pt idx="135">
                  <c:v>-0.4307988450433109</c:v>
                </c:pt>
                <c:pt idx="136">
                  <c:v>-0.43147256977863335</c:v>
                </c:pt>
                <c:pt idx="137">
                  <c:v>-0.424157844080847</c:v>
                </c:pt>
                <c:pt idx="138">
                  <c:v>-0.42502406159769007</c:v>
                </c:pt>
                <c:pt idx="139">
                  <c:v>-0.41578440808469685</c:v>
                </c:pt>
                <c:pt idx="140">
                  <c:v>-0.40009624639076041</c:v>
                </c:pt>
                <c:pt idx="141">
                  <c:v>-0.39923002887391723</c:v>
                </c:pt>
                <c:pt idx="142">
                  <c:v>-0.39663137632338791</c:v>
                </c:pt>
                <c:pt idx="143">
                  <c:v>-0.38113570741097214</c:v>
                </c:pt>
                <c:pt idx="144">
                  <c:v>-0.36429258902791151</c:v>
                </c:pt>
                <c:pt idx="145">
                  <c:v>-0.34735322425409049</c:v>
                </c:pt>
                <c:pt idx="146">
                  <c:v>-0.32858517805582288</c:v>
                </c:pt>
                <c:pt idx="147">
                  <c:v>-0.30538979788257942</c:v>
                </c:pt>
                <c:pt idx="148">
                  <c:v>-0.29807507218479307</c:v>
                </c:pt>
                <c:pt idx="149">
                  <c:v>-0.28248315688161701</c:v>
                </c:pt>
                <c:pt idx="150">
                  <c:v>-0.28142444658325322</c:v>
                </c:pt>
                <c:pt idx="151">
                  <c:v>-0.29278152069297403</c:v>
                </c:pt>
                <c:pt idx="152">
                  <c:v>-0.30038498556304144</c:v>
                </c:pt>
                <c:pt idx="153">
                  <c:v>-0.29220404234841191</c:v>
                </c:pt>
                <c:pt idx="154">
                  <c:v>-0.29846005774783446</c:v>
                </c:pt>
                <c:pt idx="155">
                  <c:v>-0.29894128970163619</c:v>
                </c:pt>
                <c:pt idx="156">
                  <c:v>-0.30038498556304144</c:v>
                </c:pt>
                <c:pt idx="157">
                  <c:v>-0.29605389797882581</c:v>
                </c:pt>
                <c:pt idx="158">
                  <c:v>-0.27892204042348412</c:v>
                </c:pt>
                <c:pt idx="159">
                  <c:v>-0.2892204042348413</c:v>
                </c:pt>
                <c:pt idx="160">
                  <c:v>-0.2873917228103946</c:v>
                </c:pt>
                <c:pt idx="161">
                  <c:v>-0.27507218479307038</c:v>
                </c:pt>
                <c:pt idx="162">
                  <c:v>-0.25640038498556306</c:v>
                </c:pt>
                <c:pt idx="163">
                  <c:v>-0.23368623676612127</c:v>
                </c:pt>
                <c:pt idx="164">
                  <c:v>-0.18334937439846016</c:v>
                </c:pt>
                <c:pt idx="165">
                  <c:v>-0.15794032723772869</c:v>
                </c:pt>
                <c:pt idx="166">
                  <c:v>-0.14802694898941299</c:v>
                </c:pt>
                <c:pt idx="167">
                  <c:v>-0.13128007699711261</c:v>
                </c:pt>
                <c:pt idx="168">
                  <c:v>-0.13628488931665073</c:v>
                </c:pt>
                <c:pt idx="169">
                  <c:v>-0.15582290664100107</c:v>
                </c:pt>
                <c:pt idx="170">
                  <c:v>-0.18354186717998081</c:v>
                </c:pt>
                <c:pt idx="171">
                  <c:v>-0.17901828681424453</c:v>
                </c:pt>
                <c:pt idx="172">
                  <c:v>-0.19643888354186728</c:v>
                </c:pt>
                <c:pt idx="173">
                  <c:v>-0.22531280076997121</c:v>
                </c:pt>
                <c:pt idx="174">
                  <c:v>-0.23917228103946109</c:v>
                </c:pt>
                <c:pt idx="175">
                  <c:v>-0.28450433108758422</c:v>
                </c:pt>
                <c:pt idx="176">
                  <c:v>-0.30048123195380172</c:v>
                </c:pt>
                <c:pt idx="177">
                  <c:v>-0.31434071222329174</c:v>
                </c:pt>
                <c:pt idx="178">
                  <c:v>-0.33734359961501453</c:v>
                </c:pt>
                <c:pt idx="179">
                  <c:v>-0.33792107795957649</c:v>
                </c:pt>
                <c:pt idx="180">
                  <c:v>-0.35033686236766126</c:v>
                </c:pt>
                <c:pt idx="181">
                  <c:v>-0.34138594802694894</c:v>
                </c:pt>
                <c:pt idx="182">
                  <c:v>-0.3549566891241579</c:v>
                </c:pt>
                <c:pt idx="183">
                  <c:v>-0.38941289701636195</c:v>
                </c:pt>
                <c:pt idx="184">
                  <c:v>-0.39624639076034657</c:v>
                </c:pt>
                <c:pt idx="185">
                  <c:v>-0.38825794032723776</c:v>
                </c:pt>
                <c:pt idx="186">
                  <c:v>-0.3869104908565929</c:v>
                </c:pt>
                <c:pt idx="187">
                  <c:v>-0.38402309913378252</c:v>
                </c:pt>
                <c:pt idx="188">
                  <c:v>-0.38739172281039463</c:v>
                </c:pt>
                <c:pt idx="189">
                  <c:v>-0.39047160731472574</c:v>
                </c:pt>
                <c:pt idx="190">
                  <c:v>-0.38094321462945152</c:v>
                </c:pt>
                <c:pt idx="191">
                  <c:v>-0.38075072184793068</c:v>
                </c:pt>
                <c:pt idx="192">
                  <c:v>-0.37613089509143416</c:v>
                </c:pt>
                <c:pt idx="193">
                  <c:v>-0.37362848893166511</c:v>
                </c:pt>
                <c:pt idx="194">
                  <c:v>-0.3768046198267565</c:v>
                </c:pt>
                <c:pt idx="195">
                  <c:v>-0.38055822906641007</c:v>
                </c:pt>
                <c:pt idx="196">
                  <c:v>-0.37507218479307025</c:v>
                </c:pt>
                <c:pt idx="197">
                  <c:v>-0.3729547641963426</c:v>
                </c:pt>
                <c:pt idx="198">
                  <c:v>-0.36968238691049093</c:v>
                </c:pt>
                <c:pt idx="199">
                  <c:v>-0.36756496631376334</c:v>
                </c:pt>
                <c:pt idx="200">
                  <c:v>-0.36063522617901828</c:v>
                </c:pt>
                <c:pt idx="201">
                  <c:v>-0.35216554379210779</c:v>
                </c:pt>
                <c:pt idx="202">
                  <c:v>-0.34918190567853702</c:v>
                </c:pt>
                <c:pt idx="203">
                  <c:v>-0.34725697786333021</c:v>
                </c:pt>
                <c:pt idx="204">
                  <c:v>-0.33551491819056783</c:v>
                </c:pt>
                <c:pt idx="205">
                  <c:v>-0.32483156881616937</c:v>
                </c:pt>
                <c:pt idx="206">
                  <c:v>-0.32906641000962472</c:v>
                </c:pt>
                <c:pt idx="207">
                  <c:v>-0.33137632338787298</c:v>
                </c:pt>
                <c:pt idx="208">
                  <c:v>-0.33147256977863337</c:v>
                </c:pt>
                <c:pt idx="209">
                  <c:v>-0.33224254090471617</c:v>
                </c:pt>
                <c:pt idx="210">
                  <c:v>-0.33743984600577481</c:v>
                </c:pt>
                <c:pt idx="211">
                  <c:v>-0.34436958614051971</c:v>
                </c:pt>
                <c:pt idx="212">
                  <c:v>-0.35813282001924934</c:v>
                </c:pt>
                <c:pt idx="213">
                  <c:v>-0.36313763233878732</c:v>
                </c:pt>
                <c:pt idx="214">
                  <c:v>-0.35428296438883544</c:v>
                </c:pt>
                <c:pt idx="215">
                  <c:v>-0.34417709335899904</c:v>
                </c:pt>
                <c:pt idx="216">
                  <c:v>-0.33570741097208862</c:v>
                </c:pt>
                <c:pt idx="217">
                  <c:v>-0.32868142444658327</c:v>
                </c:pt>
                <c:pt idx="218">
                  <c:v>-0.32021174205967284</c:v>
                </c:pt>
                <c:pt idx="219">
                  <c:v>-0.30606352261790193</c:v>
                </c:pt>
                <c:pt idx="220">
                  <c:v>-0.31424446583253129</c:v>
                </c:pt>
                <c:pt idx="221">
                  <c:v>-0.32348411934552451</c:v>
                </c:pt>
                <c:pt idx="222">
                  <c:v>-0.3274302213666988</c:v>
                </c:pt>
                <c:pt idx="223">
                  <c:v>-0.33801732435033688</c:v>
                </c:pt>
                <c:pt idx="224">
                  <c:v>-0.36044273339749761</c:v>
                </c:pt>
                <c:pt idx="225">
                  <c:v>-0.35832531280077001</c:v>
                </c:pt>
                <c:pt idx="226">
                  <c:v>-0.35466794995187689</c:v>
                </c:pt>
                <c:pt idx="227">
                  <c:v>-0.36554379210779597</c:v>
                </c:pt>
                <c:pt idx="228">
                  <c:v>-0.37131857555341685</c:v>
                </c:pt>
                <c:pt idx="229">
                  <c:v>-0.37064485081809434</c:v>
                </c:pt>
                <c:pt idx="230">
                  <c:v>-0.37670837343599611</c:v>
                </c:pt>
                <c:pt idx="231">
                  <c:v>-0.37882579403272376</c:v>
                </c:pt>
                <c:pt idx="232">
                  <c:v>-0.39393647738209819</c:v>
                </c:pt>
                <c:pt idx="233">
                  <c:v>-0.39326275264677579</c:v>
                </c:pt>
                <c:pt idx="234">
                  <c:v>-0.38979788257940334</c:v>
                </c:pt>
                <c:pt idx="235">
                  <c:v>-0.38402309913378252</c:v>
                </c:pt>
                <c:pt idx="236">
                  <c:v>-0.37805582290664097</c:v>
                </c:pt>
                <c:pt idx="237">
                  <c:v>-0.37497593840230997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D-4DB2-AE5B-28C0DCDBB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26991"/>
        <c:axId val="1092456927"/>
      </c:areaChart>
      <c:catAx>
        <c:axId val="1326626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56927"/>
        <c:crosses val="autoZero"/>
        <c:auto val="1"/>
        <c:lblAlgn val="ctr"/>
        <c:lblOffset val="100"/>
        <c:tickLblSkip val="8"/>
        <c:noMultiLvlLbl val="0"/>
      </c:catAx>
      <c:valAx>
        <c:axId val="109245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2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%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Análise_À_Vista!$M$3:$M$57</c:f>
              <c:strCache>
                <c:ptCount val="55"/>
                <c:pt idx="0">
                  <c:v>jan/2022</c:v>
                </c:pt>
                <c:pt idx="1">
                  <c:v>fev/2022</c:v>
                </c:pt>
                <c:pt idx="2">
                  <c:v>mar/2022</c:v>
                </c:pt>
                <c:pt idx="3">
                  <c:v>abr/2022</c:v>
                </c:pt>
                <c:pt idx="4">
                  <c:v>mai/2022</c:v>
                </c:pt>
                <c:pt idx="5">
                  <c:v>jun/2022</c:v>
                </c:pt>
                <c:pt idx="6">
                  <c:v>jul/2022</c:v>
                </c:pt>
                <c:pt idx="7">
                  <c:v>ago/2022</c:v>
                </c:pt>
                <c:pt idx="8">
                  <c:v>set/2022</c:v>
                </c:pt>
                <c:pt idx="9">
                  <c:v>out/2022</c:v>
                </c:pt>
                <c:pt idx="10">
                  <c:v>nov/2022</c:v>
                </c:pt>
                <c:pt idx="11">
                  <c:v>dez/2022</c:v>
                </c:pt>
                <c:pt idx="12">
                  <c:v>jan/2023</c:v>
                </c:pt>
                <c:pt idx="13">
                  <c:v>fev/2023</c:v>
                </c:pt>
                <c:pt idx="14">
                  <c:v>mar/2023</c:v>
                </c:pt>
                <c:pt idx="15">
                  <c:v>abr/2023</c:v>
                </c:pt>
                <c:pt idx="16">
                  <c:v>mai/2023</c:v>
                </c:pt>
                <c:pt idx="17">
                  <c:v>jun/2023</c:v>
                </c:pt>
                <c:pt idx="18">
                  <c:v>jul/2023</c:v>
                </c:pt>
                <c:pt idx="19">
                  <c:v>ago/2023</c:v>
                </c:pt>
                <c:pt idx="20">
                  <c:v>set/2023</c:v>
                </c:pt>
                <c:pt idx="21">
                  <c:v>out/2023</c:v>
                </c:pt>
                <c:pt idx="22">
                  <c:v>nov/2023</c:v>
                </c:pt>
                <c:pt idx="23">
                  <c:v>dez/2023</c:v>
                </c:pt>
                <c:pt idx="24">
                  <c:v>jan/2024</c:v>
                </c:pt>
                <c:pt idx="25">
                  <c:v>fev/2024</c:v>
                </c:pt>
                <c:pt idx="26">
                  <c:v>mar/2024</c:v>
                </c:pt>
                <c:pt idx="27">
                  <c:v>abr/2024</c:v>
                </c:pt>
                <c:pt idx="28">
                  <c:v>mai/2024</c:v>
                </c:pt>
                <c:pt idx="29">
                  <c:v>jun/2024</c:v>
                </c:pt>
                <c:pt idx="30">
                  <c:v>jul/2024</c:v>
                </c:pt>
                <c:pt idx="31">
                  <c:v>ago/2024</c:v>
                </c:pt>
                <c:pt idx="32">
                  <c:v>set/2024</c:v>
                </c:pt>
                <c:pt idx="33">
                  <c:v>out/2024</c:v>
                </c:pt>
                <c:pt idx="34">
                  <c:v>nov/2024</c:v>
                </c:pt>
                <c:pt idx="35">
                  <c:v>dez/2024</c:v>
                </c:pt>
                <c:pt idx="36">
                  <c:v>jan/2025</c:v>
                </c:pt>
                <c:pt idx="37">
                  <c:v>fev/2025</c:v>
                </c:pt>
                <c:pt idx="38">
                  <c:v>mar/2025</c:v>
                </c:pt>
                <c:pt idx="39">
                  <c:v>abr/2025</c:v>
                </c:pt>
                <c:pt idx="40">
                  <c:v>mai/2025</c:v>
                </c:pt>
                <c:pt idx="41">
                  <c:v>jun/2025</c:v>
                </c:pt>
                <c:pt idx="42">
                  <c:v>jul/2025</c:v>
                </c:pt>
                <c:pt idx="43">
                  <c:v>ago/2025</c:v>
                </c:pt>
                <c:pt idx="44">
                  <c:v>set/2025</c:v>
                </c:pt>
                <c:pt idx="45">
                  <c:v>out/2025</c:v>
                </c:pt>
                <c:pt idx="46">
                  <c:v>nov/2025</c:v>
                </c:pt>
                <c:pt idx="47">
                  <c:v>dez/2025</c:v>
                </c:pt>
                <c:pt idx="48">
                  <c:v>jan/2026</c:v>
                </c:pt>
                <c:pt idx="49">
                  <c:v>fev/2026</c:v>
                </c:pt>
                <c:pt idx="50">
                  <c:v>mar/2026</c:v>
                </c:pt>
                <c:pt idx="51">
                  <c:v>abr/2026</c:v>
                </c:pt>
                <c:pt idx="52">
                  <c:v>mai/2026</c:v>
                </c:pt>
                <c:pt idx="53">
                  <c:v>jun/2026</c:v>
                </c:pt>
                <c:pt idx="54">
                  <c:v>jul/2026</c:v>
                </c:pt>
              </c:strCache>
            </c:strRef>
          </c:cat>
          <c:val>
            <c:numRef>
              <c:f>Análise_À_Vista!$O$3:$O$57</c:f>
              <c:numCache>
                <c:formatCode>0.00%</c:formatCode>
                <c:ptCount val="55"/>
                <c:pt idx="0">
                  <c:v>0</c:v>
                </c:pt>
                <c:pt idx="1">
                  <c:v>-6.1601642710474615E-4</c:v>
                </c:pt>
                <c:pt idx="2">
                  <c:v>-5.444832545716044E-2</c:v>
                </c:pt>
                <c:pt idx="3">
                  <c:v>-4.1177748804867513E-2</c:v>
                </c:pt>
                <c:pt idx="4">
                  <c:v>-2.7762039660056689E-2</c:v>
                </c:pt>
                <c:pt idx="5">
                  <c:v>-3.0769230769230778E-2</c:v>
                </c:pt>
                <c:pt idx="6">
                  <c:v>-6.2530062530062056E-3</c:v>
                </c:pt>
                <c:pt idx="7">
                  <c:v>1.2342691190706632E-2</c:v>
                </c:pt>
                <c:pt idx="8">
                  <c:v>9.0843891943581771E-3</c:v>
                </c:pt>
                <c:pt idx="9">
                  <c:v>8.1734186211797882E-3</c:v>
                </c:pt>
                <c:pt idx="10">
                  <c:v>1.0457055575138064E-2</c:v>
                </c:pt>
                <c:pt idx="11">
                  <c:v>8.1395348837201369E-4</c:v>
                </c:pt>
                <c:pt idx="12">
                  <c:v>-3.6017195306144775E-3</c:v>
                </c:pt>
                <c:pt idx="13">
                  <c:v>4.0811567164178442E-3</c:v>
                </c:pt>
                <c:pt idx="14">
                  <c:v>-4.0761816281500468E-2</c:v>
                </c:pt>
                <c:pt idx="15">
                  <c:v>-0.20569007263922515</c:v>
                </c:pt>
                <c:pt idx="16">
                  <c:v>-0.17847889041304679</c:v>
                </c:pt>
                <c:pt idx="17">
                  <c:v>2.7087198515769961E-2</c:v>
                </c:pt>
                <c:pt idx="18">
                  <c:v>-2.9082369942196522E-2</c:v>
                </c:pt>
                <c:pt idx="19">
                  <c:v>2.4186046511628385E-3</c:v>
                </c:pt>
                <c:pt idx="20">
                  <c:v>6.6629547141796516E-2</c:v>
                </c:pt>
                <c:pt idx="21">
                  <c:v>4.4544979989559808E-2</c:v>
                </c:pt>
                <c:pt idx="22">
                  <c:v>4.3311677494586066E-2</c:v>
                </c:pt>
                <c:pt idx="23">
                  <c:v>0.10506147213795292</c:v>
                </c:pt>
                <c:pt idx="24">
                  <c:v>-0.11212252564658275</c:v>
                </c:pt>
                <c:pt idx="25">
                  <c:v>2.0667209113100014E-2</c:v>
                </c:pt>
                <c:pt idx="26">
                  <c:v>-1.610331632653058E-2</c:v>
                </c:pt>
                <c:pt idx="27">
                  <c:v>-6.1254253767622772E-2</c:v>
                </c:pt>
                <c:pt idx="28">
                  <c:v>2.4684964612463313E-2</c:v>
                </c:pt>
                <c:pt idx="29">
                  <c:v>-3.4366576819406996E-2</c:v>
                </c:pt>
                <c:pt idx="30">
                  <c:v>3.6985345429169529E-2</c:v>
                </c:pt>
                <c:pt idx="31">
                  <c:v>1.9347240915208709E-2</c:v>
                </c:pt>
                <c:pt idx="32">
                  <c:v>7.3444462782637443E-2</c:v>
                </c:pt>
                <c:pt idx="33">
                  <c:v>0.12407749077490764</c:v>
                </c:pt>
                <c:pt idx="34">
                  <c:v>-4.6505266037478237E-3</c:v>
                </c:pt>
                <c:pt idx="35">
                  <c:v>-1.0993541294489254E-3</c:v>
                </c:pt>
                <c:pt idx="36">
                  <c:v>3.1641216123263136E-2</c:v>
                </c:pt>
                <c:pt idx="37">
                  <c:v>0.16668889185224697</c:v>
                </c:pt>
                <c:pt idx="38">
                  <c:v>-9.9439935992683779E-3</c:v>
                </c:pt>
                <c:pt idx="39">
                  <c:v>-7.4924959593627438E-2</c:v>
                </c:pt>
                <c:pt idx="40">
                  <c:v>-0.13952327467864711</c:v>
                </c:pt>
                <c:pt idx="41">
                  <c:v>-4.7425670775924522E-2</c:v>
                </c:pt>
                <c:pt idx="42">
                  <c:v>-2.9993909866017139E-2</c:v>
                </c:pt>
                <c:pt idx="43">
                  <c:v>9.8885575262910464E-3</c:v>
                </c:pt>
                <c:pt idx="44">
                  <c:v>-4.6627292508550104E-4</c:v>
                </c:pt>
                <c:pt idx="45">
                  <c:v>2.8611413466023999E-2</c:v>
                </c:pt>
                <c:pt idx="46">
                  <c:v>4.3688586545729408E-2</c:v>
                </c:pt>
                <c:pt idx="47">
                  <c:v>6.6628041714946948E-3</c:v>
                </c:pt>
                <c:pt idx="48">
                  <c:v>-4.8920863309352601E-2</c:v>
                </c:pt>
                <c:pt idx="49">
                  <c:v>5.1891074130106005E-2</c:v>
                </c:pt>
                <c:pt idx="50">
                  <c:v>1.136200201351923E-2</c:v>
                </c:pt>
                <c:pt idx="51">
                  <c:v>-4.8492605233219521E-2</c:v>
                </c:pt>
                <c:pt idx="52">
                  <c:v>-3.2132715588103294E-2</c:v>
                </c:pt>
                <c:pt idx="53">
                  <c:v>-1.1426806670784575E-2</c:v>
                </c:pt>
                <c:pt idx="54">
                  <c:v>1.4370509215870068E-2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7-4A2F-A395-9F1C1D9C3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960143"/>
        <c:axId val="1092448767"/>
      </c:barChart>
      <c:catAx>
        <c:axId val="132896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8767"/>
        <c:crosses val="autoZero"/>
        <c:auto val="1"/>
        <c:lblAlgn val="ctr"/>
        <c:lblOffset val="100"/>
        <c:tickLblSkip val="2"/>
        <c:noMultiLvlLbl val="0"/>
      </c:catAx>
      <c:valAx>
        <c:axId val="109244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96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 %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cat>
            <c:strRef>
              <c:f>Análise_À_Vista!$M$3:$M$57</c:f>
              <c:strCache>
                <c:ptCount val="55"/>
                <c:pt idx="0">
                  <c:v>jan/2022</c:v>
                </c:pt>
                <c:pt idx="1">
                  <c:v>fev/2022</c:v>
                </c:pt>
                <c:pt idx="2">
                  <c:v>mar/2022</c:v>
                </c:pt>
                <c:pt idx="3">
                  <c:v>abr/2022</c:v>
                </c:pt>
                <c:pt idx="4">
                  <c:v>mai/2022</c:v>
                </c:pt>
                <c:pt idx="5">
                  <c:v>jun/2022</c:v>
                </c:pt>
                <c:pt idx="6">
                  <c:v>jul/2022</c:v>
                </c:pt>
                <c:pt idx="7">
                  <c:v>ago/2022</c:v>
                </c:pt>
                <c:pt idx="8">
                  <c:v>set/2022</c:v>
                </c:pt>
                <c:pt idx="9">
                  <c:v>out/2022</c:v>
                </c:pt>
                <c:pt idx="10">
                  <c:v>nov/2022</c:v>
                </c:pt>
                <c:pt idx="11">
                  <c:v>dez/2022</c:v>
                </c:pt>
                <c:pt idx="12">
                  <c:v>jan/2023</c:v>
                </c:pt>
                <c:pt idx="13">
                  <c:v>fev/2023</c:v>
                </c:pt>
                <c:pt idx="14">
                  <c:v>mar/2023</c:v>
                </c:pt>
                <c:pt idx="15">
                  <c:v>abr/2023</c:v>
                </c:pt>
                <c:pt idx="16">
                  <c:v>mai/2023</c:v>
                </c:pt>
                <c:pt idx="17">
                  <c:v>jun/2023</c:v>
                </c:pt>
                <c:pt idx="18">
                  <c:v>jul/2023</c:v>
                </c:pt>
                <c:pt idx="19">
                  <c:v>ago/2023</c:v>
                </c:pt>
                <c:pt idx="20">
                  <c:v>set/2023</c:v>
                </c:pt>
                <c:pt idx="21">
                  <c:v>out/2023</c:v>
                </c:pt>
                <c:pt idx="22">
                  <c:v>nov/2023</c:v>
                </c:pt>
                <c:pt idx="23">
                  <c:v>dez/2023</c:v>
                </c:pt>
                <c:pt idx="24">
                  <c:v>jan/2024</c:v>
                </c:pt>
                <c:pt idx="25">
                  <c:v>fev/2024</c:v>
                </c:pt>
                <c:pt idx="26">
                  <c:v>mar/2024</c:v>
                </c:pt>
                <c:pt idx="27">
                  <c:v>abr/2024</c:v>
                </c:pt>
                <c:pt idx="28">
                  <c:v>mai/2024</c:v>
                </c:pt>
                <c:pt idx="29">
                  <c:v>jun/2024</c:v>
                </c:pt>
                <c:pt idx="30">
                  <c:v>jul/2024</c:v>
                </c:pt>
                <c:pt idx="31">
                  <c:v>ago/2024</c:v>
                </c:pt>
                <c:pt idx="32">
                  <c:v>set/2024</c:v>
                </c:pt>
                <c:pt idx="33">
                  <c:v>out/2024</c:v>
                </c:pt>
                <c:pt idx="34">
                  <c:v>nov/2024</c:v>
                </c:pt>
                <c:pt idx="35">
                  <c:v>dez/2024</c:v>
                </c:pt>
                <c:pt idx="36">
                  <c:v>jan/2025</c:v>
                </c:pt>
                <c:pt idx="37">
                  <c:v>fev/2025</c:v>
                </c:pt>
                <c:pt idx="38">
                  <c:v>mar/2025</c:v>
                </c:pt>
                <c:pt idx="39">
                  <c:v>abr/2025</c:v>
                </c:pt>
                <c:pt idx="40">
                  <c:v>mai/2025</c:v>
                </c:pt>
                <c:pt idx="41">
                  <c:v>jun/2025</c:v>
                </c:pt>
                <c:pt idx="42">
                  <c:v>jul/2025</c:v>
                </c:pt>
                <c:pt idx="43">
                  <c:v>ago/2025</c:v>
                </c:pt>
                <c:pt idx="44">
                  <c:v>set/2025</c:v>
                </c:pt>
                <c:pt idx="45">
                  <c:v>out/2025</c:v>
                </c:pt>
                <c:pt idx="46">
                  <c:v>nov/2025</c:v>
                </c:pt>
                <c:pt idx="47">
                  <c:v>dez/2025</c:v>
                </c:pt>
                <c:pt idx="48">
                  <c:v>jan/2026</c:v>
                </c:pt>
                <c:pt idx="49">
                  <c:v>fev/2026</c:v>
                </c:pt>
                <c:pt idx="50">
                  <c:v>mar/2026</c:v>
                </c:pt>
                <c:pt idx="51">
                  <c:v>abr/2026</c:v>
                </c:pt>
                <c:pt idx="52">
                  <c:v>mai/2026</c:v>
                </c:pt>
                <c:pt idx="53">
                  <c:v>jun/2026</c:v>
                </c:pt>
                <c:pt idx="54">
                  <c:v>jul/2026</c:v>
                </c:pt>
              </c:strCache>
            </c:strRef>
          </c:cat>
          <c:val>
            <c:numRef>
              <c:f>Análise_À_Vista!$Q$3:$Q$57</c:f>
              <c:numCache>
                <c:formatCode>0.00%</c:formatCode>
                <c:ptCount val="55"/>
                <c:pt idx="0">
                  <c:v>0</c:v>
                </c:pt>
                <c:pt idx="1">
                  <c:v>-6.1601642710474615E-4</c:v>
                </c:pt>
                <c:pt idx="2">
                  <c:v>-5.5030800821355225E-2</c:v>
                </c:pt>
                <c:pt idx="3">
                  <c:v>-9.3942505133470272E-2</c:v>
                </c:pt>
                <c:pt idx="4">
                  <c:v>-0.11909650924024649</c:v>
                </c:pt>
                <c:pt idx="5">
                  <c:v>-0.14620123203285429</c:v>
                </c:pt>
                <c:pt idx="6">
                  <c:v>-0.15154004106776184</c:v>
                </c:pt>
                <c:pt idx="7">
                  <c:v>-0.14106776180698161</c:v>
                </c:pt>
                <c:pt idx="8">
                  <c:v>-0.13326488706365505</c:v>
                </c:pt>
                <c:pt idx="9">
                  <c:v>-0.12618069815195077</c:v>
                </c:pt>
                <c:pt idx="10">
                  <c:v>-0.11704312114989739</c:v>
                </c:pt>
                <c:pt idx="11">
                  <c:v>-0.11632443531827527</c:v>
                </c:pt>
                <c:pt idx="12">
                  <c:v>-0.11950718685831623</c:v>
                </c:pt>
                <c:pt idx="13">
                  <c:v>-0.1159137577002054</c:v>
                </c:pt>
                <c:pt idx="14">
                  <c:v>-0.15195071868583174</c:v>
                </c:pt>
                <c:pt idx="15">
                  <c:v>-0.32638603696098567</c:v>
                </c:pt>
                <c:pt idx="16">
                  <c:v>-0.44661190965092407</c:v>
                </c:pt>
                <c:pt idx="17">
                  <c:v>-0.43162217659137581</c:v>
                </c:pt>
                <c:pt idx="18">
                  <c:v>-0.44815195071868585</c:v>
                </c:pt>
                <c:pt idx="19">
                  <c:v>-0.44681724845995896</c:v>
                </c:pt>
                <c:pt idx="20">
                  <c:v>-0.40995893223819307</c:v>
                </c:pt>
                <c:pt idx="21">
                  <c:v>-0.38367556468172487</c:v>
                </c:pt>
                <c:pt idx="22">
                  <c:v>-0.35698151950718687</c:v>
                </c:pt>
                <c:pt idx="23">
                  <c:v>-0.28942505133470237</c:v>
                </c:pt>
                <c:pt idx="24">
                  <c:v>-0.3690965092402464</c:v>
                </c:pt>
                <c:pt idx="25">
                  <c:v>-0.35605749486652982</c:v>
                </c:pt>
                <c:pt idx="26">
                  <c:v>-0.36642710472279266</c:v>
                </c:pt>
                <c:pt idx="27">
                  <c:v>-0.40523613963039018</c:v>
                </c:pt>
                <c:pt idx="28">
                  <c:v>-0.39055441478439429</c:v>
                </c:pt>
                <c:pt idx="29">
                  <c:v>-0.41149897330595486</c:v>
                </c:pt>
                <c:pt idx="30">
                  <c:v>-0.38973305954825466</c:v>
                </c:pt>
                <c:pt idx="31">
                  <c:v>-0.37792607802874745</c:v>
                </c:pt>
                <c:pt idx="32">
                  <c:v>-0.33223819301848045</c:v>
                </c:pt>
                <c:pt idx="33">
                  <c:v>-0.24938398357289532</c:v>
                </c:pt>
                <c:pt idx="34">
                  <c:v>-0.25287474332648879</c:v>
                </c:pt>
                <c:pt idx="35">
                  <c:v>-0.25369609856262842</c:v>
                </c:pt>
                <c:pt idx="36">
                  <c:v>-0.23008213552361406</c:v>
                </c:pt>
                <c:pt idx="37">
                  <c:v>-0.10174537987679681</c:v>
                </c:pt>
                <c:pt idx="38">
                  <c:v>-0.1106776180698152</c:v>
                </c:pt>
                <c:pt idx="39">
                  <c:v>-0.17731006160164281</c:v>
                </c:pt>
                <c:pt idx="40">
                  <c:v>-0.29209445585215604</c:v>
                </c:pt>
                <c:pt idx="41">
                  <c:v>-0.3256673511293634</c:v>
                </c:pt>
                <c:pt idx="42">
                  <c:v>-0.34589322381930188</c:v>
                </c:pt>
                <c:pt idx="43">
                  <c:v>-0.33942505133470224</c:v>
                </c:pt>
                <c:pt idx="44">
                  <c:v>-0.33973305954825461</c:v>
                </c:pt>
                <c:pt idx="45">
                  <c:v>-0.32084188911704309</c:v>
                </c:pt>
                <c:pt idx="46">
                  <c:v>-0.29117043121149894</c:v>
                </c:pt>
                <c:pt idx="47">
                  <c:v>-0.28644763860369615</c:v>
                </c:pt>
                <c:pt idx="48">
                  <c:v>-0.32135523613963046</c:v>
                </c:pt>
                <c:pt idx="49">
                  <c:v>-0.28613963039014378</c:v>
                </c:pt>
                <c:pt idx="50">
                  <c:v>-0.278028747433265</c:v>
                </c:pt>
                <c:pt idx="51">
                  <c:v>-0.31303901437371673</c:v>
                </c:pt>
                <c:pt idx="52">
                  <c:v>-0.33511293634496919</c:v>
                </c:pt>
                <c:pt idx="53">
                  <c:v>-0.34271047227926088</c:v>
                </c:pt>
                <c:pt idx="54">
                  <c:v>-0.33326488706365509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4-44C3-B86F-8821DE0F1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03759"/>
        <c:axId val="1748007551"/>
      </c:areaChart>
      <c:catAx>
        <c:axId val="1329003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07551"/>
        <c:crosses val="autoZero"/>
        <c:auto val="1"/>
        <c:lblAlgn val="ctr"/>
        <c:lblOffset val="100"/>
        <c:tickLblSkip val="2"/>
        <c:noMultiLvlLbl val="0"/>
      </c:catAx>
      <c:valAx>
        <c:axId val="17480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0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Bandas de Desvio Padrão (</a:t>
            </a:r>
            <a:r>
              <a:rPr lang="el-GR"/>
              <a:t>σ)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Diário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Análise_À_Vista!$V$3:$V$9</c:f>
              <c:strCache>
                <c:ptCount val="7"/>
                <c:pt idx="0">
                  <c:v>Média - 3σ</c:v>
                </c:pt>
                <c:pt idx="1">
                  <c:v>Média - 2σ</c:v>
                </c:pt>
                <c:pt idx="2">
                  <c:v>Média - 1σ</c:v>
                </c:pt>
                <c:pt idx="3">
                  <c:v>Média</c:v>
                </c:pt>
                <c:pt idx="4">
                  <c:v>Média + 1σ</c:v>
                </c:pt>
                <c:pt idx="5">
                  <c:v>Média + 2σ</c:v>
                </c:pt>
                <c:pt idx="6">
                  <c:v>Média + 3σ</c:v>
                </c:pt>
              </c:strCache>
            </c:strRef>
          </c:cat>
          <c:val>
            <c:numRef>
              <c:f>Análise_À_Vista!$W$3:$W$9</c:f>
              <c:numCache>
                <c:formatCode>0.00%</c:formatCode>
                <c:ptCount val="7"/>
                <c:pt idx="0">
                  <c:v>-2.0277946248656788E-2</c:v>
                </c:pt>
                <c:pt idx="1">
                  <c:v>-1.361371358358127E-2</c:v>
                </c:pt>
                <c:pt idx="2">
                  <c:v>-6.9494809185057498E-3</c:v>
                </c:pt>
                <c:pt idx="3">
                  <c:v>-2.852482534302303E-4</c:v>
                </c:pt>
                <c:pt idx="4">
                  <c:v>6.3789844116452898E-3</c:v>
                </c:pt>
                <c:pt idx="5">
                  <c:v>1.304321707672081E-2</c:v>
                </c:pt>
                <c:pt idx="6">
                  <c:v>1.9707449741796328E-2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E-4B27-AF28-628D085ACD15}"/>
            </c:ext>
          </c:extLst>
        </c:ser>
        <c:ser>
          <c:idx val="1"/>
          <c:order val="1"/>
          <c:tx>
            <c:v>Semanal</c:v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Análise_À_Vista!$V$3:$V$9</c:f>
              <c:strCache>
                <c:ptCount val="7"/>
                <c:pt idx="0">
                  <c:v>Média - 3σ</c:v>
                </c:pt>
                <c:pt idx="1">
                  <c:v>Média - 2σ</c:v>
                </c:pt>
                <c:pt idx="2">
                  <c:v>Média - 1σ</c:v>
                </c:pt>
                <c:pt idx="3">
                  <c:v>Média</c:v>
                </c:pt>
                <c:pt idx="4">
                  <c:v>Média + 1σ</c:v>
                </c:pt>
                <c:pt idx="5">
                  <c:v>Média + 2σ</c:v>
                </c:pt>
                <c:pt idx="6">
                  <c:v>Média + 3σ</c:v>
                </c:pt>
              </c:strCache>
            </c:strRef>
          </c:cat>
          <c:val>
            <c:numRef>
              <c:f>Análise_À_Vista!$X$3:$X$9</c:f>
              <c:numCache>
                <c:formatCode>0.00%</c:formatCode>
                <c:ptCount val="7"/>
                <c:pt idx="0">
                  <c:v>-6.37371634835662E-2</c:v>
                </c:pt>
                <c:pt idx="1">
                  <c:v>-4.2908199819348194E-2</c:v>
                </c:pt>
                <c:pt idx="2">
                  <c:v>-2.2079236155130175E-2</c:v>
                </c:pt>
                <c:pt idx="3">
                  <c:v>-1.2502724909121599E-3</c:v>
                </c:pt>
                <c:pt idx="4">
                  <c:v>1.9578691173305858E-2</c:v>
                </c:pt>
                <c:pt idx="5">
                  <c:v>4.0407654837523871E-2</c:v>
                </c:pt>
                <c:pt idx="6">
                  <c:v>6.1236618501741884E-2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8E-4B27-AF28-628D085ACD15}"/>
            </c:ext>
          </c:extLst>
        </c:ser>
        <c:ser>
          <c:idx val="2"/>
          <c:order val="2"/>
          <c:tx>
            <c:v>Mensal</c:v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Análise_À_Vista!$V$3:$V$9</c:f>
              <c:strCache>
                <c:ptCount val="7"/>
                <c:pt idx="0">
                  <c:v>Média - 3σ</c:v>
                </c:pt>
                <c:pt idx="1">
                  <c:v>Média - 2σ</c:v>
                </c:pt>
                <c:pt idx="2">
                  <c:v>Média - 1σ</c:v>
                </c:pt>
                <c:pt idx="3">
                  <c:v>Média</c:v>
                </c:pt>
                <c:pt idx="4">
                  <c:v>Média + 1σ</c:v>
                </c:pt>
                <c:pt idx="5">
                  <c:v>Média + 2σ</c:v>
                </c:pt>
                <c:pt idx="6">
                  <c:v>Média + 3σ</c:v>
                </c:pt>
              </c:strCache>
            </c:strRef>
          </c:cat>
          <c:val>
            <c:numRef>
              <c:f>Análise_À_Vista!$Y$3:$Y$9</c:f>
              <c:numCache>
                <c:formatCode>0.00%</c:formatCode>
                <c:ptCount val="7"/>
                <c:pt idx="0">
                  <c:v>-0.19353317972721842</c:v>
                </c:pt>
                <c:pt idx="1">
                  <c:v>-0.13083366888186382</c:v>
                </c:pt>
                <c:pt idx="2">
                  <c:v>-6.8134158036509213E-2</c:v>
                </c:pt>
                <c:pt idx="3">
                  <c:v>-5.4346471911545869E-3</c:v>
                </c:pt>
                <c:pt idx="4">
                  <c:v>5.7264863654200034E-2</c:v>
                </c:pt>
                <c:pt idx="5">
                  <c:v>0.11996437449955465</c:v>
                </c:pt>
                <c:pt idx="6">
                  <c:v>0.18266388534490927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8E-4B27-AF28-628D085AC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9001439"/>
        <c:axId val="1748006591"/>
      </c:barChart>
      <c:catAx>
        <c:axId val="132900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06591"/>
        <c:crosses val="autoZero"/>
        <c:auto val="1"/>
        <c:lblAlgn val="ctr"/>
        <c:lblOffset val="100"/>
        <c:noMultiLvlLbl val="0"/>
      </c:catAx>
      <c:valAx>
        <c:axId val="174800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0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de Drawdown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Diário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Análise_À_Vista!$V$13:$V$14</c:f>
              <c:strCache>
                <c:ptCount val="2"/>
                <c:pt idx="0">
                  <c:v>Drawdown Máximo</c:v>
                </c:pt>
                <c:pt idx="1">
                  <c:v>Drawdown Médio</c:v>
                </c:pt>
              </c:strCache>
            </c:strRef>
          </c:cat>
          <c:val>
            <c:numRef>
              <c:f>Análise_À_Vista!$W$13:$W$14</c:f>
              <c:numCache>
                <c:formatCode>0.00%</c:formatCode>
                <c:ptCount val="2"/>
                <c:pt idx="0">
                  <c:v>-0.49326275264677577</c:v>
                </c:pt>
                <c:pt idx="1">
                  <c:v>-0.31308798867956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F-488C-B685-24E02838A1FC}"/>
            </c:ext>
          </c:extLst>
        </c:ser>
        <c:ser>
          <c:idx val="1"/>
          <c:order val="1"/>
          <c:tx>
            <c:v>Semanal</c:v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Análise_À_Vista!$V$13:$V$14</c:f>
              <c:strCache>
                <c:ptCount val="2"/>
                <c:pt idx="0">
                  <c:v>Drawdown Máximo</c:v>
                </c:pt>
                <c:pt idx="1">
                  <c:v>Drawdown Médio</c:v>
                </c:pt>
              </c:strCache>
            </c:strRef>
          </c:cat>
          <c:val>
            <c:numRef>
              <c:f>Análise_À_Vista!$X$13:$X$14</c:f>
              <c:numCache>
                <c:formatCode>0.00%</c:formatCode>
                <c:ptCount val="2"/>
                <c:pt idx="0">
                  <c:v>-0.48864292589027913</c:v>
                </c:pt>
                <c:pt idx="1">
                  <c:v>-0.31415362971527272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F-488C-B685-24E02838A1FC}"/>
            </c:ext>
          </c:extLst>
        </c:ser>
        <c:ser>
          <c:idx val="2"/>
          <c:order val="2"/>
          <c:tx>
            <c:v>Mensal</c:v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Análise_À_Vista!$V$13:$V$14</c:f>
              <c:strCache>
                <c:ptCount val="2"/>
                <c:pt idx="0">
                  <c:v>Drawdown Máximo</c:v>
                </c:pt>
                <c:pt idx="1">
                  <c:v>Drawdown Médio</c:v>
                </c:pt>
              </c:strCache>
            </c:strRef>
          </c:cat>
          <c:val>
            <c:numRef>
              <c:f>Análise_À_Vista!$Y$13:$Y$14</c:f>
              <c:numCache>
                <c:formatCode>0.00%</c:formatCode>
                <c:ptCount val="2"/>
                <c:pt idx="0">
                  <c:v>-0.44815195071868585</c:v>
                </c:pt>
                <c:pt idx="1">
                  <c:v>-0.27134763099855508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EF-488C-B685-24E02838A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691023"/>
        <c:axId val="1092468447"/>
      </c:barChart>
      <c:catAx>
        <c:axId val="132669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68447"/>
        <c:crosses val="autoZero"/>
        <c:auto val="1"/>
        <c:lblAlgn val="ctr"/>
        <c:lblOffset val="100"/>
        <c:noMultiLvlLbl val="0"/>
      </c:catAx>
      <c:valAx>
        <c:axId val="109246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9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Canal de Regressão Linear (1.5</a:t>
            </a:r>
            <a:r>
              <a:rPr lang="el-GR"/>
              <a:t>σ) - </a:t>
            </a:r>
            <a:r>
              <a:rPr lang="en-US"/>
              <a:t>À Vista R$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Fechamento</c:v>
          </c:tx>
          <c:spPr>
            <a:ln w="19050" cap="rnd">
              <a:solidFill>
                <a:srgbClr val="2F549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Análise_À_Vista!$AB$3:$AB$1136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Análise_À_Vista!$AC$3:$AC$1136</c:f>
              <c:numCache>
                <c:formatCode>#,##0.00</c:formatCode>
                <c:ptCount val="1134"/>
                <c:pt idx="0">
                  <c:v>92.01</c:v>
                </c:pt>
                <c:pt idx="1">
                  <c:v>92.72</c:v>
                </c:pt>
                <c:pt idx="2">
                  <c:v>92.81</c:v>
                </c:pt>
                <c:pt idx="3">
                  <c:v>93.28</c:v>
                </c:pt>
                <c:pt idx="4">
                  <c:v>93.52</c:v>
                </c:pt>
                <c:pt idx="5">
                  <c:v>94.43</c:v>
                </c:pt>
                <c:pt idx="6">
                  <c:v>95.13</c:v>
                </c:pt>
                <c:pt idx="7">
                  <c:v>95.27</c:v>
                </c:pt>
                <c:pt idx="8">
                  <c:v>96.5</c:v>
                </c:pt>
                <c:pt idx="9">
                  <c:v>96.77</c:v>
                </c:pt>
                <c:pt idx="10">
                  <c:v>97.16</c:v>
                </c:pt>
                <c:pt idx="11">
                  <c:v>97.39</c:v>
                </c:pt>
                <c:pt idx="12">
                  <c:v>97.7</c:v>
                </c:pt>
                <c:pt idx="13">
                  <c:v>98.13</c:v>
                </c:pt>
                <c:pt idx="14">
                  <c:v>98.33</c:v>
                </c:pt>
                <c:pt idx="15">
                  <c:v>97.93</c:v>
                </c:pt>
                <c:pt idx="16">
                  <c:v>97.76</c:v>
                </c:pt>
                <c:pt idx="17">
                  <c:v>97.9</c:v>
                </c:pt>
                <c:pt idx="18">
                  <c:v>97.37</c:v>
                </c:pt>
                <c:pt idx="19">
                  <c:v>97.4</c:v>
                </c:pt>
                <c:pt idx="20">
                  <c:v>97.42</c:v>
                </c:pt>
                <c:pt idx="21">
                  <c:v>97.4</c:v>
                </c:pt>
                <c:pt idx="22">
                  <c:v>97.14</c:v>
                </c:pt>
                <c:pt idx="23">
                  <c:v>96.82</c:v>
                </c:pt>
                <c:pt idx="24">
                  <c:v>97.13</c:v>
                </c:pt>
                <c:pt idx="25">
                  <c:v>96.97</c:v>
                </c:pt>
                <c:pt idx="26">
                  <c:v>97.14</c:v>
                </c:pt>
                <c:pt idx="27">
                  <c:v>96.93</c:v>
                </c:pt>
                <c:pt idx="28">
                  <c:v>97.08</c:v>
                </c:pt>
                <c:pt idx="29">
                  <c:v>97.05</c:v>
                </c:pt>
                <c:pt idx="30">
                  <c:v>95.98</c:v>
                </c:pt>
                <c:pt idx="31">
                  <c:v>96.55</c:v>
                </c:pt>
                <c:pt idx="32">
                  <c:v>96.53</c:v>
                </c:pt>
                <c:pt idx="33">
                  <c:v>96.51</c:v>
                </c:pt>
                <c:pt idx="34">
                  <c:v>96.49</c:v>
                </c:pt>
                <c:pt idx="35">
                  <c:v>96.52</c:v>
                </c:pt>
                <c:pt idx="36">
                  <c:v>96.8</c:v>
                </c:pt>
                <c:pt idx="37">
                  <c:v>96.85</c:v>
                </c:pt>
                <c:pt idx="38">
                  <c:v>96.89</c:v>
                </c:pt>
                <c:pt idx="39">
                  <c:v>97.34</c:v>
                </c:pt>
                <c:pt idx="40">
                  <c:v>97.2</c:v>
                </c:pt>
                <c:pt idx="41">
                  <c:v>97.72</c:v>
                </c:pt>
                <c:pt idx="42">
                  <c:v>98.15</c:v>
                </c:pt>
                <c:pt idx="43">
                  <c:v>100.19</c:v>
                </c:pt>
                <c:pt idx="44">
                  <c:v>101.36</c:v>
                </c:pt>
                <c:pt idx="45">
                  <c:v>101.25</c:v>
                </c:pt>
                <c:pt idx="46">
                  <c:v>101.42</c:v>
                </c:pt>
                <c:pt idx="47">
                  <c:v>103.57</c:v>
                </c:pt>
                <c:pt idx="48">
                  <c:v>103.9</c:v>
                </c:pt>
                <c:pt idx="49">
                  <c:v>103.87</c:v>
                </c:pt>
                <c:pt idx="50">
                  <c:v>103.74</c:v>
                </c:pt>
                <c:pt idx="51">
                  <c:v>103.57</c:v>
                </c:pt>
                <c:pt idx="52">
                  <c:v>102.59</c:v>
                </c:pt>
                <c:pt idx="53">
                  <c:v>102.63</c:v>
                </c:pt>
                <c:pt idx="54">
                  <c:v>101.29</c:v>
                </c:pt>
                <c:pt idx="55">
                  <c:v>99.93</c:v>
                </c:pt>
                <c:pt idx="56">
                  <c:v>99.2</c:v>
                </c:pt>
                <c:pt idx="57">
                  <c:v>96.98</c:v>
                </c:pt>
                <c:pt idx="58">
                  <c:v>96.16</c:v>
                </c:pt>
                <c:pt idx="59">
                  <c:v>92.77</c:v>
                </c:pt>
                <c:pt idx="60">
                  <c:v>92.7</c:v>
                </c:pt>
                <c:pt idx="61">
                  <c:v>93.09</c:v>
                </c:pt>
                <c:pt idx="62">
                  <c:v>92.04</c:v>
                </c:pt>
                <c:pt idx="63">
                  <c:v>91.55</c:v>
                </c:pt>
                <c:pt idx="64">
                  <c:v>90.19</c:v>
                </c:pt>
                <c:pt idx="65">
                  <c:v>89.46</c:v>
                </c:pt>
                <c:pt idx="66">
                  <c:v>89.06</c:v>
                </c:pt>
                <c:pt idx="67">
                  <c:v>89.02</c:v>
                </c:pt>
                <c:pt idx="68">
                  <c:v>88.9</c:v>
                </c:pt>
                <c:pt idx="69">
                  <c:v>88.17</c:v>
                </c:pt>
                <c:pt idx="70">
                  <c:v>87.56</c:v>
                </c:pt>
                <c:pt idx="71">
                  <c:v>87.3</c:v>
                </c:pt>
                <c:pt idx="72">
                  <c:v>87.63</c:v>
                </c:pt>
                <c:pt idx="73">
                  <c:v>88.03</c:v>
                </c:pt>
                <c:pt idx="74">
                  <c:v>87.87</c:v>
                </c:pt>
                <c:pt idx="75">
                  <c:v>87.93</c:v>
                </c:pt>
                <c:pt idx="76">
                  <c:v>88.71</c:v>
                </c:pt>
                <c:pt idx="77">
                  <c:v>88.51</c:v>
                </c:pt>
                <c:pt idx="78">
                  <c:v>88.21</c:v>
                </c:pt>
                <c:pt idx="79">
                  <c:v>88.38</c:v>
                </c:pt>
                <c:pt idx="80">
                  <c:v>88.25</c:v>
                </c:pt>
                <c:pt idx="81">
                  <c:v>87.87</c:v>
                </c:pt>
                <c:pt idx="82">
                  <c:v>87.6</c:v>
                </c:pt>
                <c:pt idx="83">
                  <c:v>87.55</c:v>
                </c:pt>
                <c:pt idx="84">
                  <c:v>87.41</c:v>
                </c:pt>
                <c:pt idx="85">
                  <c:v>86.63</c:v>
                </c:pt>
                <c:pt idx="86">
                  <c:v>86.15</c:v>
                </c:pt>
                <c:pt idx="87">
                  <c:v>85.83</c:v>
                </c:pt>
                <c:pt idx="88">
                  <c:v>86.08</c:v>
                </c:pt>
                <c:pt idx="89">
                  <c:v>86.4</c:v>
                </c:pt>
                <c:pt idx="90">
                  <c:v>86.54</c:v>
                </c:pt>
                <c:pt idx="91">
                  <c:v>87.97</c:v>
                </c:pt>
                <c:pt idx="92">
                  <c:v>89.09</c:v>
                </c:pt>
                <c:pt idx="93">
                  <c:v>89.28</c:v>
                </c:pt>
                <c:pt idx="94">
                  <c:v>89.23</c:v>
                </c:pt>
                <c:pt idx="95">
                  <c:v>88.48</c:v>
                </c:pt>
                <c:pt idx="96">
                  <c:v>88.03</c:v>
                </c:pt>
                <c:pt idx="97">
                  <c:v>87.43</c:v>
                </c:pt>
                <c:pt idx="98">
                  <c:v>87.33</c:v>
                </c:pt>
                <c:pt idx="99">
                  <c:v>86.99</c:v>
                </c:pt>
                <c:pt idx="100">
                  <c:v>86.9</c:v>
                </c:pt>
                <c:pt idx="101">
                  <c:v>86.84</c:v>
                </c:pt>
                <c:pt idx="102">
                  <c:v>86.25</c:v>
                </c:pt>
                <c:pt idx="103">
                  <c:v>85.8</c:v>
                </c:pt>
                <c:pt idx="104">
                  <c:v>85.52</c:v>
                </c:pt>
                <c:pt idx="105">
                  <c:v>85.07</c:v>
                </c:pt>
                <c:pt idx="106">
                  <c:v>84.8</c:v>
                </c:pt>
                <c:pt idx="107">
                  <c:v>85.56</c:v>
                </c:pt>
                <c:pt idx="108">
                  <c:v>85.86</c:v>
                </c:pt>
                <c:pt idx="109">
                  <c:v>85.85</c:v>
                </c:pt>
                <c:pt idx="110">
                  <c:v>85.42</c:v>
                </c:pt>
                <c:pt idx="111">
                  <c:v>85.41</c:v>
                </c:pt>
                <c:pt idx="112">
                  <c:v>86.42</c:v>
                </c:pt>
                <c:pt idx="113">
                  <c:v>86.25</c:v>
                </c:pt>
                <c:pt idx="114">
                  <c:v>86.32</c:v>
                </c:pt>
                <c:pt idx="115">
                  <c:v>87.42</c:v>
                </c:pt>
                <c:pt idx="116">
                  <c:v>87.15</c:v>
                </c:pt>
                <c:pt idx="117">
                  <c:v>87.04</c:v>
                </c:pt>
                <c:pt idx="118">
                  <c:v>85.92</c:v>
                </c:pt>
                <c:pt idx="119">
                  <c:v>85.65</c:v>
                </c:pt>
                <c:pt idx="120">
                  <c:v>84.75</c:v>
                </c:pt>
                <c:pt idx="121">
                  <c:v>83.9</c:v>
                </c:pt>
                <c:pt idx="122">
                  <c:v>84.85</c:v>
                </c:pt>
                <c:pt idx="123">
                  <c:v>83.55</c:v>
                </c:pt>
                <c:pt idx="124">
                  <c:v>83.16</c:v>
                </c:pt>
                <c:pt idx="125">
                  <c:v>83.24</c:v>
                </c:pt>
                <c:pt idx="126">
                  <c:v>82.6</c:v>
                </c:pt>
                <c:pt idx="127">
                  <c:v>82.19</c:v>
                </c:pt>
                <c:pt idx="128">
                  <c:v>81.680000000000007</c:v>
                </c:pt>
                <c:pt idx="129">
                  <c:v>81.5</c:v>
                </c:pt>
                <c:pt idx="130">
                  <c:v>82.36</c:v>
                </c:pt>
                <c:pt idx="131">
                  <c:v>83.12</c:v>
                </c:pt>
                <c:pt idx="132">
                  <c:v>82.73</c:v>
                </c:pt>
                <c:pt idx="133">
                  <c:v>82.58</c:v>
                </c:pt>
                <c:pt idx="134">
                  <c:v>82.46</c:v>
                </c:pt>
                <c:pt idx="135">
                  <c:v>82.36</c:v>
                </c:pt>
                <c:pt idx="136">
                  <c:v>81.67</c:v>
                </c:pt>
                <c:pt idx="137">
                  <c:v>81.41</c:v>
                </c:pt>
                <c:pt idx="138">
                  <c:v>80.849999999999994</c:v>
                </c:pt>
                <c:pt idx="139">
                  <c:v>80.06</c:v>
                </c:pt>
                <c:pt idx="140">
                  <c:v>80.2</c:v>
                </c:pt>
                <c:pt idx="141">
                  <c:v>81.27</c:v>
                </c:pt>
                <c:pt idx="142">
                  <c:v>81.400000000000006</c:v>
                </c:pt>
                <c:pt idx="143">
                  <c:v>81.78</c:v>
                </c:pt>
                <c:pt idx="144">
                  <c:v>82.93</c:v>
                </c:pt>
                <c:pt idx="145">
                  <c:v>82.64</c:v>
                </c:pt>
                <c:pt idx="146">
                  <c:v>82.58</c:v>
                </c:pt>
                <c:pt idx="147">
                  <c:v>82.41</c:v>
                </c:pt>
                <c:pt idx="148">
                  <c:v>82.24</c:v>
                </c:pt>
                <c:pt idx="149">
                  <c:v>81.91</c:v>
                </c:pt>
                <c:pt idx="150">
                  <c:v>82.05</c:v>
                </c:pt>
                <c:pt idx="151">
                  <c:v>81.63</c:v>
                </c:pt>
                <c:pt idx="152">
                  <c:v>82.76</c:v>
                </c:pt>
                <c:pt idx="153">
                  <c:v>81.94</c:v>
                </c:pt>
                <c:pt idx="154">
                  <c:v>81.55</c:v>
                </c:pt>
                <c:pt idx="155">
                  <c:v>81.41</c:v>
                </c:pt>
                <c:pt idx="156">
                  <c:v>82.11</c:v>
                </c:pt>
                <c:pt idx="157">
                  <c:v>82.77</c:v>
                </c:pt>
                <c:pt idx="158">
                  <c:v>82.1</c:v>
                </c:pt>
                <c:pt idx="159">
                  <c:v>82.16</c:v>
                </c:pt>
                <c:pt idx="160">
                  <c:v>81.900000000000006</c:v>
                </c:pt>
                <c:pt idx="161">
                  <c:v>82.69</c:v>
                </c:pt>
                <c:pt idx="162">
                  <c:v>82.77</c:v>
                </c:pt>
                <c:pt idx="163">
                  <c:v>83.31</c:v>
                </c:pt>
                <c:pt idx="164">
                  <c:v>83.6</c:v>
                </c:pt>
                <c:pt idx="165">
                  <c:v>83.8</c:v>
                </c:pt>
                <c:pt idx="166">
                  <c:v>83.73</c:v>
                </c:pt>
                <c:pt idx="167">
                  <c:v>83.94</c:v>
                </c:pt>
                <c:pt idx="168">
                  <c:v>83.66</c:v>
                </c:pt>
                <c:pt idx="169">
                  <c:v>83.39</c:v>
                </c:pt>
                <c:pt idx="170">
                  <c:v>83.26</c:v>
                </c:pt>
                <c:pt idx="171">
                  <c:v>83.54</c:v>
                </c:pt>
                <c:pt idx="172">
                  <c:v>83.25</c:v>
                </c:pt>
                <c:pt idx="173">
                  <c:v>83.43</c:v>
                </c:pt>
                <c:pt idx="174">
                  <c:v>83.95</c:v>
                </c:pt>
                <c:pt idx="175">
                  <c:v>83.72</c:v>
                </c:pt>
                <c:pt idx="176">
                  <c:v>84.28</c:v>
                </c:pt>
                <c:pt idx="177">
                  <c:v>84.55</c:v>
                </c:pt>
                <c:pt idx="178">
                  <c:v>84.35</c:v>
                </c:pt>
                <c:pt idx="179">
                  <c:v>84.02</c:v>
                </c:pt>
                <c:pt idx="180">
                  <c:v>84.21</c:v>
                </c:pt>
                <c:pt idx="181">
                  <c:v>84.24</c:v>
                </c:pt>
                <c:pt idx="182">
                  <c:v>84.56</c:v>
                </c:pt>
                <c:pt idx="183">
                  <c:v>84.54</c:v>
                </c:pt>
                <c:pt idx="184">
                  <c:v>84.58</c:v>
                </c:pt>
                <c:pt idx="185">
                  <c:v>84.72</c:v>
                </c:pt>
                <c:pt idx="186">
                  <c:v>84.25</c:v>
                </c:pt>
                <c:pt idx="187">
                  <c:v>84.24</c:v>
                </c:pt>
                <c:pt idx="188">
                  <c:v>84.42</c:v>
                </c:pt>
                <c:pt idx="189">
                  <c:v>84.14</c:v>
                </c:pt>
                <c:pt idx="190">
                  <c:v>83.27</c:v>
                </c:pt>
                <c:pt idx="191">
                  <c:v>82.91</c:v>
                </c:pt>
                <c:pt idx="192">
                  <c:v>83.04</c:v>
                </c:pt>
                <c:pt idx="193">
                  <c:v>83.05</c:v>
                </c:pt>
                <c:pt idx="194">
                  <c:v>83.5</c:v>
                </c:pt>
                <c:pt idx="195">
                  <c:v>83.86</c:v>
                </c:pt>
                <c:pt idx="196">
                  <c:v>84.42</c:v>
                </c:pt>
                <c:pt idx="197">
                  <c:v>84.67</c:v>
                </c:pt>
                <c:pt idx="198">
                  <c:v>84.86</c:v>
                </c:pt>
                <c:pt idx="199">
                  <c:v>85.38</c:v>
                </c:pt>
                <c:pt idx="200">
                  <c:v>85.41</c:v>
                </c:pt>
                <c:pt idx="201">
                  <c:v>85.21</c:v>
                </c:pt>
                <c:pt idx="202">
                  <c:v>85.28</c:v>
                </c:pt>
                <c:pt idx="203">
                  <c:v>85.08</c:v>
                </c:pt>
                <c:pt idx="204">
                  <c:v>84.91</c:v>
                </c:pt>
                <c:pt idx="205">
                  <c:v>85.12</c:v>
                </c:pt>
                <c:pt idx="206">
                  <c:v>85.35</c:v>
                </c:pt>
                <c:pt idx="207">
                  <c:v>85.69</c:v>
                </c:pt>
                <c:pt idx="208">
                  <c:v>85.35</c:v>
                </c:pt>
                <c:pt idx="209">
                  <c:v>85.11</c:v>
                </c:pt>
                <c:pt idx="210">
                  <c:v>84.76</c:v>
                </c:pt>
                <c:pt idx="211">
                  <c:v>84.95</c:v>
                </c:pt>
                <c:pt idx="212">
                  <c:v>85.19</c:v>
                </c:pt>
                <c:pt idx="213">
                  <c:v>85.3</c:v>
                </c:pt>
                <c:pt idx="214">
                  <c:v>84.76</c:v>
                </c:pt>
                <c:pt idx="215">
                  <c:v>84.48</c:v>
                </c:pt>
                <c:pt idx="216">
                  <c:v>83.74</c:v>
                </c:pt>
                <c:pt idx="217">
                  <c:v>84</c:v>
                </c:pt>
                <c:pt idx="218">
                  <c:v>83.69</c:v>
                </c:pt>
                <c:pt idx="219">
                  <c:v>84.06</c:v>
                </c:pt>
                <c:pt idx="220">
                  <c:v>84.77</c:v>
                </c:pt>
                <c:pt idx="221">
                  <c:v>85.08</c:v>
                </c:pt>
                <c:pt idx="222">
                  <c:v>85.19</c:v>
                </c:pt>
                <c:pt idx="223">
                  <c:v>85.51</c:v>
                </c:pt>
                <c:pt idx="224">
                  <c:v>85.87</c:v>
                </c:pt>
                <c:pt idx="225">
                  <c:v>85.48</c:v>
                </c:pt>
                <c:pt idx="226">
                  <c:v>85.96</c:v>
                </c:pt>
                <c:pt idx="227">
                  <c:v>85.76</c:v>
                </c:pt>
                <c:pt idx="228">
                  <c:v>86.2</c:v>
                </c:pt>
                <c:pt idx="229">
                  <c:v>86</c:v>
                </c:pt>
                <c:pt idx="230">
                  <c:v>86.03</c:v>
                </c:pt>
                <c:pt idx="231">
                  <c:v>85.54</c:v>
                </c:pt>
                <c:pt idx="232">
                  <c:v>86.1</c:v>
                </c:pt>
                <c:pt idx="233">
                  <c:v>86.19</c:v>
                </c:pt>
                <c:pt idx="234">
                  <c:v>85.9</c:v>
                </c:pt>
                <c:pt idx="235">
                  <c:v>86.08</c:v>
                </c:pt>
                <c:pt idx="236">
                  <c:v>86.15</c:v>
                </c:pt>
                <c:pt idx="237">
                  <c:v>86</c:v>
                </c:pt>
                <c:pt idx="238">
                  <c:v>85.79</c:v>
                </c:pt>
                <c:pt idx="239">
                  <c:v>85.91</c:v>
                </c:pt>
                <c:pt idx="240">
                  <c:v>86.44</c:v>
                </c:pt>
                <c:pt idx="241">
                  <c:v>86.05</c:v>
                </c:pt>
                <c:pt idx="242">
                  <c:v>85.98</c:v>
                </c:pt>
                <c:pt idx="243">
                  <c:v>85.82</c:v>
                </c:pt>
                <c:pt idx="244">
                  <c:v>85.58</c:v>
                </c:pt>
                <c:pt idx="245">
                  <c:v>85.8</c:v>
                </c:pt>
                <c:pt idx="246">
                  <c:v>85.79</c:v>
                </c:pt>
                <c:pt idx="247">
                  <c:v>86.61</c:v>
                </c:pt>
                <c:pt idx="248">
                  <c:v>86.42</c:v>
                </c:pt>
                <c:pt idx="249">
                  <c:v>86.07</c:v>
                </c:pt>
                <c:pt idx="250">
                  <c:v>86.09</c:v>
                </c:pt>
                <c:pt idx="251">
                  <c:v>86.07</c:v>
                </c:pt>
                <c:pt idx="252">
                  <c:v>86.35</c:v>
                </c:pt>
                <c:pt idx="253">
                  <c:v>87.72</c:v>
                </c:pt>
                <c:pt idx="254">
                  <c:v>87.5</c:v>
                </c:pt>
                <c:pt idx="255">
                  <c:v>87.27</c:v>
                </c:pt>
                <c:pt idx="256">
                  <c:v>87.33</c:v>
                </c:pt>
                <c:pt idx="257">
                  <c:v>87.19</c:v>
                </c:pt>
                <c:pt idx="258">
                  <c:v>86.86</c:v>
                </c:pt>
                <c:pt idx="259">
                  <c:v>86.87</c:v>
                </c:pt>
                <c:pt idx="260">
                  <c:v>86.39</c:v>
                </c:pt>
                <c:pt idx="261">
                  <c:v>86.19</c:v>
                </c:pt>
                <c:pt idx="262">
                  <c:v>85.9</c:v>
                </c:pt>
                <c:pt idx="263">
                  <c:v>85.38</c:v>
                </c:pt>
                <c:pt idx="264">
                  <c:v>85.33</c:v>
                </c:pt>
                <c:pt idx="265">
                  <c:v>85.43</c:v>
                </c:pt>
                <c:pt idx="266">
                  <c:v>85.17</c:v>
                </c:pt>
                <c:pt idx="267">
                  <c:v>85.22</c:v>
                </c:pt>
                <c:pt idx="268">
                  <c:v>84.88</c:v>
                </c:pt>
                <c:pt idx="269">
                  <c:v>84.74</c:v>
                </c:pt>
                <c:pt idx="270">
                  <c:v>84.95</c:v>
                </c:pt>
                <c:pt idx="271">
                  <c:v>85.49</c:v>
                </c:pt>
                <c:pt idx="272">
                  <c:v>85.76</c:v>
                </c:pt>
                <c:pt idx="273">
                  <c:v>85.04</c:v>
                </c:pt>
                <c:pt idx="274">
                  <c:v>84.98</c:v>
                </c:pt>
                <c:pt idx="275">
                  <c:v>85.12</c:v>
                </c:pt>
                <c:pt idx="276">
                  <c:v>84.87</c:v>
                </c:pt>
                <c:pt idx="277">
                  <c:v>84.9</c:v>
                </c:pt>
                <c:pt idx="278">
                  <c:v>85.96</c:v>
                </c:pt>
                <c:pt idx="279">
                  <c:v>86.03</c:v>
                </c:pt>
                <c:pt idx="280">
                  <c:v>85.86</c:v>
                </c:pt>
                <c:pt idx="281">
                  <c:v>86.26</c:v>
                </c:pt>
                <c:pt idx="282">
                  <c:v>86.06</c:v>
                </c:pt>
                <c:pt idx="283">
                  <c:v>86.24</c:v>
                </c:pt>
                <c:pt idx="284">
                  <c:v>85.73</c:v>
                </c:pt>
                <c:pt idx="285">
                  <c:v>86.06</c:v>
                </c:pt>
                <c:pt idx="286">
                  <c:v>86.22</c:v>
                </c:pt>
                <c:pt idx="287">
                  <c:v>85.83</c:v>
                </c:pt>
                <c:pt idx="288">
                  <c:v>86.4</c:v>
                </c:pt>
                <c:pt idx="289">
                  <c:v>86.08</c:v>
                </c:pt>
                <c:pt idx="290">
                  <c:v>86.11</c:v>
                </c:pt>
                <c:pt idx="291">
                  <c:v>86.36</c:v>
                </c:pt>
                <c:pt idx="292">
                  <c:v>86.22</c:v>
                </c:pt>
                <c:pt idx="293">
                  <c:v>86.15</c:v>
                </c:pt>
                <c:pt idx="294">
                  <c:v>85.84</c:v>
                </c:pt>
                <c:pt idx="295">
                  <c:v>86.03</c:v>
                </c:pt>
                <c:pt idx="296">
                  <c:v>85.47</c:v>
                </c:pt>
                <c:pt idx="297">
                  <c:v>85.32</c:v>
                </c:pt>
                <c:pt idx="298">
                  <c:v>85.61</c:v>
                </c:pt>
                <c:pt idx="299">
                  <c:v>85.42</c:v>
                </c:pt>
                <c:pt idx="300">
                  <c:v>85.49</c:v>
                </c:pt>
                <c:pt idx="301">
                  <c:v>85.37</c:v>
                </c:pt>
                <c:pt idx="302">
                  <c:v>85.24</c:v>
                </c:pt>
                <c:pt idx="303">
                  <c:v>84.66</c:v>
                </c:pt>
                <c:pt idx="304">
                  <c:v>84.46</c:v>
                </c:pt>
                <c:pt idx="305">
                  <c:v>84.36</c:v>
                </c:pt>
                <c:pt idx="306">
                  <c:v>83.91</c:v>
                </c:pt>
                <c:pt idx="307">
                  <c:v>84.18</c:v>
                </c:pt>
                <c:pt idx="308">
                  <c:v>84</c:v>
                </c:pt>
                <c:pt idx="309">
                  <c:v>83.39</c:v>
                </c:pt>
                <c:pt idx="310">
                  <c:v>83.17</c:v>
                </c:pt>
                <c:pt idx="311">
                  <c:v>82.9</c:v>
                </c:pt>
                <c:pt idx="312">
                  <c:v>82.6</c:v>
                </c:pt>
                <c:pt idx="313">
                  <c:v>82.4</c:v>
                </c:pt>
                <c:pt idx="314">
                  <c:v>81.12</c:v>
                </c:pt>
                <c:pt idx="315">
                  <c:v>80.89</c:v>
                </c:pt>
                <c:pt idx="316">
                  <c:v>80.239999999999995</c:v>
                </c:pt>
                <c:pt idx="317">
                  <c:v>79.39</c:v>
                </c:pt>
                <c:pt idx="318">
                  <c:v>78.34</c:v>
                </c:pt>
                <c:pt idx="319">
                  <c:v>77.66</c:v>
                </c:pt>
                <c:pt idx="320">
                  <c:v>76.88</c:v>
                </c:pt>
                <c:pt idx="321">
                  <c:v>75.989999999999995</c:v>
                </c:pt>
                <c:pt idx="322">
                  <c:v>75.290000000000006</c:v>
                </c:pt>
                <c:pt idx="323">
                  <c:v>73.92</c:v>
                </c:pt>
                <c:pt idx="324">
                  <c:v>72.760000000000005</c:v>
                </c:pt>
                <c:pt idx="325">
                  <c:v>70.599999999999994</c:v>
                </c:pt>
                <c:pt idx="326">
                  <c:v>70.11</c:v>
                </c:pt>
                <c:pt idx="327">
                  <c:v>69.75</c:v>
                </c:pt>
                <c:pt idx="328">
                  <c:v>68.680000000000007</c:v>
                </c:pt>
                <c:pt idx="329">
                  <c:v>67.709999999999994</c:v>
                </c:pt>
                <c:pt idx="330">
                  <c:v>65.61</c:v>
                </c:pt>
                <c:pt idx="331">
                  <c:v>64.5</c:v>
                </c:pt>
                <c:pt idx="332">
                  <c:v>64.150000000000006</c:v>
                </c:pt>
                <c:pt idx="333">
                  <c:v>62.85</c:v>
                </c:pt>
                <c:pt idx="334">
                  <c:v>62.32</c:v>
                </c:pt>
                <c:pt idx="335">
                  <c:v>61.75</c:v>
                </c:pt>
                <c:pt idx="336">
                  <c:v>60.46</c:v>
                </c:pt>
                <c:pt idx="337">
                  <c:v>60.13</c:v>
                </c:pt>
                <c:pt idx="338">
                  <c:v>58.69</c:v>
                </c:pt>
                <c:pt idx="339">
                  <c:v>58.79</c:v>
                </c:pt>
                <c:pt idx="340">
                  <c:v>58.83</c:v>
                </c:pt>
                <c:pt idx="341">
                  <c:v>58.84</c:v>
                </c:pt>
                <c:pt idx="342">
                  <c:v>57.43</c:v>
                </c:pt>
                <c:pt idx="343">
                  <c:v>56.51</c:v>
                </c:pt>
                <c:pt idx="344">
                  <c:v>56.04</c:v>
                </c:pt>
                <c:pt idx="345">
                  <c:v>55.83</c:v>
                </c:pt>
                <c:pt idx="346">
                  <c:v>55.16</c:v>
                </c:pt>
                <c:pt idx="347">
                  <c:v>54.56</c:v>
                </c:pt>
                <c:pt idx="348">
                  <c:v>55</c:v>
                </c:pt>
                <c:pt idx="349">
                  <c:v>54.82</c:v>
                </c:pt>
                <c:pt idx="350">
                  <c:v>54.83</c:v>
                </c:pt>
                <c:pt idx="351">
                  <c:v>54.27</c:v>
                </c:pt>
                <c:pt idx="352">
                  <c:v>53.77</c:v>
                </c:pt>
                <c:pt idx="353">
                  <c:v>53.9</c:v>
                </c:pt>
                <c:pt idx="354">
                  <c:v>53.72</c:v>
                </c:pt>
                <c:pt idx="355">
                  <c:v>53.63</c:v>
                </c:pt>
                <c:pt idx="356">
                  <c:v>54.07</c:v>
                </c:pt>
                <c:pt idx="357">
                  <c:v>53.72</c:v>
                </c:pt>
                <c:pt idx="358">
                  <c:v>53.73</c:v>
                </c:pt>
                <c:pt idx="359">
                  <c:v>53.77</c:v>
                </c:pt>
                <c:pt idx="360">
                  <c:v>54.07</c:v>
                </c:pt>
                <c:pt idx="361">
                  <c:v>54.33</c:v>
                </c:pt>
                <c:pt idx="362">
                  <c:v>54.35</c:v>
                </c:pt>
                <c:pt idx="363">
                  <c:v>54.36</c:v>
                </c:pt>
                <c:pt idx="364">
                  <c:v>54.47</c:v>
                </c:pt>
                <c:pt idx="365">
                  <c:v>54.83</c:v>
                </c:pt>
                <c:pt idx="366">
                  <c:v>55.52</c:v>
                </c:pt>
                <c:pt idx="367">
                  <c:v>57.07</c:v>
                </c:pt>
                <c:pt idx="368">
                  <c:v>57.36</c:v>
                </c:pt>
                <c:pt idx="369">
                  <c:v>57.41</c:v>
                </c:pt>
                <c:pt idx="370">
                  <c:v>57.67</c:v>
                </c:pt>
                <c:pt idx="371">
                  <c:v>56.36</c:v>
                </c:pt>
                <c:pt idx="372">
                  <c:v>56.12</c:v>
                </c:pt>
                <c:pt idx="373">
                  <c:v>55.36</c:v>
                </c:pt>
                <c:pt idx="374">
                  <c:v>55.53</c:v>
                </c:pt>
                <c:pt idx="375">
                  <c:v>55.68</c:v>
                </c:pt>
                <c:pt idx="376">
                  <c:v>56.12</c:v>
                </c:pt>
                <c:pt idx="377">
                  <c:v>55.35</c:v>
                </c:pt>
                <c:pt idx="378">
                  <c:v>55.88</c:v>
                </c:pt>
                <c:pt idx="379">
                  <c:v>55.79</c:v>
                </c:pt>
                <c:pt idx="380">
                  <c:v>55.24</c:v>
                </c:pt>
                <c:pt idx="381">
                  <c:v>55.29</c:v>
                </c:pt>
                <c:pt idx="382">
                  <c:v>54.06</c:v>
                </c:pt>
                <c:pt idx="383">
                  <c:v>54.28</c:v>
                </c:pt>
                <c:pt idx="384">
                  <c:v>54.52</c:v>
                </c:pt>
                <c:pt idx="385">
                  <c:v>54.57</c:v>
                </c:pt>
                <c:pt idx="386">
                  <c:v>55.04</c:v>
                </c:pt>
                <c:pt idx="387">
                  <c:v>54.68</c:v>
                </c:pt>
                <c:pt idx="388">
                  <c:v>53.74</c:v>
                </c:pt>
                <c:pt idx="389">
                  <c:v>55.06</c:v>
                </c:pt>
                <c:pt idx="390">
                  <c:v>55.28</c:v>
                </c:pt>
                <c:pt idx="391">
                  <c:v>55.12</c:v>
                </c:pt>
                <c:pt idx="392">
                  <c:v>54.71</c:v>
                </c:pt>
                <c:pt idx="393">
                  <c:v>54.92</c:v>
                </c:pt>
                <c:pt idx="394">
                  <c:v>53.62</c:v>
                </c:pt>
                <c:pt idx="395">
                  <c:v>53.75</c:v>
                </c:pt>
                <c:pt idx="396">
                  <c:v>53.22</c:v>
                </c:pt>
                <c:pt idx="397">
                  <c:v>53.47</c:v>
                </c:pt>
                <c:pt idx="398">
                  <c:v>53.19</c:v>
                </c:pt>
                <c:pt idx="399">
                  <c:v>53.13</c:v>
                </c:pt>
                <c:pt idx="400">
                  <c:v>52.96</c:v>
                </c:pt>
                <c:pt idx="401">
                  <c:v>52.97</c:v>
                </c:pt>
                <c:pt idx="402">
                  <c:v>52.65</c:v>
                </c:pt>
                <c:pt idx="403">
                  <c:v>52.84</c:v>
                </c:pt>
                <c:pt idx="404">
                  <c:v>53.26</c:v>
                </c:pt>
                <c:pt idx="405">
                  <c:v>53.33</c:v>
                </c:pt>
                <c:pt idx="406">
                  <c:v>53.19</c:v>
                </c:pt>
                <c:pt idx="407">
                  <c:v>53.22</c:v>
                </c:pt>
                <c:pt idx="408">
                  <c:v>53.55</c:v>
                </c:pt>
                <c:pt idx="409">
                  <c:v>53.65</c:v>
                </c:pt>
                <c:pt idx="410">
                  <c:v>53.47</c:v>
                </c:pt>
                <c:pt idx="411">
                  <c:v>53.96</c:v>
                </c:pt>
                <c:pt idx="412">
                  <c:v>53.56</c:v>
                </c:pt>
                <c:pt idx="413">
                  <c:v>53.38</c:v>
                </c:pt>
                <c:pt idx="414">
                  <c:v>53.44</c:v>
                </c:pt>
                <c:pt idx="415">
                  <c:v>53.5</c:v>
                </c:pt>
                <c:pt idx="416">
                  <c:v>53.7</c:v>
                </c:pt>
                <c:pt idx="417">
                  <c:v>53.54</c:v>
                </c:pt>
                <c:pt idx="418">
                  <c:v>53.88</c:v>
                </c:pt>
                <c:pt idx="419">
                  <c:v>53.82</c:v>
                </c:pt>
                <c:pt idx="420">
                  <c:v>54</c:v>
                </c:pt>
                <c:pt idx="421">
                  <c:v>53.86</c:v>
                </c:pt>
                <c:pt idx="422">
                  <c:v>54.56</c:v>
                </c:pt>
                <c:pt idx="423">
                  <c:v>53.82</c:v>
                </c:pt>
                <c:pt idx="424">
                  <c:v>53.28</c:v>
                </c:pt>
                <c:pt idx="425">
                  <c:v>53.06</c:v>
                </c:pt>
                <c:pt idx="426">
                  <c:v>53.99</c:v>
                </c:pt>
                <c:pt idx="427">
                  <c:v>53.87</c:v>
                </c:pt>
                <c:pt idx="428">
                  <c:v>53.82</c:v>
                </c:pt>
                <c:pt idx="429">
                  <c:v>54.29</c:v>
                </c:pt>
                <c:pt idx="430">
                  <c:v>54.34</c:v>
                </c:pt>
                <c:pt idx="431">
                  <c:v>54.43</c:v>
                </c:pt>
                <c:pt idx="432">
                  <c:v>54.9</c:v>
                </c:pt>
                <c:pt idx="433">
                  <c:v>55.73</c:v>
                </c:pt>
                <c:pt idx="434">
                  <c:v>55.97</c:v>
                </c:pt>
                <c:pt idx="435">
                  <c:v>56.39</c:v>
                </c:pt>
                <c:pt idx="436">
                  <c:v>57.02</c:v>
                </c:pt>
                <c:pt idx="437">
                  <c:v>57.47</c:v>
                </c:pt>
                <c:pt idx="438">
                  <c:v>58.08</c:v>
                </c:pt>
                <c:pt idx="439">
                  <c:v>57.81</c:v>
                </c:pt>
                <c:pt idx="440">
                  <c:v>58.47</c:v>
                </c:pt>
                <c:pt idx="441">
                  <c:v>59.19</c:v>
                </c:pt>
                <c:pt idx="442">
                  <c:v>59.72</c:v>
                </c:pt>
                <c:pt idx="443">
                  <c:v>59.96</c:v>
                </c:pt>
                <c:pt idx="444">
                  <c:v>60.52</c:v>
                </c:pt>
                <c:pt idx="445">
                  <c:v>60.34</c:v>
                </c:pt>
                <c:pt idx="446">
                  <c:v>59.74</c:v>
                </c:pt>
                <c:pt idx="447">
                  <c:v>59.42</c:v>
                </c:pt>
                <c:pt idx="448">
                  <c:v>58.81</c:v>
                </c:pt>
                <c:pt idx="449">
                  <c:v>58.48</c:v>
                </c:pt>
                <c:pt idx="450">
                  <c:v>58.53</c:v>
                </c:pt>
                <c:pt idx="451">
                  <c:v>58.84</c:v>
                </c:pt>
                <c:pt idx="452">
                  <c:v>59</c:v>
                </c:pt>
                <c:pt idx="453">
                  <c:v>58.92</c:v>
                </c:pt>
                <c:pt idx="454">
                  <c:v>58.91</c:v>
                </c:pt>
                <c:pt idx="455">
                  <c:v>58.81</c:v>
                </c:pt>
                <c:pt idx="456">
                  <c:v>58.98</c:v>
                </c:pt>
                <c:pt idx="457">
                  <c:v>59.25</c:v>
                </c:pt>
                <c:pt idx="458">
                  <c:v>60.02</c:v>
                </c:pt>
                <c:pt idx="459">
                  <c:v>60.03</c:v>
                </c:pt>
                <c:pt idx="460">
                  <c:v>59.99</c:v>
                </c:pt>
                <c:pt idx="461">
                  <c:v>60.05</c:v>
                </c:pt>
                <c:pt idx="462">
                  <c:v>59.46</c:v>
                </c:pt>
                <c:pt idx="463">
                  <c:v>59.36</c:v>
                </c:pt>
                <c:pt idx="464">
                  <c:v>59.51</c:v>
                </c:pt>
                <c:pt idx="465">
                  <c:v>59.87</c:v>
                </c:pt>
                <c:pt idx="466">
                  <c:v>59.67</c:v>
                </c:pt>
                <c:pt idx="467">
                  <c:v>60.15</c:v>
                </c:pt>
                <c:pt idx="468">
                  <c:v>61.14</c:v>
                </c:pt>
                <c:pt idx="469">
                  <c:v>60.74</c:v>
                </c:pt>
                <c:pt idx="470">
                  <c:v>60.76</c:v>
                </c:pt>
                <c:pt idx="471">
                  <c:v>61.11</c:v>
                </c:pt>
                <c:pt idx="472">
                  <c:v>61.16</c:v>
                </c:pt>
                <c:pt idx="473">
                  <c:v>61.18</c:v>
                </c:pt>
                <c:pt idx="474">
                  <c:v>60.96</c:v>
                </c:pt>
                <c:pt idx="475">
                  <c:v>61.51</c:v>
                </c:pt>
                <c:pt idx="476">
                  <c:v>61.92</c:v>
                </c:pt>
                <c:pt idx="477">
                  <c:v>61.63</c:v>
                </c:pt>
                <c:pt idx="478">
                  <c:v>62.74</c:v>
                </c:pt>
                <c:pt idx="479">
                  <c:v>62.63</c:v>
                </c:pt>
                <c:pt idx="480">
                  <c:v>63.29</c:v>
                </c:pt>
                <c:pt idx="481">
                  <c:v>64.67</c:v>
                </c:pt>
                <c:pt idx="482">
                  <c:v>64.91</c:v>
                </c:pt>
                <c:pt idx="483">
                  <c:v>65.790000000000006</c:v>
                </c:pt>
                <c:pt idx="484">
                  <c:v>65.94</c:v>
                </c:pt>
                <c:pt idx="485">
                  <c:v>67.260000000000005</c:v>
                </c:pt>
                <c:pt idx="486">
                  <c:v>67.5</c:v>
                </c:pt>
                <c:pt idx="487">
                  <c:v>68.13</c:v>
                </c:pt>
                <c:pt idx="488">
                  <c:v>68.209999999999994</c:v>
                </c:pt>
                <c:pt idx="489">
                  <c:v>67.569999999999993</c:v>
                </c:pt>
                <c:pt idx="490">
                  <c:v>67.56</c:v>
                </c:pt>
                <c:pt idx="491">
                  <c:v>67.42</c:v>
                </c:pt>
                <c:pt idx="492">
                  <c:v>67.55</c:v>
                </c:pt>
                <c:pt idx="493">
                  <c:v>67.59</c:v>
                </c:pt>
                <c:pt idx="494">
                  <c:v>67.56</c:v>
                </c:pt>
                <c:pt idx="495">
                  <c:v>67.84</c:v>
                </c:pt>
                <c:pt idx="496">
                  <c:v>68.02</c:v>
                </c:pt>
                <c:pt idx="497">
                  <c:v>69.209999999999994</c:v>
                </c:pt>
                <c:pt idx="498">
                  <c:v>69.75</c:v>
                </c:pt>
                <c:pt idx="499">
                  <c:v>69.77</c:v>
                </c:pt>
                <c:pt idx="500">
                  <c:v>71.319999999999993</c:v>
                </c:pt>
                <c:pt idx="501">
                  <c:v>70.47</c:v>
                </c:pt>
                <c:pt idx="502">
                  <c:v>70.12</c:v>
                </c:pt>
                <c:pt idx="503">
                  <c:v>70.239999999999995</c:v>
                </c:pt>
                <c:pt idx="504">
                  <c:v>69.3</c:v>
                </c:pt>
                <c:pt idx="505">
                  <c:v>68</c:v>
                </c:pt>
                <c:pt idx="506">
                  <c:v>67.239999999999995</c:v>
                </c:pt>
                <c:pt idx="507">
                  <c:v>66.08</c:v>
                </c:pt>
                <c:pt idx="508">
                  <c:v>65.53</c:v>
                </c:pt>
                <c:pt idx="509">
                  <c:v>64.8</c:v>
                </c:pt>
                <c:pt idx="510">
                  <c:v>64.09</c:v>
                </c:pt>
                <c:pt idx="511">
                  <c:v>63</c:v>
                </c:pt>
                <c:pt idx="512">
                  <c:v>62.28</c:v>
                </c:pt>
                <c:pt idx="513">
                  <c:v>62.11</c:v>
                </c:pt>
                <c:pt idx="514">
                  <c:v>62.64</c:v>
                </c:pt>
                <c:pt idx="515">
                  <c:v>62.24</c:v>
                </c:pt>
                <c:pt idx="516">
                  <c:v>61.95</c:v>
                </c:pt>
                <c:pt idx="517">
                  <c:v>62.15</c:v>
                </c:pt>
                <c:pt idx="518">
                  <c:v>62.81</c:v>
                </c:pt>
                <c:pt idx="519">
                  <c:v>62.34</c:v>
                </c:pt>
                <c:pt idx="520">
                  <c:v>61.45</c:v>
                </c:pt>
                <c:pt idx="521">
                  <c:v>62.13</c:v>
                </c:pt>
                <c:pt idx="522">
                  <c:v>62.72</c:v>
                </c:pt>
                <c:pt idx="523">
                  <c:v>62.82</c:v>
                </c:pt>
                <c:pt idx="524">
                  <c:v>63.28</c:v>
                </c:pt>
                <c:pt idx="525">
                  <c:v>62.71</c:v>
                </c:pt>
                <c:pt idx="526">
                  <c:v>62.17</c:v>
                </c:pt>
                <c:pt idx="527">
                  <c:v>62.13</c:v>
                </c:pt>
                <c:pt idx="528">
                  <c:v>62.12</c:v>
                </c:pt>
                <c:pt idx="529">
                  <c:v>62.47</c:v>
                </c:pt>
                <c:pt idx="530">
                  <c:v>62.57</c:v>
                </c:pt>
                <c:pt idx="531">
                  <c:v>62.85</c:v>
                </c:pt>
                <c:pt idx="532">
                  <c:v>63.11</c:v>
                </c:pt>
                <c:pt idx="533">
                  <c:v>62.87</c:v>
                </c:pt>
                <c:pt idx="534">
                  <c:v>63.06</c:v>
                </c:pt>
                <c:pt idx="535">
                  <c:v>63.11</c:v>
                </c:pt>
                <c:pt idx="536">
                  <c:v>62.91</c:v>
                </c:pt>
                <c:pt idx="537">
                  <c:v>62.3</c:v>
                </c:pt>
                <c:pt idx="538">
                  <c:v>62.23</c:v>
                </c:pt>
                <c:pt idx="539">
                  <c:v>62.72</c:v>
                </c:pt>
                <c:pt idx="540">
                  <c:v>63.01</c:v>
                </c:pt>
                <c:pt idx="541">
                  <c:v>62.77</c:v>
                </c:pt>
                <c:pt idx="542">
                  <c:v>62.75</c:v>
                </c:pt>
                <c:pt idx="543">
                  <c:v>62.84</c:v>
                </c:pt>
                <c:pt idx="544">
                  <c:v>62.87</c:v>
                </c:pt>
                <c:pt idx="545">
                  <c:v>62.9</c:v>
                </c:pt>
                <c:pt idx="546">
                  <c:v>63.07</c:v>
                </c:pt>
                <c:pt idx="547">
                  <c:v>63</c:v>
                </c:pt>
                <c:pt idx="548">
                  <c:v>63.24</c:v>
                </c:pt>
                <c:pt idx="549">
                  <c:v>63.17</c:v>
                </c:pt>
                <c:pt idx="550">
                  <c:v>62.87</c:v>
                </c:pt>
                <c:pt idx="551">
                  <c:v>62.86</c:v>
                </c:pt>
                <c:pt idx="552">
                  <c:v>62.75</c:v>
                </c:pt>
                <c:pt idx="553">
                  <c:v>62.62</c:v>
                </c:pt>
                <c:pt idx="554">
                  <c:v>62.45</c:v>
                </c:pt>
                <c:pt idx="555">
                  <c:v>62.6</c:v>
                </c:pt>
                <c:pt idx="556">
                  <c:v>62.3</c:v>
                </c:pt>
                <c:pt idx="557">
                  <c:v>61.82</c:v>
                </c:pt>
                <c:pt idx="558">
                  <c:v>61.78</c:v>
                </c:pt>
                <c:pt idx="559">
                  <c:v>61.71</c:v>
                </c:pt>
                <c:pt idx="560">
                  <c:v>61.57</c:v>
                </c:pt>
                <c:pt idx="561">
                  <c:v>61.49</c:v>
                </c:pt>
                <c:pt idx="562">
                  <c:v>61.48</c:v>
                </c:pt>
                <c:pt idx="563">
                  <c:v>60.99</c:v>
                </c:pt>
                <c:pt idx="564">
                  <c:v>60.62</c:v>
                </c:pt>
                <c:pt idx="565">
                  <c:v>60.14</c:v>
                </c:pt>
                <c:pt idx="566">
                  <c:v>59.83</c:v>
                </c:pt>
                <c:pt idx="567">
                  <c:v>59.53</c:v>
                </c:pt>
                <c:pt idx="568">
                  <c:v>59.62</c:v>
                </c:pt>
                <c:pt idx="569">
                  <c:v>59.7</c:v>
                </c:pt>
                <c:pt idx="570">
                  <c:v>59.74</c:v>
                </c:pt>
                <c:pt idx="571">
                  <c:v>59.41</c:v>
                </c:pt>
                <c:pt idx="572">
                  <c:v>59.29</c:v>
                </c:pt>
                <c:pt idx="573">
                  <c:v>59.11</c:v>
                </c:pt>
                <c:pt idx="574">
                  <c:v>58.76</c:v>
                </c:pt>
                <c:pt idx="575">
                  <c:v>58.49</c:v>
                </c:pt>
                <c:pt idx="576">
                  <c:v>58.27</c:v>
                </c:pt>
                <c:pt idx="577">
                  <c:v>58.01</c:v>
                </c:pt>
                <c:pt idx="578">
                  <c:v>58.09</c:v>
                </c:pt>
                <c:pt idx="579">
                  <c:v>58.11</c:v>
                </c:pt>
                <c:pt idx="580">
                  <c:v>57.93</c:v>
                </c:pt>
                <c:pt idx="581">
                  <c:v>57.56</c:v>
                </c:pt>
                <c:pt idx="582">
                  <c:v>58.1</c:v>
                </c:pt>
                <c:pt idx="583">
                  <c:v>58.2</c:v>
                </c:pt>
                <c:pt idx="584">
                  <c:v>58.16</c:v>
                </c:pt>
                <c:pt idx="585">
                  <c:v>58.1</c:v>
                </c:pt>
                <c:pt idx="586">
                  <c:v>58.19</c:v>
                </c:pt>
                <c:pt idx="587">
                  <c:v>58.88</c:v>
                </c:pt>
                <c:pt idx="588">
                  <c:v>58.83</c:v>
                </c:pt>
                <c:pt idx="589">
                  <c:v>58.67</c:v>
                </c:pt>
                <c:pt idx="590">
                  <c:v>58.96</c:v>
                </c:pt>
                <c:pt idx="591">
                  <c:v>58.85</c:v>
                </c:pt>
                <c:pt idx="592">
                  <c:v>59.13</c:v>
                </c:pt>
                <c:pt idx="593">
                  <c:v>59.68</c:v>
                </c:pt>
                <c:pt idx="594">
                  <c:v>59.48</c:v>
                </c:pt>
                <c:pt idx="595">
                  <c:v>59.36</c:v>
                </c:pt>
                <c:pt idx="596">
                  <c:v>59.77</c:v>
                </c:pt>
                <c:pt idx="597">
                  <c:v>59.74</c:v>
                </c:pt>
                <c:pt idx="598">
                  <c:v>59.67</c:v>
                </c:pt>
                <c:pt idx="599">
                  <c:v>59.43</c:v>
                </c:pt>
                <c:pt idx="600">
                  <c:v>59.29</c:v>
                </c:pt>
                <c:pt idx="601">
                  <c:v>59.36</c:v>
                </c:pt>
                <c:pt idx="602">
                  <c:v>58.95</c:v>
                </c:pt>
                <c:pt idx="603">
                  <c:v>58.58</c:v>
                </c:pt>
                <c:pt idx="604">
                  <c:v>58.55</c:v>
                </c:pt>
                <c:pt idx="605">
                  <c:v>58.27</c:v>
                </c:pt>
                <c:pt idx="606">
                  <c:v>57.85</c:v>
                </c:pt>
                <c:pt idx="607">
                  <c:v>58.22</c:v>
                </c:pt>
                <c:pt idx="608">
                  <c:v>57.94</c:v>
                </c:pt>
                <c:pt idx="609">
                  <c:v>57.51</c:v>
                </c:pt>
                <c:pt idx="610">
                  <c:v>57.53</c:v>
                </c:pt>
                <c:pt idx="611">
                  <c:v>57.77</c:v>
                </c:pt>
                <c:pt idx="612">
                  <c:v>57.72</c:v>
                </c:pt>
                <c:pt idx="613">
                  <c:v>57.71</c:v>
                </c:pt>
                <c:pt idx="614">
                  <c:v>58.06</c:v>
                </c:pt>
                <c:pt idx="615">
                  <c:v>58.15</c:v>
                </c:pt>
                <c:pt idx="616">
                  <c:v>58.13</c:v>
                </c:pt>
                <c:pt idx="617">
                  <c:v>57.26</c:v>
                </c:pt>
                <c:pt idx="618">
                  <c:v>56.88</c:v>
                </c:pt>
                <c:pt idx="619">
                  <c:v>57.37</c:v>
                </c:pt>
                <c:pt idx="620">
                  <c:v>57.54</c:v>
                </c:pt>
                <c:pt idx="621">
                  <c:v>57.22</c:v>
                </c:pt>
                <c:pt idx="622">
                  <c:v>57.32</c:v>
                </c:pt>
                <c:pt idx="623">
                  <c:v>56.87</c:v>
                </c:pt>
                <c:pt idx="624">
                  <c:v>56.4</c:v>
                </c:pt>
                <c:pt idx="625">
                  <c:v>56.12</c:v>
                </c:pt>
                <c:pt idx="626">
                  <c:v>56.11</c:v>
                </c:pt>
                <c:pt idx="627">
                  <c:v>56.14</c:v>
                </c:pt>
                <c:pt idx="628">
                  <c:v>56.21</c:v>
                </c:pt>
                <c:pt idx="629">
                  <c:v>55.84</c:v>
                </c:pt>
                <c:pt idx="630">
                  <c:v>56.49</c:v>
                </c:pt>
                <c:pt idx="631">
                  <c:v>56.7</c:v>
                </c:pt>
                <c:pt idx="632">
                  <c:v>56.35</c:v>
                </c:pt>
                <c:pt idx="633">
                  <c:v>56.33</c:v>
                </c:pt>
                <c:pt idx="634">
                  <c:v>56.17</c:v>
                </c:pt>
                <c:pt idx="635">
                  <c:v>57.24</c:v>
                </c:pt>
                <c:pt idx="636">
                  <c:v>57.48</c:v>
                </c:pt>
                <c:pt idx="637">
                  <c:v>57.56</c:v>
                </c:pt>
                <c:pt idx="638">
                  <c:v>58.41</c:v>
                </c:pt>
                <c:pt idx="639">
                  <c:v>58.56</c:v>
                </c:pt>
                <c:pt idx="640">
                  <c:v>58.91</c:v>
                </c:pt>
                <c:pt idx="641">
                  <c:v>58.81</c:v>
                </c:pt>
                <c:pt idx="642">
                  <c:v>58.45</c:v>
                </c:pt>
                <c:pt idx="643">
                  <c:v>58.35</c:v>
                </c:pt>
                <c:pt idx="644">
                  <c:v>59.2</c:v>
                </c:pt>
                <c:pt idx="645">
                  <c:v>59.44</c:v>
                </c:pt>
                <c:pt idx="646">
                  <c:v>59.34</c:v>
                </c:pt>
                <c:pt idx="647">
                  <c:v>59.14</c:v>
                </c:pt>
                <c:pt idx="648">
                  <c:v>59.19</c:v>
                </c:pt>
                <c:pt idx="649">
                  <c:v>59.2</c:v>
                </c:pt>
                <c:pt idx="650">
                  <c:v>59.02</c:v>
                </c:pt>
                <c:pt idx="651">
                  <c:v>58.86</c:v>
                </c:pt>
                <c:pt idx="652">
                  <c:v>59.07</c:v>
                </c:pt>
                <c:pt idx="653">
                  <c:v>59.22</c:v>
                </c:pt>
                <c:pt idx="654">
                  <c:v>59.39</c:v>
                </c:pt>
                <c:pt idx="655">
                  <c:v>59.01</c:v>
                </c:pt>
                <c:pt idx="656">
                  <c:v>59.75</c:v>
                </c:pt>
                <c:pt idx="657">
                  <c:v>59.83</c:v>
                </c:pt>
                <c:pt idx="658">
                  <c:v>59.69</c:v>
                </c:pt>
                <c:pt idx="659">
                  <c:v>59.89</c:v>
                </c:pt>
                <c:pt idx="660">
                  <c:v>60.12</c:v>
                </c:pt>
                <c:pt idx="661">
                  <c:v>60.02</c:v>
                </c:pt>
                <c:pt idx="662">
                  <c:v>59.74</c:v>
                </c:pt>
                <c:pt idx="663">
                  <c:v>59.98</c:v>
                </c:pt>
                <c:pt idx="664">
                  <c:v>59.92</c:v>
                </c:pt>
                <c:pt idx="665">
                  <c:v>60.27</c:v>
                </c:pt>
                <c:pt idx="666">
                  <c:v>60.59</c:v>
                </c:pt>
                <c:pt idx="667">
                  <c:v>60.7</c:v>
                </c:pt>
                <c:pt idx="668">
                  <c:v>61.14</c:v>
                </c:pt>
                <c:pt idx="669">
                  <c:v>61.57</c:v>
                </c:pt>
                <c:pt idx="670">
                  <c:v>61.89</c:v>
                </c:pt>
                <c:pt idx="671">
                  <c:v>62.17</c:v>
                </c:pt>
                <c:pt idx="672">
                  <c:v>62.33</c:v>
                </c:pt>
                <c:pt idx="673">
                  <c:v>62.82</c:v>
                </c:pt>
                <c:pt idx="674">
                  <c:v>63.42</c:v>
                </c:pt>
                <c:pt idx="675">
                  <c:v>63.5</c:v>
                </c:pt>
                <c:pt idx="676">
                  <c:v>62.74</c:v>
                </c:pt>
                <c:pt idx="677">
                  <c:v>62.42</c:v>
                </c:pt>
                <c:pt idx="678">
                  <c:v>62.02</c:v>
                </c:pt>
                <c:pt idx="679">
                  <c:v>62.34</c:v>
                </c:pt>
                <c:pt idx="680">
                  <c:v>62.31</c:v>
                </c:pt>
                <c:pt idx="681">
                  <c:v>62.2</c:v>
                </c:pt>
                <c:pt idx="682">
                  <c:v>62.69</c:v>
                </c:pt>
                <c:pt idx="683">
                  <c:v>63.24</c:v>
                </c:pt>
                <c:pt idx="684">
                  <c:v>63.34</c:v>
                </c:pt>
                <c:pt idx="685">
                  <c:v>63.57</c:v>
                </c:pt>
                <c:pt idx="686">
                  <c:v>63.88</c:v>
                </c:pt>
                <c:pt idx="687">
                  <c:v>64.3</c:v>
                </c:pt>
                <c:pt idx="688">
                  <c:v>65.040000000000006</c:v>
                </c:pt>
                <c:pt idx="689">
                  <c:v>65.52</c:v>
                </c:pt>
                <c:pt idx="690">
                  <c:v>65.709999999999994</c:v>
                </c:pt>
                <c:pt idx="691">
                  <c:v>66.209999999999994</c:v>
                </c:pt>
                <c:pt idx="692">
                  <c:v>66.05</c:v>
                </c:pt>
                <c:pt idx="693">
                  <c:v>66.209999999999994</c:v>
                </c:pt>
                <c:pt idx="694">
                  <c:v>67.069999999999993</c:v>
                </c:pt>
                <c:pt idx="695">
                  <c:v>67.69</c:v>
                </c:pt>
                <c:pt idx="696">
                  <c:v>67.75</c:v>
                </c:pt>
                <c:pt idx="697">
                  <c:v>67.81</c:v>
                </c:pt>
                <c:pt idx="698">
                  <c:v>67.959999999999994</c:v>
                </c:pt>
                <c:pt idx="699">
                  <c:v>68.44</c:v>
                </c:pt>
                <c:pt idx="700">
                  <c:v>68.42</c:v>
                </c:pt>
                <c:pt idx="701">
                  <c:v>68.77</c:v>
                </c:pt>
                <c:pt idx="702">
                  <c:v>69.760000000000005</c:v>
                </c:pt>
                <c:pt idx="703">
                  <c:v>69.94</c:v>
                </c:pt>
                <c:pt idx="704">
                  <c:v>70.59</c:v>
                </c:pt>
                <c:pt idx="705">
                  <c:v>71.36</c:v>
                </c:pt>
                <c:pt idx="706">
                  <c:v>71.67</c:v>
                </c:pt>
                <c:pt idx="707">
                  <c:v>72.17</c:v>
                </c:pt>
                <c:pt idx="708">
                  <c:v>72.37</c:v>
                </c:pt>
                <c:pt idx="709">
                  <c:v>72.67</c:v>
                </c:pt>
                <c:pt idx="710">
                  <c:v>72.94</c:v>
                </c:pt>
                <c:pt idx="711">
                  <c:v>73.11</c:v>
                </c:pt>
                <c:pt idx="712">
                  <c:v>72.930000000000007</c:v>
                </c:pt>
                <c:pt idx="713">
                  <c:v>73.069999999999993</c:v>
                </c:pt>
                <c:pt idx="714">
                  <c:v>74.209999999999994</c:v>
                </c:pt>
                <c:pt idx="715">
                  <c:v>74.41</c:v>
                </c:pt>
                <c:pt idx="716">
                  <c:v>74.64</c:v>
                </c:pt>
                <c:pt idx="717">
                  <c:v>74.55</c:v>
                </c:pt>
                <c:pt idx="718">
                  <c:v>74.37</c:v>
                </c:pt>
                <c:pt idx="719">
                  <c:v>74.45</c:v>
                </c:pt>
                <c:pt idx="720">
                  <c:v>74.67</c:v>
                </c:pt>
                <c:pt idx="721">
                  <c:v>74.66</c:v>
                </c:pt>
                <c:pt idx="722">
                  <c:v>73.55</c:v>
                </c:pt>
                <c:pt idx="723">
                  <c:v>73.459999999999994</c:v>
                </c:pt>
                <c:pt idx="724">
                  <c:v>73.41</c:v>
                </c:pt>
                <c:pt idx="725">
                  <c:v>73.48</c:v>
                </c:pt>
                <c:pt idx="726">
                  <c:v>73.12</c:v>
                </c:pt>
                <c:pt idx="727">
                  <c:v>72.510000000000005</c:v>
                </c:pt>
                <c:pt idx="728">
                  <c:v>72.459999999999994</c:v>
                </c:pt>
                <c:pt idx="729">
                  <c:v>72.77</c:v>
                </c:pt>
                <c:pt idx="730">
                  <c:v>72.69</c:v>
                </c:pt>
                <c:pt idx="731">
                  <c:v>72.569999999999993</c:v>
                </c:pt>
                <c:pt idx="732">
                  <c:v>72.47</c:v>
                </c:pt>
                <c:pt idx="733">
                  <c:v>73.09</c:v>
                </c:pt>
                <c:pt idx="734">
                  <c:v>73.2</c:v>
                </c:pt>
                <c:pt idx="735">
                  <c:v>73.540000000000006</c:v>
                </c:pt>
                <c:pt idx="736">
                  <c:v>73.62</c:v>
                </c:pt>
                <c:pt idx="737">
                  <c:v>73.67</c:v>
                </c:pt>
                <c:pt idx="738">
                  <c:v>73.25</c:v>
                </c:pt>
                <c:pt idx="739">
                  <c:v>72.930000000000007</c:v>
                </c:pt>
                <c:pt idx="740">
                  <c:v>72.89</c:v>
                </c:pt>
                <c:pt idx="741">
                  <c:v>72.73</c:v>
                </c:pt>
                <c:pt idx="742">
                  <c:v>72.739999999999995</c:v>
                </c:pt>
                <c:pt idx="743">
                  <c:v>72.45</c:v>
                </c:pt>
                <c:pt idx="744">
                  <c:v>72.73</c:v>
                </c:pt>
                <c:pt idx="745">
                  <c:v>72.84</c:v>
                </c:pt>
                <c:pt idx="746">
                  <c:v>72.69</c:v>
                </c:pt>
                <c:pt idx="747">
                  <c:v>72.650000000000006</c:v>
                </c:pt>
                <c:pt idx="748">
                  <c:v>72.69</c:v>
                </c:pt>
                <c:pt idx="749">
                  <c:v>72.94</c:v>
                </c:pt>
                <c:pt idx="750">
                  <c:v>72.989999999999995</c:v>
                </c:pt>
                <c:pt idx="751">
                  <c:v>73.14</c:v>
                </c:pt>
                <c:pt idx="752">
                  <c:v>73.98</c:v>
                </c:pt>
                <c:pt idx="753">
                  <c:v>74.23</c:v>
                </c:pt>
                <c:pt idx="754">
                  <c:v>74.319999999999993</c:v>
                </c:pt>
                <c:pt idx="755">
                  <c:v>74.91</c:v>
                </c:pt>
                <c:pt idx="756">
                  <c:v>74.92</c:v>
                </c:pt>
                <c:pt idx="757">
                  <c:v>74.69</c:v>
                </c:pt>
                <c:pt idx="758">
                  <c:v>74.97</c:v>
                </c:pt>
                <c:pt idx="759">
                  <c:v>74.42</c:v>
                </c:pt>
                <c:pt idx="760">
                  <c:v>74.25</c:v>
                </c:pt>
                <c:pt idx="761">
                  <c:v>73.849999999999994</c:v>
                </c:pt>
                <c:pt idx="762">
                  <c:v>74.02</c:v>
                </c:pt>
                <c:pt idx="763">
                  <c:v>74.099999999999994</c:v>
                </c:pt>
                <c:pt idx="764">
                  <c:v>73.88</c:v>
                </c:pt>
                <c:pt idx="765">
                  <c:v>73.86</c:v>
                </c:pt>
                <c:pt idx="766">
                  <c:v>74.040000000000006</c:v>
                </c:pt>
                <c:pt idx="767">
                  <c:v>74.05</c:v>
                </c:pt>
                <c:pt idx="768">
                  <c:v>74.489999999999995</c:v>
                </c:pt>
                <c:pt idx="769">
                  <c:v>74.790000000000006</c:v>
                </c:pt>
                <c:pt idx="770">
                  <c:v>74.989999999999995</c:v>
                </c:pt>
                <c:pt idx="771">
                  <c:v>75.319999999999993</c:v>
                </c:pt>
                <c:pt idx="772">
                  <c:v>75.599999999999994</c:v>
                </c:pt>
                <c:pt idx="773">
                  <c:v>76.040000000000006</c:v>
                </c:pt>
                <c:pt idx="774">
                  <c:v>76.42</c:v>
                </c:pt>
                <c:pt idx="775">
                  <c:v>77.239999999999995</c:v>
                </c:pt>
                <c:pt idx="776">
                  <c:v>77.260000000000005</c:v>
                </c:pt>
                <c:pt idx="777">
                  <c:v>77.959999999999994</c:v>
                </c:pt>
                <c:pt idx="778">
                  <c:v>79</c:v>
                </c:pt>
                <c:pt idx="779">
                  <c:v>79.12</c:v>
                </c:pt>
                <c:pt idx="780">
                  <c:v>79.86</c:v>
                </c:pt>
                <c:pt idx="781">
                  <c:v>79.62</c:v>
                </c:pt>
                <c:pt idx="782">
                  <c:v>78.91</c:v>
                </c:pt>
                <c:pt idx="783">
                  <c:v>81.260000000000005</c:v>
                </c:pt>
                <c:pt idx="784">
                  <c:v>83.62</c:v>
                </c:pt>
                <c:pt idx="785">
                  <c:v>84.19</c:v>
                </c:pt>
                <c:pt idx="786">
                  <c:v>84.85</c:v>
                </c:pt>
                <c:pt idx="787">
                  <c:v>86.67</c:v>
                </c:pt>
                <c:pt idx="788">
                  <c:v>87.18</c:v>
                </c:pt>
                <c:pt idx="789">
                  <c:v>87.68</c:v>
                </c:pt>
                <c:pt idx="790">
                  <c:v>87.49</c:v>
                </c:pt>
                <c:pt idx="791">
                  <c:v>87.67</c:v>
                </c:pt>
                <c:pt idx="792">
                  <c:v>87.85</c:v>
                </c:pt>
                <c:pt idx="793">
                  <c:v>88.71</c:v>
                </c:pt>
                <c:pt idx="794">
                  <c:v>88.52</c:v>
                </c:pt>
                <c:pt idx="795">
                  <c:v>89.08</c:v>
                </c:pt>
                <c:pt idx="796">
                  <c:v>89.39</c:v>
                </c:pt>
                <c:pt idx="797">
                  <c:v>89.88</c:v>
                </c:pt>
                <c:pt idx="798">
                  <c:v>89.83</c:v>
                </c:pt>
                <c:pt idx="799">
                  <c:v>90.26</c:v>
                </c:pt>
                <c:pt idx="800">
                  <c:v>90.33</c:v>
                </c:pt>
                <c:pt idx="801">
                  <c:v>90.18</c:v>
                </c:pt>
                <c:pt idx="802">
                  <c:v>90.08</c:v>
                </c:pt>
                <c:pt idx="803">
                  <c:v>90.14</c:v>
                </c:pt>
                <c:pt idx="804">
                  <c:v>89.74</c:v>
                </c:pt>
                <c:pt idx="805">
                  <c:v>89.12</c:v>
                </c:pt>
                <c:pt idx="806">
                  <c:v>88.94</c:v>
                </c:pt>
                <c:pt idx="807">
                  <c:v>87.92</c:v>
                </c:pt>
                <c:pt idx="808">
                  <c:v>87.87</c:v>
                </c:pt>
                <c:pt idx="809">
                  <c:v>87.71</c:v>
                </c:pt>
                <c:pt idx="810">
                  <c:v>86.62</c:v>
                </c:pt>
                <c:pt idx="811">
                  <c:v>85.97</c:v>
                </c:pt>
                <c:pt idx="812">
                  <c:v>84.82</c:v>
                </c:pt>
                <c:pt idx="813">
                  <c:v>84.63</c:v>
                </c:pt>
                <c:pt idx="814">
                  <c:v>84.83</c:v>
                </c:pt>
                <c:pt idx="815">
                  <c:v>85.25</c:v>
                </c:pt>
                <c:pt idx="816">
                  <c:v>85.72</c:v>
                </c:pt>
                <c:pt idx="817">
                  <c:v>85.57</c:v>
                </c:pt>
                <c:pt idx="818">
                  <c:v>84.98</c:v>
                </c:pt>
                <c:pt idx="819">
                  <c:v>85.3</c:v>
                </c:pt>
                <c:pt idx="820">
                  <c:v>84.71</c:v>
                </c:pt>
                <c:pt idx="821">
                  <c:v>83.78</c:v>
                </c:pt>
                <c:pt idx="822">
                  <c:v>83.49</c:v>
                </c:pt>
                <c:pt idx="823">
                  <c:v>82.57</c:v>
                </c:pt>
                <c:pt idx="824">
                  <c:v>81.97</c:v>
                </c:pt>
                <c:pt idx="825">
                  <c:v>81.599999999999994</c:v>
                </c:pt>
                <c:pt idx="826">
                  <c:v>80.540000000000006</c:v>
                </c:pt>
                <c:pt idx="827">
                  <c:v>80.489999999999995</c:v>
                </c:pt>
                <c:pt idx="828">
                  <c:v>80.37</c:v>
                </c:pt>
                <c:pt idx="829">
                  <c:v>80.13</c:v>
                </c:pt>
                <c:pt idx="830">
                  <c:v>79.069999999999993</c:v>
                </c:pt>
                <c:pt idx="831">
                  <c:v>79.05</c:v>
                </c:pt>
                <c:pt idx="832">
                  <c:v>77.61</c:v>
                </c:pt>
                <c:pt idx="833">
                  <c:v>76.38</c:v>
                </c:pt>
                <c:pt idx="834">
                  <c:v>75.930000000000007</c:v>
                </c:pt>
                <c:pt idx="835">
                  <c:v>75.069999999999993</c:v>
                </c:pt>
                <c:pt idx="836">
                  <c:v>74.34</c:v>
                </c:pt>
                <c:pt idx="837">
                  <c:v>73.569999999999993</c:v>
                </c:pt>
                <c:pt idx="838">
                  <c:v>73.12</c:v>
                </c:pt>
                <c:pt idx="839">
                  <c:v>73.069999999999993</c:v>
                </c:pt>
                <c:pt idx="840">
                  <c:v>72.930000000000007</c:v>
                </c:pt>
                <c:pt idx="841">
                  <c:v>72.680000000000007</c:v>
                </c:pt>
                <c:pt idx="842">
                  <c:v>72.59</c:v>
                </c:pt>
                <c:pt idx="843">
                  <c:v>72.03</c:v>
                </c:pt>
                <c:pt idx="844">
                  <c:v>71.22</c:v>
                </c:pt>
                <c:pt idx="845">
                  <c:v>71.13</c:v>
                </c:pt>
                <c:pt idx="846">
                  <c:v>71.239999999999995</c:v>
                </c:pt>
                <c:pt idx="847">
                  <c:v>70.819999999999993</c:v>
                </c:pt>
                <c:pt idx="848">
                  <c:v>69.42</c:v>
                </c:pt>
                <c:pt idx="849">
                  <c:v>69.17</c:v>
                </c:pt>
                <c:pt idx="850">
                  <c:v>68.95</c:v>
                </c:pt>
                <c:pt idx="851">
                  <c:v>68.849999999999994</c:v>
                </c:pt>
                <c:pt idx="852">
                  <c:v>68.89</c:v>
                </c:pt>
                <c:pt idx="853">
                  <c:v>69.02</c:v>
                </c:pt>
                <c:pt idx="854">
                  <c:v>68.959999999999994</c:v>
                </c:pt>
                <c:pt idx="855">
                  <c:v>69.53</c:v>
                </c:pt>
                <c:pt idx="856">
                  <c:v>68.790000000000006</c:v>
                </c:pt>
                <c:pt idx="857">
                  <c:v>67.73</c:v>
                </c:pt>
                <c:pt idx="858">
                  <c:v>67.97</c:v>
                </c:pt>
                <c:pt idx="859">
                  <c:v>67.64</c:v>
                </c:pt>
                <c:pt idx="860">
                  <c:v>67.61</c:v>
                </c:pt>
                <c:pt idx="861">
                  <c:v>67.5</c:v>
                </c:pt>
                <c:pt idx="862">
                  <c:v>67.36</c:v>
                </c:pt>
                <c:pt idx="863">
                  <c:v>68.069999999999993</c:v>
                </c:pt>
                <c:pt idx="864">
                  <c:v>68.11</c:v>
                </c:pt>
                <c:pt idx="865">
                  <c:v>68.430000000000007</c:v>
                </c:pt>
                <c:pt idx="866">
                  <c:v>68.27</c:v>
                </c:pt>
                <c:pt idx="867">
                  <c:v>68.040000000000006</c:v>
                </c:pt>
                <c:pt idx="868">
                  <c:v>67.58</c:v>
                </c:pt>
                <c:pt idx="869">
                  <c:v>67.650000000000006</c:v>
                </c:pt>
                <c:pt idx="870">
                  <c:v>67.02</c:v>
                </c:pt>
                <c:pt idx="871">
                  <c:v>65.680000000000007</c:v>
                </c:pt>
                <c:pt idx="872">
                  <c:v>65.25</c:v>
                </c:pt>
                <c:pt idx="873">
                  <c:v>64.150000000000006</c:v>
                </c:pt>
                <c:pt idx="874">
                  <c:v>64.05</c:v>
                </c:pt>
                <c:pt idx="875">
                  <c:v>63.44</c:v>
                </c:pt>
                <c:pt idx="876">
                  <c:v>63.35</c:v>
                </c:pt>
                <c:pt idx="877">
                  <c:v>63.19</c:v>
                </c:pt>
                <c:pt idx="878">
                  <c:v>62.98</c:v>
                </c:pt>
                <c:pt idx="879">
                  <c:v>62.91</c:v>
                </c:pt>
                <c:pt idx="880">
                  <c:v>62.73</c:v>
                </c:pt>
                <c:pt idx="881">
                  <c:v>62.78</c:v>
                </c:pt>
                <c:pt idx="882">
                  <c:v>62.84</c:v>
                </c:pt>
                <c:pt idx="883">
                  <c:v>62.93</c:v>
                </c:pt>
                <c:pt idx="884">
                  <c:v>63.39</c:v>
                </c:pt>
                <c:pt idx="885">
                  <c:v>63.56</c:v>
                </c:pt>
                <c:pt idx="886">
                  <c:v>64.02</c:v>
                </c:pt>
                <c:pt idx="887">
                  <c:v>64</c:v>
                </c:pt>
                <c:pt idx="888">
                  <c:v>64.11</c:v>
                </c:pt>
                <c:pt idx="889">
                  <c:v>63.74</c:v>
                </c:pt>
                <c:pt idx="890">
                  <c:v>63.7</c:v>
                </c:pt>
                <c:pt idx="891">
                  <c:v>63.64</c:v>
                </c:pt>
                <c:pt idx="892">
                  <c:v>63.51</c:v>
                </c:pt>
                <c:pt idx="893">
                  <c:v>63.54</c:v>
                </c:pt>
                <c:pt idx="894">
                  <c:v>63.71</c:v>
                </c:pt>
                <c:pt idx="895">
                  <c:v>64</c:v>
                </c:pt>
                <c:pt idx="896">
                  <c:v>64.010000000000005</c:v>
                </c:pt>
                <c:pt idx="897">
                  <c:v>63.67</c:v>
                </c:pt>
                <c:pt idx="898">
                  <c:v>63.58</c:v>
                </c:pt>
                <c:pt idx="899">
                  <c:v>63.61</c:v>
                </c:pt>
                <c:pt idx="900">
                  <c:v>63.65</c:v>
                </c:pt>
                <c:pt idx="901">
                  <c:v>63.89</c:v>
                </c:pt>
                <c:pt idx="902">
                  <c:v>63.7</c:v>
                </c:pt>
                <c:pt idx="903">
                  <c:v>63.37</c:v>
                </c:pt>
                <c:pt idx="904">
                  <c:v>63.26</c:v>
                </c:pt>
                <c:pt idx="905">
                  <c:v>63.33</c:v>
                </c:pt>
                <c:pt idx="906">
                  <c:v>63.83</c:v>
                </c:pt>
                <c:pt idx="907">
                  <c:v>63.87</c:v>
                </c:pt>
                <c:pt idx="908">
                  <c:v>64.03</c:v>
                </c:pt>
                <c:pt idx="909">
                  <c:v>64.05</c:v>
                </c:pt>
                <c:pt idx="910">
                  <c:v>64.319999999999993</c:v>
                </c:pt>
                <c:pt idx="911">
                  <c:v>64.34</c:v>
                </c:pt>
                <c:pt idx="912">
                  <c:v>64.489999999999995</c:v>
                </c:pt>
                <c:pt idx="913">
                  <c:v>64.260000000000005</c:v>
                </c:pt>
                <c:pt idx="914">
                  <c:v>64.290000000000006</c:v>
                </c:pt>
                <c:pt idx="915">
                  <c:v>64.34</c:v>
                </c:pt>
                <c:pt idx="916">
                  <c:v>64.53</c:v>
                </c:pt>
                <c:pt idx="917">
                  <c:v>64.58</c:v>
                </c:pt>
                <c:pt idx="918">
                  <c:v>64.7</c:v>
                </c:pt>
                <c:pt idx="919">
                  <c:v>64.78</c:v>
                </c:pt>
                <c:pt idx="920">
                  <c:v>64.819999999999993</c:v>
                </c:pt>
                <c:pt idx="921">
                  <c:v>65.150000000000006</c:v>
                </c:pt>
                <c:pt idx="922">
                  <c:v>65.069999999999993</c:v>
                </c:pt>
                <c:pt idx="923">
                  <c:v>64.97</c:v>
                </c:pt>
                <c:pt idx="924">
                  <c:v>65.03</c:v>
                </c:pt>
                <c:pt idx="925">
                  <c:v>65.08</c:v>
                </c:pt>
                <c:pt idx="926">
                  <c:v>65.19</c:v>
                </c:pt>
                <c:pt idx="927">
                  <c:v>65.36</c:v>
                </c:pt>
                <c:pt idx="928">
                  <c:v>65.33</c:v>
                </c:pt>
                <c:pt idx="929">
                  <c:v>65.319999999999993</c:v>
                </c:pt>
                <c:pt idx="930">
                  <c:v>64.75</c:v>
                </c:pt>
                <c:pt idx="931">
                  <c:v>64.319999999999993</c:v>
                </c:pt>
                <c:pt idx="932">
                  <c:v>64.33</c:v>
                </c:pt>
                <c:pt idx="933">
                  <c:v>64.36</c:v>
                </c:pt>
                <c:pt idx="934">
                  <c:v>64.34</c:v>
                </c:pt>
                <c:pt idx="935">
                  <c:v>64.36</c:v>
                </c:pt>
                <c:pt idx="936">
                  <c:v>64.260000000000005</c:v>
                </c:pt>
                <c:pt idx="937">
                  <c:v>64.31</c:v>
                </c:pt>
                <c:pt idx="938">
                  <c:v>64.569999999999993</c:v>
                </c:pt>
                <c:pt idx="939">
                  <c:v>64.77</c:v>
                </c:pt>
                <c:pt idx="940">
                  <c:v>64.930000000000007</c:v>
                </c:pt>
                <c:pt idx="941">
                  <c:v>65.09</c:v>
                </c:pt>
                <c:pt idx="942">
                  <c:v>65.3</c:v>
                </c:pt>
                <c:pt idx="943">
                  <c:v>65.19</c:v>
                </c:pt>
                <c:pt idx="944">
                  <c:v>65.209999999999994</c:v>
                </c:pt>
                <c:pt idx="945">
                  <c:v>65.150000000000006</c:v>
                </c:pt>
                <c:pt idx="946">
                  <c:v>64.98</c:v>
                </c:pt>
                <c:pt idx="947">
                  <c:v>64.959999999999994</c:v>
                </c:pt>
                <c:pt idx="948">
                  <c:v>65.12</c:v>
                </c:pt>
                <c:pt idx="949">
                  <c:v>65.53</c:v>
                </c:pt>
                <c:pt idx="950">
                  <c:v>65.489999999999995</c:v>
                </c:pt>
                <c:pt idx="951">
                  <c:v>65.61</c:v>
                </c:pt>
                <c:pt idx="952">
                  <c:v>65.47</c:v>
                </c:pt>
                <c:pt idx="953">
                  <c:v>65.63</c:v>
                </c:pt>
                <c:pt idx="954">
                  <c:v>65.66</c:v>
                </c:pt>
                <c:pt idx="955">
                  <c:v>65.709999999999994</c:v>
                </c:pt>
                <c:pt idx="956">
                  <c:v>65.84</c:v>
                </c:pt>
                <c:pt idx="957">
                  <c:v>66.03</c:v>
                </c:pt>
                <c:pt idx="958">
                  <c:v>66.239999999999995</c:v>
                </c:pt>
                <c:pt idx="959">
                  <c:v>66.150000000000006</c:v>
                </c:pt>
                <c:pt idx="960">
                  <c:v>66.430000000000007</c:v>
                </c:pt>
                <c:pt idx="961">
                  <c:v>66.69</c:v>
                </c:pt>
                <c:pt idx="962">
                  <c:v>66.8</c:v>
                </c:pt>
                <c:pt idx="963">
                  <c:v>66.849999999999994</c:v>
                </c:pt>
                <c:pt idx="964">
                  <c:v>67.08</c:v>
                </c:pt>
                <c:pt idx="965">
                  <c:v>67.31</c:v>
                </c:pt>
                <c:pt idx="966">
                  <c:v>67.34</c:v>
                </c:pt>
                <c:pt idx="967">
                  <c:v>67.36</c:v>
                </c:pt>
                <c:pt idx="968">
                  <c:v>67.459999999999994</c:v>
                </c:pt>
                <c:pt idx="969">
                  <c:v>67.52</c:v>
                </c:pt>
                <c:pt idx="970">
                  <c:v>67.62</c:v>
                </c:pt>
                <c:pt idx="971">
                  <c:v>67.61</c:v>
                </c:pt>
                <c:pt idx="972">
                  <c:v>67.64</c:v>
                </c:pt>
                <c:pt idx="973">
                  <c:v>67.67</c:v>
                </c:pt>
                <c:pt idx="974">
                  <c:v>67.819999999999993</c:v>
                </c:pt>
                <c:pt idx="975">
                  <c:v>68.239999999999995</c:v>
                </c:pt>
                <c:pt idx="976">
                  <c:v>68.400000000000006</c:v>
                </c:pt>
                <c:pt idx="977">
                  <c:v>68.62</c:v>
                </c:pt>
                <c:pt idx="978">
                  <c:v>68.760000000000005</c:v>
                </c:pt>
                <c:pt idx="979">
                  <c:v>69.040000000000006</c:v>
                </c:pt>
                <c:pt idx="980">
                  <c:v>69.540000000000006</c:v>
                </c:pt>
                <c:pt idx="981">
                  <c:v>69.91</c:v>
                </c:pt>
                <c:pt idx="982">
                  <c:v>69.97</c:v>
                </c:pt>
                <c:pt idx="983">
                  <c:v>70.3</c:v>
                </c:pt>
                <c:pt idx="984">
                  <c:v>70.150000000000006</c:v>
                </c:pt>
                <c:pt idx="985">
                  <c:v>69.989999999999995</c:v>
                </c:pt>
                <c:pt idx="986">
                  <c:v>69.760000000000005</c:v>
                </c:pt>
                <c:pt idx="987">
                  <c:v>69.62</c:v>
                </c:pt>
                <c:pt idx="988">
                  <c:v>69.459999999999994</c:v>
                </c:pt>
                <c:pt idx="989">
                  <c:v>69.709999999999994</c:v>
                </c:pt>
                <c:pt idx="990">
                  <c:v>69.56</c:v>
                </c:pt>
                <c:pt idx="991">
                  <c:v>69.19</c:v>
                </c:pt>
                <c:pt idx="992">
                  <c:v>69.27</c:v>
                </c:pt>
                <c:pt idx="993">
                  <c:v>69.42</c:v>
                </c:pt>
                <c:pt idx="994">
                  <c:v>69.47</c:v>
                </c:pt>
                <c:pt idx="995">
                  <c:v>69.5</c:v>
                </c:pt>
                <c:pt idx="996">
                  <c:v>69.48</c:v>
                </c:pt>
                <c:pt idx="997">
                  <c:v>69.459999999999994</c:v>
                </c:pt>
                <c:pt idx="998">
                  <c:v>69.5</c:v>
                </c:pt>
                <c:pt idx="999">
                  <c:v>69.45</c:v>
                </c:pt>
                <c:pt idx="1000">
                  <c:v>69.38</c:v>
                </c:pt>
                <c:pt idx="1001">
                  <c:v>69.13</c:v>
                </c:pt>
                <c:pt idx="1002">
                  <c:v>69</c:v>
                </c:pt>
                <c:pt idx="1003">
                  <c:v>68.94</c:v>
                </c:pt>
                <c:pt idx="1004">
                  <c:v>69.02</c:v>
                </c:pt>
                <c:pt idx="1005">
                  <c:v>68.84</c:v>
                </c:pt>
                <c:pt idx="1006">
                  <c:v>68.790000000000006</c:v>
                </c:pt>
                <c:pt idx="1007">
                  <c:v>68.430000000000007</c:v>
                </c:pt>
                <c:pt idx="1008">
                  <c:v>68.37</c:v>
                </c:pt>
                <c:pt idx="1009">
                  <c:v>68.41</c:v>
                </c:pt>
                <c:pt idx="1010">
                  <c:v>68.12</c:v>
                </c:pt>
                <c:pt idx="1011">
                  <c:v>67.459999999999994</c:v>
                </c:pt>
                <c:pt idx="1012">
                  <c:v>67.040000000000006</c:v>
                </c:pt>
                <c:pt idx="1013">
                  <c:v>66.72</c:v>
                </c:pt>
                <c:pt idx="1014">
                  <c:v>66.63</c:v>
                </c:pt>
                <c:pt idx="1015">
                  <c:v>66.69</c:v>
                </c:pt>
                <c:pt idx="1016">
                  <c:v>66.22</c:v>
                </c:pt>
                <c:pt idx="1017">
                  <c:v>65.87</c:v>
                </c:pt>
                <c:pt idx="1018">
                  <c:v>65.959999999999994</c:v>
                </c:pt>
                <c:pt idx="1019">
                  <c:v>66.099999999999994</c:v>
                </c:pt>
                <c:pt idx="1020">
                  <c:v>66.17</c:v>
                </c:pt>
                <c:pt idx="1021">
                  <c:v>66.28</c:v>
                </c:pt>
                <c:pt idx="1022">
                  <c:v>66.44</c:v>
                </c:pt>
                <c:pt idx="1023">
                  <c:v>66.489999999999995</c:v>
                </c:pt>
                <c:pt idx="1024">
                  <c:v>66.78</c:v>
                </c:pt>
                <c:pt idx="1025">
                  <c:v>67.09</c:v>
                </c:pt>
                <c:pt idx="1026">
                  <c:v>67.06</c:v>
                </c:pt>
                <c:pt idx="1027">
                  <c:v>67.209999999999994</c:v>
                </c:pt>
                <c:pt idx="1028">
                  <c:v>67.67</c:v>
                </c:pt>
                <c:pt idx="1029">
                  <c:v>68.14</c:v>
                </c:pt>
                <c:pt idx="1030">
                  <c:v>68.39</c:v>
                </c:pt>
                <c:pt idx="1031">
                  <c:v>68.8</c:v>
                </c:pt>
                <c:pt idx="1032">
                  <c:v>68.739999999999995</c:v>
                </c:pt>
                <c:pt idx="1033">
                  <c:v>69.02</c:v>
                </c:pt>
                <c:pt idx="1034">
                  <c:v>69.14</c:v>
                </c:pt>
                <c:pt idx="1035">
                  <c:v>69.28</c:v>
                </c:pt>
                <c:pt idx="1036">
                  <c:v>69.28</c:v>
                </c:pt>
                <c:pt idx="1037">
                  <c:v>69.53</c:v>
                </c:pt>
                <c:pt idx="1038">
                  <c:v>69.75</c:v>
                </c:pt>
                <c:pt idx="1039">
                  <c:v>69.98</c:v>
                </c:pt>
                <c:pt idx="1040">
                  <c:v>70.23</c:v>
                </c:pt>
                <c:pt idx="1041">
                  <c:v>70.239999999999995</c:v>
                </c:pt>
                <c:pt idx="1042">
                  <c:v>70.56</c:v>
                </c:pt>
                <c:pt idx="1043">
                  <c:v>70.63</c:v>
                </c:pt>
                <c:pt idx="1044">
                  <c:v>71.09</c:v>
                </c:pt>
                <c:pt idx="1045">
                  <c:v>71.319999999999993</c:v>
                </c:pt>
                <c:pt idx="1046">
                  <c:v>71.56</c:v>
                </c:pt>
                <c:pt idx="1047">
                  <c:v>71.98</c:v>
                </c:pt>
                <c:pt idx="1048">
                  <c:v>72.099999999999994</c:v>
                </c:pt>
                <c:pt idx="1049">
                  <c:v>72.02</c:v>
                </c:pt>
                <c:pt idx="1050">
                  <c:v>71.2</c:v>
                </c:pt>
                <c:pt idx="1051">
                  <c:v>71.63</c:v>
                </c:pt>
                <c:pt idx="1052">
                  <c:v>71.37</c:v>
                </c:pt>
                <c:pt idx="1053">
                  <c:v>71.25</c:v>
                </c:pt>
                <c:pt idx="1054">
                  <c:v>71.010000000000005</c:v>
                </c:pt>
                <c:pt idx="1055">
                  <c:v>70.45</c:v>
                </c:pt>
                <c:pt idx="1056">
                  <c:v>70.33</c:v>
                </c:pt>
                <c:pt idx="1057">
                  <c:v>70.34</c:v>
                </c:pt>
                <c:pt idx="1058">
                  <c:v>70.290000000000006</c:v>
                </c:pt>
                <c:pt idx="1059">
                  <c:v>70.37</c:v>
                </c:pt>
                <c:pt idx="1060">
                  <c:v>70.319999999999993</c:v>
                </c:pt>
                <c:pt idx="1061">
                  <c:v>69.959999999999994</c:v>
                </c:pt>
                <c:pt idx="1062">
                  <c:v>69.88</c:v>
                </c:pt>
                <c:pt idx="1063">
                  <c:v>69.58</c:v>
                </c:pt>
                <c:pt idx="1064">
                  <c:v>69.790000000000006</c:v>
                </c:pt>
                <c:pt idx="1065">
                  <c:v>69.59</c:v>
                </c:pt>
                <c:pt idx="1066">
                  <c:v>69.069999999999993</c:v>
                </c:pt>
                <c:pt idx="1067">
                  <c:v>68.78</c:v>
                </c:pt>
                <c:pt idx="1068">
                  <c:v>67.73</c:v>
                </c:pt>
                <c:pt idx="1069">
                  <c:v>67.48</c:v>
                </c:pt>
                <c:pt idx="1070">
                  <c:v>67.010000000000005</c:v>
                </c:pt>
                <c:pt idx="1071">
                  <c:v>66.81</c:v>
                </c:pt>
                <c:pt idx="1072">
                  <c:v>66.45</c:v>
                </c:pt>
                <c:pt idx="1073">
                  <c:v>66.34</c:v>
                </c:pt>
                <c:pt idx="1074">
                  <c:v>66.36</c:v>
                </c:pt>
                <c:pt idx="1075">
                  <c:v>66.63</c:v>
                </c:pt>
                <c:pt idx="1076">
                  <c:v>66.67</c:v>
                </c:pt>
                <c:pt idx="1077">
                  <c:v>66.67</c:v>
                </c:pt>
                <c:pt idx="1078">
                  <c:v>66.91</c:v>
                </c:pt>
                <c:pt idx="1079">
                  <c:v>66.91</c:v>
                </c:pt>
                <c:pt idx="1080">
                  <c:v>67.05</c:v>
                </c:pt>
                <c:pt idx="1081">
                  <c:v>66.73</c:v>
                </c:pt>
                <c:pt idx="1082">
                  <c:v>66.41</c:v>
                </c:pt>
                <c:pt idx="1083">
                  <c:v>66.069999999999993</c:v>
                </c:pt>
                <c:pt idx="1084">
                  <c:v>65.98</c:v>
                </c:pt>
                <c:pt idx="1085">
                  <c:v>65.92</c:v>
                </c:pt>
                <c:pt idx="1086">
                  <c:v>65.510000000000005</c:v>
                </c:pt>
                <c:pt idx="1087">
                  <c:v>65.349999999999994</c:v>
                </c:pt>
                <c:pt idx="1088">
                  <c:v>65.42</c:v>
                </c:pt>
                <c:pt idx="1089">
                  <c:v>65.36</c:v>
                </c:pt>
                <c:pt idx="1090">
                  <c:v>65.319999999999993</c:v>
                </c:pt>
                <c:pt idx="1091">
                  <c:v>65.28</c:v>
                </c:pt>
                <c:pt idx="1092">
                  <c:v>65.34</c:v>
                </c:pt>
                <c:pt idx="1093">
                  <c:v>65.41</c:v>
                </c:pt>
                <c:pt idx="1094">
                  <c:v>65.47</c:v>
                </c:pt>
                <c:pt idx="1095">
                  <c:v>65.39</c:v>
                </c:pt>
                <c:pt idx="1096">
                  <c:v>64.989999999999995</c:v>
                </c:pt>
                <c:pt idx="1097">
                  <c:v>65.13</c:v>
                </c:pt>
                <c:pt idx="1098">
                  <c:v>64.900000000000006</c:v>
                </c:pt>
                <c:pt idx="1099">
                  <c:v>64.91</c:v>
                </c:pt>
                <c:pt idx="1100">
                  <c:v>64.760000000000005</c:v>
                </c:pt>
                <c:pt idx="1101">
                  <c:v>64.540000000000006</c:v>
                </c:pt>
                <c:pt idx="1102">
                  <c:v>64.510000000000005</c:v>
                </c:pt>
                <c:pt idx="1103">
                  <c:v>64.5</c:v>
                </c:pt>
                <c:pt idx="1104">
                  <c:v>64.540000000000006</c:v>
                </c:pt>
                <c:pt idx="1105">
                  <c:v>64.260000000000005</c:v>
                </c:pt>
                <c:pt idx="1106">
                  <c:v>64.09</c:v>
                </c:pt>
                <c:pt idx="1107">
                  <c:v>64.03</c:v>
                </c:pt>
                <c:pt idx="1108">
                  <c:v>64.209999999999994</c:v>
                </c:pt>
                <c:pt idx="1109">
                  <c:v>62.97</c:v>
                </c:pt>
                <c:pt idx="1110">
                  <c:v>63.05</c:v>
                </c:pt>
                <c:pt idx="1111">
                  <c:v>62.99</c:v>
                </c:pt>
                <c:pt idx="1112">
                  <c:v>62.89</c:v>
                </c:pt>
                <c:pt idx="1113">
                  <c:v>62.97</c:v>
                </c:pt>
                <c:pt idx="1114">
                  <c:v>63.04</c:v>
                </c:pt>
                <c:pt idx="1115">
                  <c:v>63.12</c:v>
                </c:pt>
                <c:pt idx="1116">
                  <c:v>63.09</c:v>
                </c:pt>
                <c:pt idx="1117">
                  <c:v>63.27</c:v>
                </c:pt>
                <c:pt idx="1118">
                  <c:v>63.45</c:v>
                </c:pt>
                <c:pt idx="1119">
                  <c:v>63.4</c:v>
                </c:pt>
                <c:pt idx="1120">
                  <c:v>63.58</c:v>
                </c:pt>
                <c:pt idx="1121">
                  <c:v>64.02</c:v>
                </c:pt>
                <c:pt idx="1122">
                  <c:v>64.13</c:v>
                </c:pt>
                <c:pt idx="1123">
                  <c:v>64.05</c:v>
                </c:pt>
                <c:pt idx="1124">
                  <c:v>64</c:v>
                </c:pt>
                <c:pt idx="1125">
                  <c:v>64.31</c:v>
                </c:pt>
                <c:pt idx="1126">
                  <c:v>64.37</c:v>
                </c:pt>
                <c:pt idx="1127">
                  <c:v>64.37</c:v>
                </c:pt>
                <c:pt idx="1128">
                  <c:v>64.510000000000005</c:v>
                </c:pt>
                <c:pt idx="1129">
                  <c:v>64.62</c:v>
                </c:pt>
                <c:pt idx="1130">
                  <c:v>64.64</c:v>
                </c:pt>
                <c:pt idx="1131">
                  <c:v>64.77</c:v>
                </c:pt>
                <c:pt idx="1132">
                  <c:v>64.87</c:v>
                </c:pt>
                <c:pt idx="1133">
                  <c:v>64.94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C2-45F6-AFEA-595AAA1F5512}"/>
            </c:ext>
          </c:extLst>
        </c:ser>
        <c:ser>
          <c:idx val="1"/>
          <c:order val="1"/>
          <c:tx>
            <c:v>Regressão Linear</c:v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Análise_À_Vista!$AB$3:$AB$1136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Análise_À_Vista!$AE$3:$AE$1136</c:f>
              <c:numCache>
                <c:formatCode>#,##0.00</c:formatCode>
                <c:ptCount val="1134"/>
                <c:pt idx="0">
                  <c:v>82.285856373680119</c:v>
                </c:pt>
                <c:pt idx="1">
                  <c:v>82.267144410267662</c:v>
                </c:pt>
                <c:pt idx="2">
                  <c:v>82.248432446855219</c:v>
                </c:pt>
                <c:pt idx="3">
                  <c:v>82.229720483442776</c:v>
                </c:pt>
                <c:pt idx="4">
                  <c:v>82.211008520030333</c:v>
                </c:pt>
                <c:pt idx="5">
                  <c:v>82.192296556617876</c:v>
                </c:pt>
                <c:pt idx="6">
                  <c:v>82.173584593205433</c:v>
                </c:pt>
                <c:pt idx="7">
                  <c:v>82.15487262979299</c:v>
                </c:pt>
                <c:pt idx="8">
                  <c:v>82.136160666380547</c:v>
                </c:pt>
                <c:pt idx="9">
                  <c:v>82.11744870296809</c:v>
                </c:pt>
                <c:pt idx="10">
                  <c:v>82.098736739555648</c:v>
                </c:pt>
                <c:pt idx="11">
                  <c:v>82.080024776143205</c:v>
                </c:pt>
                <c:pt idx="12">
                  <c:v>82.061312812730748</c:v>
                </c:pt>
                <c:pt idx="13">
                  <c:v>82.042600849318305</c:v>
                </c:pt>
                <c:pt idx="14">
                  <c:v>82.023888885905862</c:v>
                </c:pt>
                <c:pt idx="15">
                  <c:v>82.005176922493419</c:v>
                </c:pt>
                <c:pt idx="16">
                  <c:v>81.986464959080962</c:v>
                </c:pt>
                <c:pt idx="17">
                  <c:v>81.967752995668519</c:v>
                </c:pt>
                <c:pt idx="18">
                  <c:v>81.949041032256076</c:v>
                </c:pt>
                <c:pt idx="19">
                  <c:v>81.930329068843633</c:v>
                </c:pt>
                <c:pt idx="20">
                  <c:v>81.911617105431176</c:v>
                </c:pt>
                <c:pt idx="21">
                  <c:v>81.892905142018733</c:v>
                </c:pt>
                <c:pt idx="22">
                  <c:v>81.874193178606291</c:v>
                </c:pt>
                <c:pt idx="23">
                  <c:v>81.855481215193834</c:v>
                </c:pt>
                <c:pt idx="24">
                  <c:v>81.836769251781391</c:v>
                </c:pt>
                <c:pt idx="25">
                  <c:v>81.818057288368948</c:v>
                </c:pt>
                <c:pt idx="26">
                  <c:v>81.799345324956505</c:v>
                </c:pt>
                <c:pt idx="27">
                  <c:v>81.780633361544048</c:v>
                </c:pt>
                <c:pt idx="28">
                  <c:v>81.761921398131605</c:v>
                </c:pt>
                <c:pt idx="29">
                  <c:v>81.743209434719162</c:v>
                </c:pt>
                <c:pt idx="30">
                  <c:v>81.724497471306719</c:v>
                </c:pt>
                <c:pt idx="31">
                  <c:v>81.705785507894262</c:v>
                </c:pt>
                <c:pt idx="32">
                  <c:v>81.687073544481819</c:v>
                </c:pt>
                <c:pt idx="33">
                  <c:v>81.668361581069377</c:v>
                </c:pt>
                <c:pt idx="34">
                  <c:v>81.649649617656934</c:v>
                </c:pt>
                <c:pt idx="35">
                  <c:v>81.630937654244477</c:v>
                </c:pt>
                <c:pt idx="36">
                  <c:v>81.612225690832034</c:v>
                </c:pt>
                <c:pt idx="37">
                  <c:v>81.593513727419591</c:v>
                </c:pt>
                <c:pt idx="38">
                  <c:v>81.574801764007134</c:v>
                </c:pt>
                <c:pt idx="39">
                  <c:v>81.556089800594691</c:v>
                </c:pt>
                <c:pt idx="40">
                  <c:v>81.537377837182248</c:v>
                </c:pt>
                <c:pt idx="41">
                  <c:v>81.518665873769805</c:v>
                </c:pt>
                <c:pt idx="42">
                  <c:v>81.499953910357348</c:v>
                </c:pt>
                <c:pt idx="43">
                  <c:v>81.481241946944905</c:v>
                </c:pt>
                <c:pt idx="44">
                  <c:v>81.462529983532463</c:v>
                </c:pt>
                <c:pt idx="45">
                  <c:v>81.44381802012002</c:v>
                </c:pt>
                <c:pt idx="46">
                  <c:v>81.425106056707563</c:v>
                </c:pt>
                <c:pt idx="47">
                  <c:v>81.40639409329512</c:v>
                </c:pt>
                <c:pt idx="48">
                  <c:v>81.387682129882677</c:v>
                </c:pt>
                <c:pt idx="49">
                  <c:v>81.36897016647022</c:v>
                </c:pt>
                <c:pt idx="50">
                  <c:v>81.350258203057777</c:v>
                </c:pt>
                <c:pt idx="51">
                  <c:v>81.331546239645334</c:v>
                </c:pt>
                <c:pt idx="52">
                  <c:v>81.312834276232891</c:v>
                </c:pt>
                <c:pt idx="53">
                  <c:v>81.294122312820434</c:v>
                </c:pt>
                <c:pt idx="54">
                  <c:v>81.275410349407991</c:v>
                </c:pt>
                <c:pt idx="55">
                  <c:v>81.256698385995549</c:v>
                </c:pt>
                <c:pt idx="56">
                  <c:v>81.237986422583106</c:v>
                </c:pt>
                <c:pt idx="57">
                  <c:v>81.219274459170649</c:v>
                </c:pt>
                <c:pt idx="58">
                  <c:v>81.200562495758206</c:v>
                </c:pt>
                <c:pt idx="59">
                  <c:v>81.181850532345763</c:v>
                </c:pt>
                <c:pt idx="60">
                  <c:v>81.163138568933306</c:v>
                </c:pt>
                <c:pt idx="61">
                  <c:v>81.144426605520863</c:v>
                </c:pt>
                <c:pt idx="62">
                  <c:v>81.12571464210842</c:v>
                </c:pt>
                <c:pt idx="63">
                  <c:v>81.107002678695977</c:v>
                </c:pt>
                <c:pt idx="64">
                  <c:v>81.08829071528352</c:v>
                </c:pt>
                <c:pt idx="65">
                  <c:v>81.069578751871077</c:v>
                </c:pt>
                <c:pt idx="66">
                  <c:v>81.050866788458634</c:v>
                </c:pt>
                <c:pt idx="67">
                  <c:v>81.032154825046192</c:v>
                </c:pt>
                <c:pt idx="68">
                  <c:v>81.013442861633735</c:v>
                </c:pt>
                <c:pt idx="69">
                  <c:v>80.994730898221292</c:v>
                </c:pt>
                <c:pt idx="70">
                  <c:v>80.976018934808849</c:v>
                </c:pt>
                <c:pt idx="71">
                  <c:v>80.957306971396392</c:v>
                </c:pt>
                <c:pt idx="72">
                  <c:v>80.938595007983949</c:v>
                </c:pt>
                <c:pt idx="73">
                  <c:v>80.919883044571506</c:v>
                </c:pt>
                <c:pt idx="74">
                  <c:v>80.901171081159063</c:v>
                </c:pt>
                <c:pt idx="75">
                  <c:v>80.882459117746606</c:v>
                </c:pt>
                <c:pt idx="76">
                  <c:v>80.863747154334163</c:v>
                </c:pt>
                <c:pt idx="77">
                  <c:v>80.84503519092172</c:v>
                </c:pt>
                <c:pt idx="78">
                  <c:v>80.826323227509278</c:v>
                </c:pt>
                <c:pt idx="79">
                  <c:v>80.80761126409682</c:v>
                </c:pt>
                <c:pt idx="80">
                  <c:v>80.788899300684378</c:v>
                </c:pt>
                <c:pt idx="81">
                  <c:v>80.770187337271935</c:v>
                </c:pt>
                <c:pt idx="82">
                  <c:v>80.751475373859478</c:v>
                </c:pt>
                <c:pt idx="83">
                  <c:v>80.732763410447035</c:v>
                </c:pt>
                <c:pt idx="84">
                  <c:v>80.714051447034592</c:v>
                </c:pt>
                <c:pt idx="85">
                  <c:v>80.695339483622149</c:v>
                </c:pt>
                <c:pt idx="86">
                  <c:v>80.676627520209692</c:v>
                </c:pt>
                <c:pt idx="87">
                  <c:v>80.657915556797249</c:v>
                </c:pt>
                <c:pt idx="88">
                  <c:v>80.639203593384806</c:v>
                </c:pt>
                <c:pt idx="89">
                  <c:v>80.620491629972364</c:v>
                </c:pt>
                <c:pt idx="90">
                  <c:v>80.601779666559906</c:v>
                </c:pt>
                <c:pt idx="91">
                  <c:v>80.583067703147464</c:v>
                </c:pt>
                <c:pt idx="92">
                  <c:v>80.564355739735021</c:v>
                </c:pt>
                <c:pt idx="93">
                  <c:v>80.545643776322564</c:v>
                </c:pt>
                <c:pt idx="94">
                  <c:v>80.526931812910121</c:v>
                </c:pt>
                <c:pt idx="95">
                  <c:v>80.508219849497678</c:v>
                </c:pt>
                <c:pt idx="96">
                  <c:v>80.489507886085235</c:v>
                </c:pt>
                <c:pt idx="97">
                  <c:v>80.470795922672778</c:v>
                </c:pt>
                <c:pt idx="98">
                  <c:v>80.452083959260335</c:v>
                </c:pt>
                <c:pt idx="99">
                  <c:v>80.433371995847892</c:v>
                </c:pt>
                <c:pt idx="100">
                  <c:v>80.414660032435449</c:v>
                </c:pt>
                <c:pt idx="101">
                  <c:v>80.395948069022992</c:v>
                </c:pt>
                <c:pt idx="102">
                  <c:v>80.37723610561055</c:v>
                </c:pt>
                <c:pt idx="103">
                  <c:v>80.358524142198107</c:v>
                </c:pt>
                <c:pt idx="104">
                  <c:v>80.33981217878565</c:v>
                </c:pt>
                <c:pt idx="105">
                  <c:v>80.321100215373207</c:v>
                </c:pt>
                <c:pt idx="106">
                  <c:v>80.302388251960764</c:v>
                </c:pt>
                <c:pt idx="107">
                  <c:v>80.283676288548321</c:v>
                </c:pt>
                <c:pt idx="108">
                  <c:v>80.264964325135864</c:v>
                </c:pt>
                <c:pt idx="109">
                  <c:v>80.246252361723421</c:v>
                </c:pt>
                <c:pt idx="110">
                  <c:v>80.227540398310978</c:v>
                </c:pt>
                <c:pt idx="111">
                  <c:v>80.208828434898535</c:v>
                </c:pt>
                <c:pt idx="112">
                  <c:v>80.190116471486078</c:v>
                </c:pt>
                <c:pt idx="113">
                  <c:v>80.171404508073635</c:v>
                </c:pt>
                <c:pt idx="114">
                  <c:v>80.152692544661193</c:v>
                </c:pt>
                <c:pt idx="115">
                  <c:v>80.13398058124875</c:v>
                </c:pt>
                <c:pt idx="116">
                  <c:v>80.115268617836293</c:v>
                </c:pt>
                <c:pt idx="117">
                  <c:v>80.09655665442385</c:v>
                </c:pt>
                <c:pt idx="118">
                  <c:v>80.077844691011407</c:v>
                </c:pt>
                <c:pt idx="119">
                  <c:v>80.05913272759895</c:v>
                </c:pt>
                <c:pt idx="120">
                  <c:v>80.040420764186507</c:v>
                </c:pt>
                <c:pt idx="121">
                  <c:v>80.021708800774064</c:v>
                </c:pt>
                <c:pt idx="122">
                  <c:v>80.002996837361621</c:v>
                </c:pt>
                <c:pt idx="123">
                  <c:v>79.984284873949164</c:v>
                </c:pt>
                <c:pt idx="124">
                  <c:v>79.965572910536721</c:v>
                </c:pt>
                <c:pt idx="125">
                  <c:v>79.946860947124279</c:v>
                </c:pt>
                <c:pt idx="126">
                  <c:v>79.928148983711836</c:v>
                </c:pt>
                <c:pt idx="127">
                  <c:v>79.909437020299379</c:v>
                </c:pt>
                <c:pt idx="128">
                  <c:v>79.890725056886936</c:v>
                </c:pt>
                <c:pt idx="129">
                  <c:v>79.872013093474493</c:v>
                </c:pt>
                <c:pt idx="130">
                  <c:v>79.853301130062036</c:v>
                </c:pt>
                <c:pt idx="131">
                  <c:v>79.834589166649593</c:v>
                </c:pt>
                <c:pt idx="132">
                  <c:v>79.81587720323715</c:v>
                </c:pt>
                <c:pt idx="133">
                  <c:v>79.797165239824707</c:v>
                </c:pt>
                <c:pt idx="134">
                  <c:v>79.77845327641225</c:v>
                </c:pt>
                <c:pt idx="135">
                  <c:v>79.759741312999807</c:v>
                </c:pt>
                <c:pt idx="136">
                  <c:v>79.741029349587365</c:v>
                </c:pt>
                <c:pt idx="137">
                  <c:v>79.722317386174922</c:v>
                </c:pt>
                <c:pt idx="138">
                  <c:v>79.703605422762465</c:v>
                </c:pt>
                <c:pt idx="139">
                  <c:v>79.684893459350022</c:v>
                </c:pt>
                <c:pt idx="140">
                  <c:v>79.666181495937579</c:v>
                </c:pt>
                <c:pt idx="141">
                  <c:v>79.647469532525122</c:v>
                </c:pt>
                <c:pt idx="142">
                  <c:v>79.628757569112679</c:v>
                </c:pt>
                <c:pt idx="143">
                  <c:v>79.610045605700236</c:v>
                </c:pt>
                <c:pt idx="144">
                  <c:v>79.591333642287793</c:v>
                </c:pt>
                <c:pt idx="145">
                  <c:v>79.572621678875336</c:v>
                </c:pt>
                <c:pt idx="146">
                  <c:v>79.553909715462893</c:v>
                </c:pt>
                <c:pt idx="147">
                  <c:v>79.535197752050451</c:v>
                </c:pt>
                <c:pt idx="148">
                  <c:v>79.516485788638008</c:v>
                </c:pt>
                <c:pt idx="149">
                  <c:v>79.497773825225551</c:v>
                </c:pt>
                <c:pt idx="150">
                  <c:v>79.479061861813108</c:v>
                </c:pt>
                <c:pt idx="151">
                  <c:v>79.460349898400665</c:v>
                </c:pt>
                <c:pt idx="152">
                  <c:v>79.441637934988208</c:v>
                </c:pt>
                <c:pt idx="153">
                  <c:v>79.422925971575765</c:v>
                </c:pt>
                <c:pt idx="154">
                  <c:v>79.404214008163322</c:v>
                </c:pt>
                <c:pt idx="155">
                  <c:v>79.385502044750879</c:v>
                </c:pt>
                <c:pt idx="156">
                  <c:v>79.366790081338422</c:v>
                </c:pt>
                <c:pt idx="157">
                  <c:v>79.348078117925979</c:v>
                </c:pt>
                <c:pt idx="158">
                  <c:v>79.329366154513536</c:v>
                </c:pt>
                <c:pt idx="159">
                  <c:v>79.310654191101094</c:v>
                </c:pt>
                <c:pt idx="160">
                  <c:v>79.291942227688637</c:v>
                </c:pt>
                <c:pt idx="161">
                  <c:v>79.273230264276194</c:v>
                </c:pt>
                <c:pt idx="162">
                  <c:v>79.254518300863751</c:v>
                </c:pt>
                <c:pt idx="163">
                  <c:v>79.235806337451294</c:v>
                </c:pt>
                <c:pt idx="164">
                  <c:v>79.217094374038851</c:v>
                </c:pt>
                <c:pt idx="165">
                  <c:v>79.198382410626408</c:v>
                </c:pt>
                <c:pt idx="166">
                  <c:v>79.179670447213965</c:v>
                </c:pt>
                <c:pt idx="167">
                  <c:v>79.160958483801508</c:v>
                </c:pt>
                <c:pt idx="168">
                  <c:v>79.142246520389065</c:v>
                </c:pt>
                <c:pt idx="169">
                  <c:v>79.123534556976622</c:v>
                </c:pt>
                <c:pt idx="170">
                  <c:v>79.10482259356418</c:v>
                </c:pt>
                <c:pt idx="171">
                  <c:v>79.086110630151722</c:v>
                </c:pt>
                <c:pt idx="172">
                  <c:v>79.06739866673928</c:v>
                </c:pt>
                <c:pt idx="173">
                  <c:v>79.048686703326837</c:v>
                </c:pt>
                <c:pt idx="174">
                  <c:v>79.029974739914394</c:v>
                </c:pt>
                <c:pt idx="175">
                  <c:v>79.011262776501937</c:v>
                </c:pt>
                <c:pt idx="176">
                  <c:v>78.992550813089494</c:v>
                </c:pt>
                <c:pt idx="177">
                  <c:v>78.973838849677051</c:v>
                </c:pt>
                <c:pt idx="178">
                  <c:v>78.955126886264594</c:v>
                </c:pt>
                <c:pt idx="179">
                  <c:v>78.936414922852151</c:v>
                </c:pt>
                <c:pt idx="180">
                  <c:v>78.917702959439708</c:v>
                </c:pt>
                <c:pt idx="181">
                  <c:v>78.898990996027266</c:v>
                </c:pt>
                <c:pt idx="182">
                  <c:v>78.880279032614808</c:v>
                </c:pt>
                <c:pt idx="183">
                  <c:v>78.861567069202366</c:v>
                </c:pt>
                <c:pt idx="184">
                  <c:v>78.842855105789923</c:v>
                </c:pt>
                <c:pt idx="185">
                  <c:v>78.824143142377466</c:v>
                </c:pt>
                <c:pt idx="186">
                  <c:v>78.805431178965023</c:v>
                </c:pt>
                <c:pt idx="187">
                  <c:v>78.78671921555258</c:v>
                </c:pt>
                <c:pt idx="188">
                  <c:v>78.768007252140137</c:v>
                </c:pt>
                <c:pt idx="189">
                  <c:v>78.74929528872768</c:v>
                </c:pt>
                <c:pt idx="190">
                  <c:v>78.730583325315237</c:v>
                </c:pt>
                <c:pt idx="191">
                  <c:v>78.711871361902794</c:v>
                </c:pt>
                <c:pt idx="192">
                  <c:v>78.693159398490351</c:v>
                </c:pt>
                <c:pt idx="193">
                  <c:v>78.674447435077894</c:v>
                </c:pt>
                <c:pt idx="194">
                  <c:v>78.655735471665452</c:v>
                </c:pt>
                <c:pt idx="195">
                  <c:v>78.637023508253009</c:v>
                </c:pt>
                <c:pt idx="196">
                  <c:v>78.618311544840566</c:v>
                </c:pt>
                <c:pt idx="197">
                  <c:v>78.599599581428109</c:v>
                </c:pt>
                <c:pt idx="198">
                  <c:v>78.580887618015666</c:v>
                </c:pt>
                <c:pt idx="199">
                  <c:v>78.562175654603223</c:v>
                </c:pt>
                <c:pt idx="200">
                  <c:v>78.543463691190766</c:v>
                </c:pt>
                <c:pt idx="201">
                  <c:v>78.524751727778323</c:v>
                </c:pt>
                <c:pt idx="202">
                  <c:v>78.50603976436588</c:v>
                </c:pt>
                <c:pt idx="203">
                  <c:v>78.487327800953437</c:v>
                </c:pt>
                <c:pt idx="204">
                  <c:v>78.46861583754098</c:v>
                </c:pt>
                <c:pt idx="205">
                  <c:v>78.449903874128537</c:v>
                </c:pt>
                <c:pt idx="206">
                  <c:v>78.431191910716095</c:v>
                </c:pt>
                <c:pt idx="207">
                  <c:v>78.412479947303652</c:v>
                </c:pt>
                <c:pt idx="208">
                  <c:v>78.393767983891195</c:v>
                </c:pt>
                <c:pt idx="209">
                  <c:v>78.375056020478752</c:v>
                </c:pt>
                <c:pt idx="210">
                  <c:v>78.356344057066309</c:v>
                </c:pt>
                <c:pt idx="211">
                  <c:v>78.337632093653852</c:v>
                </c:pt>
                <c:pt idx="212">
                  <c:v>78.318920130241409</c:v>
                </c:pt>
                <c:pt idx="213">
                  <c:v>78.300208166828966</c:v>
                </c:pt>
                <c:pt idx="214">
                  <c:v>78.281496203416523</c:v>
                </c:pt>
                <c:pt idx="215">
                  <c:v>78.262784240004066</c:v>
                </c:pt>
                <c:pt idx="216">
                  <c:v>78.244072276591623</c:v>
                </c:pt>
                <c:pt idx="217">
                  <c:v>78.225360313179181</c:v>
                </c:pt>
                <c:pt idx="218">
                  <c:v>78.206648349766738</c:v>
                </c:pt>
                <c:pt idx="219">
                  <c:v>78.187936386354281</c:v>
                </c:pt>
                <c:pt idx="220">
                  <c:v>78.169224422941838</c:v>
                </c:pt>
                <c:pt idx="221">
                  <c:v>78.150512459529395</c:v>
                </c:pt>
                <c:pt idx="222">
                  <c:v>78.131800496116938</c:v>
                </c:pt>
                <c:pt idx="223">
                  <c:v>78.113088532704495</c:v>
                </c:pt>
                <c:pt idx="224">
                  <c:v>78.094376569292052</c:v>
                </c:pt>
                <c:pt idx="225">
                  <c:v>78.075664605879609</c:v>
                </c:pt>
                <c:pt idx="226">
                  <c:v>78.056952642467152</c:v>
                </c:pt>
                <c:pt idx="227">
                  <c:v>78.038240679054709</c:v>
                </c:pt>
                <c:pt idx="228">
                  <c:v>78.019528715642267</c:v>
                </c:pt>
                <c:pt idx="229">
                  <c:v>78.000816752229824</c:v>
                </c:pt>
                <c:pt idx="230">
                  <c:v>77.982104788817367</c:v>
                </c:pt>
                <c:pt idx="231">
                  <c:v>77.963392825404924</c:v>
                </c:pt>
                <c:pt idx="232">
                  <c:v>77.944680861992481</c:v>
                </c:pt>
                <c:pt idx="233">
                  <c:v>77.925968898580038</c:v>
                </c:pt>
                <c:pt idx="234">
                  <c:v>77.907256935167581</c:v>
                </c:pt>
                <c:pt idx="235">
                  <c:v>77.888544971755138</c:v>
                </c:pt>
                <c:pt idx="236">
                  <c:v>77.869833008342695</c:v>
                </c:pt>
                <c:pt idx="237">
                  <c:v>77.851121044930238</c:v>
                </c:pt>
                <c:pt idx="238">
                  <c:v>77.832409081517795</c:v>
                </c:pt>
                <c:pt idx="239">
                  <c:v>77.813697118105353</c:v>
                </c:pt>
                <c:pt idx="240">
                  <c:v>77.79498515469291</c:v>
                </c:pt>
                <c:pt idx="241">
                  <c:v>77.776273191280453</c:v>
                </c:pt>
                <c:pt idx="242">
                  <c:v>77.75756122786801</c:v>
                </c:pt>
                <c:pt idx="243">
                  <c:v>77.738849264455567</c:v>
                </c:pt>
                <c:pt idx="244">
                  <c:v>77.72013730104311</c:v>
                </c:pt>
                <c:pt idx="245">
                  <c:v>77.701425337630667</c:v>
                </c:pt>
                <c:pt idx="246">
                  <c:v>77.682713374218224</c:v>
                </c:pt>
                <c:pt idx="247">
                  <c:v>77.664001410805781</c:v>
                </c:pt>
                <c:pt idx="248">
                  <c:v>77.645289447393324</c:v>
                </c:pt>
                <c:pt idx="249">
                  <c:v>77.626577483980881</c:v>
                </c:pt>
                <c:pt idx="250">
                  <c:v>77.607865520568438</c:v>
                </c:pt>
                <c:pt idx="251">
                  <c:v>77.589153557155996</c:v>
                </c:pt>
                <c:pt idx="252">
                  <c:v>77.570441593743539</c:v>
                </c:pt>
                <c:pt idx="253">
                  <c:v>77.551729630331096</c:v>
                </c:pt>
                <c:pt idx="254">
                  <c:v>77.533017666918653</c:v>
                </c:pt>
                <c:pt idx="255">
                  <c:v>77.51430570350621</c:v>
                </c:pt>
                <c:pt idx="256">
                  <c:v>77.495593740093753</c:v>
                </c:pt>
                <c:pt idx="257">
                  <c:v>77.47688177668131</c:v>
                </c:pt>
                <c:pt idx="258">
                  <c:v>77.458169813268867</c:v>
                </c:pt>
                <c:pt idx="259">
                  <c:v>77.43945784985641</c:v>
                </c:pt>
                <c:pt idx="260">
                  <c:v>77.420745886443967</c:v>
                </c:pt>
                <c:pt idx="261">
                  <c:v>77.402033923031524</c:v>
                </c:pt>
                <c:pt idx="262">
                  <c:v>77.383321959619082</c:v>
                </c:pt>
                <c:pt idx="263">
                  <c:v>77.364609996206624</c:v>
                </c:pt>
                <c:pt idx="264">
                  <c:v>77.345898032794182</c:v>
                </c:pt>
                <c:pt idx="265">
                  <c:v>77.327186069381739</c:v>
                </c:pt>
                <c:pt idx="266">
                  <c:v>77.308474105969282</c:v>
                </c:pt>
                <c:pt idx="267">
                  <c:v>77.289762142556839</c:v>
                </c:pt>
                <c:pt idx="268">
                  <c:v>77.271050179144396</c:v>
                </c:pt>
                <c:pt idx="269">
                  <c:v>77.252338215731953</c:v>
                </c:pt>
                <c:pt idx="270">
                  <c:v>77.233626252319496</c:v>
                </c:pt>
                <c:pt idx="271">
                  <c:v>77.214914288907053</c:v>
                </c:pt>
                <c:pt idx="272">
                  <c:v>77.19620232549461</c:v>
                </c:pt>
                <c:pt idx="273">
                  <c:v>77.177490362082168</c:v>
                </c:pt>
                <c:pt idx="274">
                  <c:v>77.15877839866971</c:v>
                </c:pt>
                <c:pt idx="275">
                  <c:v>77.140066435257268</c:v>
                </c:pt>
                <c:pt idx="276">
                  <c:v>77.121354471844825</c:v>
                </c:pt>
                <c:pt idx="277">
                  <c:v>77.102642508432382</c:v>
                </c:pt>
                <c:pt idx="278">
                  <c:v>77.083930545019925</c:v>
                </c:pt>
                <c:pt idx="279">
                  <c:v>77.065218581607482</c:v>
                </c:pt>
                <c:pt idx="280">
                  <c:v>77.046506618195039</c:v>
                </c:pt>
                <c:pt idx="281">
                  <c:v>77.027794654782582</c:v>
                </c:pt>
                <c:pt idx="282">
                  <c:v>77.009082691370139</c:v>
                </c:pt>
                <c:pt idx="283">
                  <c:v>76.990370727957696</c:v>
                </c:pt>
                <c:pt idx="284">
                  <c:v>76.971658764545253</c:v>
                </c:pt>
                <c:pt idx="285">
                  <c:v>76.952946801132796</c:v>
                </c:pt>
                <c:pt idx="286">
                  <c:v>76.934234837720354</c:v>
                </c:pt>
                <c:pt idx="287">
                  <c:v>76.915522874307911</c:v>
                </c:pt>
                <c:pt idx="288">
                  <c:v>76.896810910895468</c:v>
                </c:pt>
                <c:pt idx="289">
                  <c:v>76.878098947483011</c:v>
                </c:pt>
                <c:pt idx="290">
                  <c:v>76.859386984070568</c:v>
                </c:pt>
                <c:pt idx="291">
                  <c:v>76.840675020658125</c:v>
                </c:pt>
                <c:pt idx="292">
                  <c:v>76.821963057245668</c:v>
                </c:pt>
                <c:pt idx="293">
                  <c:v>76.803251093833225</c:v>
                </c:pt>
                <c:pt idx="294">
                  <c:v>76.784539130420782</c:v>
                </c:pt>
                <c:pt idx="295">
                  <c:v>76.765827167008339</c:v>
                </c:pt>
                <c:pt idx="296">
                  <c:v>76.747115203595882</c:v>
                </c:pt>
                <c:pt idx="297">
                  <c:v>76.728403240183439</c:v>
                </c:pt>
                <c:pt idx="298">
                  <c:v>76.709691276770997</c:v>
                </c:pt>
                <c:pt idx="299">
                  <c:v>76.690979313358554</c:v>
                </c:pt>
                <c:pt idx="300">
                  <c:v>76.672267349946097</c:v>
                </c:pt>
                <c:pt idx="301">
                  <c:v>76.653555386533654</c:v>
                </c:pt>
                <c:pt idx="302">
                  <c:v>76.634843423121211</c:v>
                </c:pt>
                <c:pt idx="303">
                  <c:v>76.616131459708754</c:v>
                </c:pt>
                <c:pt idx="304">
                  <c:v>76.597419496296311</c:v>
                </c:pt>
                <c:pt idx="305">
                  <c:v>76.578707532883868</c:v>
                </c:pt>
                <c:pt idx="306">
                  <c:v>76.559995569471425</c:v>
                </c:pt>
                <c:pt idx="307">
                  <c:v>76.541283606058968</c:v>
                </c:pt>
                <c:pt idx="308">
                  <c:v>76.522571642646525</c:v>
                </c:pt>
                <c:pt idx="309">
                  <c:v>76.503859679234083</c:v>
                </c:pt>
                <c:pt idx="310">
                  <c:v>76.48514771582164</c:v>
                </c:pt>
                <c:pt idx="311">
                  <c:v>76.466435752409183</c:v>
                </c:pt>
                <c:pt idx="312">
                  <c:v>76.44772378899674</c:v>
                </c:pt>
                <c:pt idx="313">
                  <c:v>76.429011825584297</c:v>
                </c:pt>
                <c:pt idx="314">
                  <c:v>76.410299862171854</c:v>
                </c:pt>
                <c:pt idx="315">
                  <c:v>76.391587898759397</c:v>
                </c:pt>
                <c:pt idx="316">
                  <c:v>76.372875935346954</c:v>
                </c:pt>
                <c:pt idx="317">
                  <c:v>76.354163971934511</c:v>
                </c:pt>
                <c:pt idx="318">
                  <c:v>76.335452008522054</c:v>
                </c:pt>
                <c:pt idx="319">
                  <c:v>76.316740045109611</c:v>
                </c:pt>
                <c:pt idx="320">
                  <c:v>76.298028081697169</c:v>
                </c:pt>
                <c:pt idx="321">
                  <c:v>76.279316118284726</c:v>
                </c:pt>
                <c:pt idx="322">
                  <c:v>76.260604154872269</c:v>
                </c:pt>
                <c:pt idx="323">
                  <c:v>76.241892191459826</c:v>
                </c:pt>
                <c:pt idx="324">
                  <c:v>76.223180228047383</c:v>
                </c:pt>
                <c:pt idx="325">
                  <c:v>76.204468264634926</c:v>
                </c:pt>
                <c:pt idx="326">
                  <c:v>76.185756301222483</c:v>
                </c:pt>
                <c:pt idx="327">
                  <c:v>76.16704433781004</c:v>
                </c:pt>
                <c:pt idx="328">
                  <c:v>76.148332374397597</c:v>
                </c:pt>
                <c:pt idx="329">
                  <c:v>76.12962041098514</c:v>
                </c:pt>
                <c:pt idx="330">
                  <c:v>76.110908447572697</c:v>
                </c:pt>
                <c:pt idx="331">
                  <c:v>76.092196484160254</c:v>
                </c:pt>
                <c:pt idx="332">
                  <c:v>76.073484520747812</c:v>
                </c:pt>
                <c:pt idx="333">
                  <c:v>76.054772557335355</c:v>
                </c:pt>
                <c:pt idx="334">
                  <c:v>76.036060593922912</c:v>
                </c:pt>
                <c:pt idx="335">
                  <c:v>76.017348630510469</c:v>
                </c:pt>
                <c:pt idx="336">
                  <c:v>75.998636667098026</c:v>
                </c:pt>
                <c:pt idx="337">
                  <c:v>75.979924703685569</c:v>
                </c:pt>
                <c:pt idx="338">
                  <c:v>75.961212740273126</c:v>
                </c:pt>
                <c:pt idx="339">
                  <c:v>75.942500776860683</c:v>
                </c:pt>
                <c:pt idx="340">
                  <c:v>75.923788813448226</c:v>
                </c:pt>
                <c:pt idx="341">
                  <c:v>75.905076850035783</c:v>
                </c:pt>
                <c:pt idx="342">
                  <c:v>75.88636488662334</c:v>
                </c:pt>
                <c:pt idx="343">
                  <c:v>75.867652923210898</c:v>
                </c:pt>
                <c:pt idx="344">
                  <c:v>75.848940959798441</c:v>
                </c:pt>
                <c:pt idx="345">
                  <c:v>75.830228996385998</c:v>
                </c:pt>
                <c:pt idx="346">
                  <c:v>75.811517032973555</c:v>
                </c:pt>
                <c:pt idx="347">
                  <c:v>75.792805069561098</c:v>
                </c:pt>
                <c:pt idx="348">
                  <c:v>75.774093106148655</c:v>
                </c:pt>
                <c:pt idx="349">
                  <c:v>75.755381142736212</c:v>
                </c:pt>
                <c:pt idx="350">
                  <c:v>75.736669179323769</c:v>
                </c:pt>
                <c:pt idx="351">
                  <c:v>75.717957215911312</c:v>
                </c:pt>
                <c:pt idx="352">
                  <c:v>75.699245252498869</c:v>
                </c:pt>
                <c:pt idx="353">
                  <c:v>75.680533289086426</c:v>
                </c:pt>
                <c:pt idx="354">
                  <c:v>75.661821325673984</c:v>
                </c:pt>
                <c:pt idx="355">
                  <c:v>75.643109362261526</c:v>
                </c:pt>
                <c:pt idx="356">
                  <c:v>75.624397398849084</c:v>
                </c:pt>
                <c:pt idx="357">
                  <c:v>75.605685435436641</c:v>
                </c:pt>
                <c:pt idx="358">
                  <c:v>75.586973472024198</c:v>
                </c:pt>
                <c:pt idx="359">
                  <c:v>75.568261508611741</c:v>
                </c:pt>
                <c:pt idx="360">
                  <c:v>75.549549545199298</c:v>
                </c:pt>
                <c:pt idx="361">
                  <c:v>75.530837581786855</c:v>
                </c:pt>
                <c:pt idx="362">
                  <c:v>75.512125618374398</c:v>
                </c:pt>
                <c:pt idx="363">
                  <c:v>75.493413654961955</c:v>
                </c:pt>
                <c:pt idx="364">
                  <c:v>75.474701691549512</c:v>
                </c:pt>
                <c:pt idx="365">
                  <c:v>75.45598972813707</c:v>
                </c:pt>
                <c:pt idx="366">
                  <c:v>75.437277764724612</c:v>
                </c:pt>
                <c:pt idx="367">
                  <c:v>75.41856580131217</c:v>
                </c:pt>
                <c:pt idx="368">
                  <c:v>75.399853837899727</c:v>
                </c:pt>
                <c:pt idx="369">
                  <c:v>75.381141874487284</c:v>
                </c:pt>
                <c:pt idx="370">
                  <c:v>75.362429911074827</c:v>
                </c:pt>
                <c:pt idx="371">
                  <c:v>75.343717947662384</c:v>
                </c:pt>
                <c:pt idx="372">
                  <c:v>75.325005984249941</c:v>
                </c:pt>
                <c:pt idx="373">
                  <c:v>75.306294020837484</c:v>
                </c:pt>
                <c:pt idx="374">
                  <c:v>75.287582057425041</c:v>
                </c:pt>
                <c:pt idx="375">
                  <c:v>75.268870094012598</c:v>
                </c:pt>
                <c:pt idx="376">
                  <c:v>75.250158130600155</c:v>
                </c:pt>
                <c:pt idx="377">
                  <c:v>75.231446167187698</c:v>
                </c:pt>
                <c:pt idx="378">
                  <c:v>75.212734203775256</c:v>
                </c:pt>
                <c:pt idx="379">
                  <c:v>75.194022240362813</c:v>
                </c:pt>
                <c:pt idx="380">
                  <c:v>75.17531027695037</c:v>
                </c:pt>
                <c:pt idx="381">
                  <c:v>75.156598313537913</c:v>
                </c:pt>
                <c:pt idx="382">
                  <c:v>75.13788635012547</c:v>
                </c:pt>
                <c:pt idx="383">
                  <c:v>75.119174386713027</c:v>
                </c:pt>
                <c:pt idx="384">
                  <c:v>75.10046242330057</c:v>
                </c:pt>
                <c:pt idx="385">
                  <c:v>75.081750459888127</c:v>
                </c:pt>
                <c:pt idx="386">
                  <c:v>75.063038496475684</c:v>
                </c:pt>
                <c:pt idx="387">
                  <c:v>75.044326533063241</c:v>
                </c:pt>
                <c:pt idx="388">
                  <c:v>75.025614569650784</c:v>
                </c:pt>
                <c:pt idx="389">
                  <c:v>75.006902606238341</c:v>
                </c:pt>
                <c:pt idx="390">
                  <c:v>74.988190642825899</c:v>
                </c:pt>
                <c:pt idx="391">
                  <c:v>74.969478679413456</c:v>
                </c:pt>
                <c:pt idx="392">
                  <c:v>74.950766716000999</c:v>
                </c:pt>
                <c:pt idx="393">
                  <c:v>74.932054752588556</c:v>
                </c:pt>
                <c:pt idx="394">
                  <c:v>74.913342789176113</c:v>
                </c:pt>
                <c:pt idx="395">
                  <c:v>74.89463082576367</c:v>
                </c:pt>
                <c:pt idx="396">
                  <c:v>74.875918862351213</c:v>
                </c:pt>
                <c:pt idx="397">
                  <c:v>74.85720689893877</c:v>
                </c:pt>
                <c:pt idx="398">
                  <c:v>74.838494935526327</c:v>
                </c:pt>
                <c:pt idx="399">
                  <c:v>74.81978297211387</c:v>
                </c:pt>
                <c:pt idx="400">
                  <c:v>74.801071008701427</c:v>
                </c:pt>
                <c:pt idx="401">
                  <c:v>74.782359045288985</c:v>
                </c:pt>
                <c:pt idx="402">
                  <c:v>74.763647081876542</c:v>
                </c:pt>
                <c:pt idx="403">
                  <c:v>74.744935118464085</c:v>
                </c:pt>
                <c:pt idx="404">
                  <c:v>74.726223155051642</c:v>
                </c:pt>
                <c:pt idx="405">
                  <c:v>74.707511191639199</c:v>
                </c:pt>
                <c:pt idx="406">
                  <c:v>74.688799228226742</c:v>
                </c:pt>
                <c:pt idx="407">
                  <c:v>74.670087264814299</c:v>
                </c:pt>
                <c:pt idx="408">
                  <c:v>74.651375301401856</c:v>
                </c:pt>
                <c:pt idx="409">
                  <c:v>74.632663337989413</c:v>
                </c:pt>
                <c:pt idx="410">
                  <c:v>74.613951374576956</c:v>
                </c:pt>
                <c:pt idx="411">
                  <c:v>74.595239411164513</c:v>
                </c:pt>
                <c:pt idx="412">
                  <c:v>74.576527447752071</c:v>
                </c:pt>
                <c:pt idx="413">
                  <c:v>74.557815484339628</c:v>
                </c:pt>
                <c:pt idx="414">
                  <c:v>74.539103520927171</c:v>
                </c:pt>
                <c:pt idx="415">
                  <c:v>74.520391557514728</c:v>
                </c:pt>
                <c:pt idx="416">
                  <c:v>74.501679594102285</c:v>
                </c:pt>
                <c:pt idx="417">
                  <c:v>74.482967630689842</c:v>
                </c:pt>
                <c:pt idx="418">
                  <c:v>74.464255667277385</c:v>
                </c:pt>
                <c:pt idx="419">
                  <c:v>74.445543703864942</c:v>
                </c:pt>
                <c:pt idx="420">
                  <c:v>74.426831740452499</c:v>
                </c:pt>
                <c:pt idx="421">
                  <c:v>74.408119777040042</c:v>
                </c:pt>
                <c:pt idx="422">
                  <c:v>74.389407813627599</c:v>
                </c:pt>
                <c:pt idx="423">
                  <c:v>74.370695850215156</c:v>
                </c:pt>
                <c:pt idx="424">
                  <c:v>74.351983886802714</c:v>
                </c:pt>
                <c:pt idx="425">
                  <c:v>74.333271923390257</c:v>
                </c:pt>
                <c:pt idx="426">
                  <c:v>74.314559959977814</c:v>
                </c:pt>
                <c:pt idx="427">
                  <c:v>74.295847996565371</c:v>
                </c:pt>
                <c:pt idx="428">
                  <c:v>74.277136033152914</c:v>
                </c:pt>
                <c:pt idx="429">
                  <c:v>74.258424069740471</c:v>
                </c:pt>
                <c:pt idx="430">
                  <c:v>74.239712106328028</c:v>
                </c:pt>
                <c:pt idx="431">
                  <c:v>74.221000142915585</c:v>
                </c:pt>
                <c:pt idx="432">
                  <c:v>74.202288179503142</c:v>
                </c:pt>
                <c:pt idx="433">
                  <c:v>74.183576216090685</c:v>
                </c:pt>
                <c:pt idx="434">
                  <c:v>74.164864252678242</c:v>
                </c:pt>
                <c:pt idx="435">
                  <c:v>74.1461522892658</c:v>
                </c:pt>
                <c:pt idx="436">
                  <c:v>74.127440325853343</c:v>
                </c:pt>
                <c:pt idx="437">
                  <c:v>74.1087283624409</c:v>
                </c:pt>
                <c:pt idx="438">
                  <c:v>74.090016399028457</c:v>
                </c:pt>
                <c:pt idx="439">
                  <c:v>74.071304435616014</c:v>
                </c:pt>
                <c:pt idx="440">
                  <c:v>74.052592472203557</c:v>
                </c:pt>
                <c:pt idx="441">
                  <c:v>74.033880508791114</c:v>
                </c:pt>
                <c:pt idx="442">
                  <c:v>74.015168545378671</c:v>
                </c:pt>
                <c:pt idx="443">
                  <c:v>73.996456581966214</c:v>
                </c:pt>
                <c:pt idx="444">
                  <c:v>73.977744618553771</c:v>
                </c:pt>
                <c:pt idx="445">
                  <c:v>73.959032655141328</c:v>
                </c:pt>
                <c:pt idx="446">
                  <c:v>73.940320691728886</c:v>
                </c:pt>
                <c:pt idx="447">
                  <c:v>73.921608728316428</c:v>
                </c:pt>
                <c:pt idx="448">
                  <c:v>73.902896764903986</c:v>
                </c:pt>
                <c:pt idx="449">
                  <c:v>73.884184801491543</c:v>
                </c:pt>
                <c:pt idx="450">
                  <c:v>73.865472838079086</c:v>
                </c:pt>
                <c:pt idx="451">
                  <c:v>73.846760874666643</c:v>
                </c:pt>
                <c:pt idx="452">
                  <c:v>73.8280489112542</c:v>
                </c:pt>
                <c:pt idx="453">
                  <c:v>73.809336947841757</c:v>
                </c:pt>
                <c:pt idx="454">
                  <c:v>73.790624984429314</c:v>
                </c:pt>
                <c:pt idx="455">
                  <c:v>73.771913021016857</c:v>
                </c:pt>
                <c:pt idx="456">
                  <c:v>73.753201057604414</c:v>
                </c:pt>
                <c:pt idx="457">
                  <c:v>73.734489094191972</c:v>
                </c:pt>
                <c:pt idx="458">
                  <c:v>73.715777130779514</c:v>
                </c:pt>
                <c:pt idx="459">
                  <c:v>73.697065167367072</c:v>
                </c:pt>
                <c:pt idx="460">
                  <c:v>73.678353203954629</c:v>
                </c:pt>
                <c:pt idx="461">
                  <c:v>73.659641240542186</c:v>
                </c:pt>
                <c:pt idx="462">
                  <c:v>73.640929277129729</c:v>
                </c:pt>
                <c:pt idx="463">
                  <c:v>73.622217313717286</c:v>
                </c:pt>
                <c:pt idx="464">
                  <c:v>73.603505350304843</c:v>
                </c:pt>
                <c:pt idx="465">
                  <c:v>73.584793386892386</c:v>
                </c:pt>
                <c:pt idx="466">
                  <c:v>73.566081423479943</c:v>
                </c:pt>
                <c:pt idx="467">
                  <c:v>73.5473694600675</c:v>
                </c:pt>
                <c:pt idx="468">
                  <c:v>73.528657496655057</c:v>
                </c:pt>
                <c:pt idx="469">
                  <c:v>73.5099455332426</c:v>
                </c:pt>
                <c:pt idx="470">
                  <c:v>73.491233569830158</c:v>
                </c:pt>
                <c:pt idx="471">
                  <c:v>73.472521606417715</c:v>
                </c:pt>
                <c:pt idx="472">
                  <c:v>73.453809643005272</c:v>
                </c:pt>
                <c:pt idx="473">
                  <c:v>73.435097679592815</c:v>
                </c:pt>
                <c:pt idx="474">
                  <c:v>73.416385716180372</c:v>
                </c:pt>
                <c:pt idx="475">
                  <c:v>73.397673752767929</c:v>
                </c:pt>
                <c:pt idx="476">
                  <c:v>73.378961789355486</c:v>
                </c:pt>
                <c:pt idx="477">
                  <c:v>73.360249825943029</c:v>
                </c:pt>
                <c:pt idx="478">
                  <c:v>73.341537862530586</c:v>
                </c:pt>
                <c:pt idx="479">
                  <c:v>73.322825899118143</c:v>
                </c:pt>
                <c:pt idx="480">
                  <c:v>73.304113935705686</c:v>
                </c:pt>
                <c:pt idx="481">
                  <c:v>73.285401972293243</c:v>
                </c:pt>
                <c:pt idx="482">
                  <c:v>73.266690008880801</c:v>
                </c:pt>
                <c:pt idx="483">
                  <c:v>73.247978045468358</c:v>
                </c:pt>
                <c:pt idx="484">
                  <c:v>73.229266082055901</c:v>
                </c:pt>
                <c:pt idx="485">
                  <c:v>73.210554118643458</c:v>
                </c:pt>
                <c:pt idx="486">
                  <c:v>73.191842155231015</c:v>
                </c:pt>
                <c:pt idx="487">
                  <c:v>73.173130191818558</c:v>
                </c:pt>
                <c:pt idx="488">
                  <c:v>73.154418228406115</c:v>
                </c:pt>
                <c:pt idx="489">
                  <c:v>73.135706264993672</c:v>
                </c:pt>
                <c:pt idx="490">
                  <c:v>73.116994301581229</c:v>
                </c:pt>
                <c:pt idx="491">
                  <c:v>73.098282338168772</c:v>
                </c:pt>
                <c:pt idx="492">
                  <c:v>73.079570374756329</c:v>
                </c:pt>
                <c:pt idx="493">
                  <c:v>73.060858411343887</c:v>
                </c:pt>
                <c:pt idx="494">
                  <c:v>73.042146447931444</c:v>
                </c:pt>
                <c:pt idx="495">
                  <c:v>73.023434484518987</c:v>
                </c:pt>
                <c:pt idx="496">
                  <c:v>73.004722521106544</c:v>
                </c:pt>
                <c:pt idx="497">
                  <c:v>72.986010557694101</c:v>
                </c:pt>
                <c:pt idx="498">
                  <c:v>72.967298594281658</c:v>
                </c:pt>
                <c:pt idx="499">
                  <c:v>72.948586630869201</c:v>
                </c:pt>
                <c:pt idx="500">
                  <c:v>72.929874667456758</c:v>
                </c:pt>
                <c:pt idx="501">
                  <c:v>72.911162704044315</c:v>
                </c:pt>
                <c:pt idx="502">
                  <c:v>72.892450740631858</c:v>
                </c:pt>
                <c:pt idx="503">
                  <c:v>72.873738777219415</c:v>
                </c:pt>
                <c:pt idx="504">
                  <c:v>72.855026813806973</c:v>
                </c:pt>
                <c:pt idx="505">
                  <c:v>72.83631485039453</c:v>
                </c:pt>
                <c:pt idx="506">
                  <c:v>72.817602886982073</c:v>
                </c:pt>
                <c:pt idx="507">
                  <c:v>72.79889092356963</c:v>
                </c:pt>
                <c:pt idx="508">
                  <c:v>72.780178960157187</c:v>
                </c:pt>
                <c:pt idx="509">
                  <c:v>72.76146699674473</c:v>
                </c:pt>
                <c:pt idx="510">
                  <c:v>72.742755033332287</c:v>
                </c:pt>
                <c:pt idx="511">
                  <c:v>72.724043069919844</c:v>
                </c:pt>
                <c:pt idx="512">
                  <c:v>72.705331106507401</c:v>
                </c:pt>
                <c:pt idx="513">
                  <c:v>72.686619143094958</c:v>
                </c:pt>
                <c:pt idx="514">
                  <c:v>72.667907179682501</c:v>
                </c:pt>
                <c:pt idx="515">
                  <c:v>72.649195216270058</c:v>
                </c:pt>
                <c:pt idx="516">
                  <c:v>72.630483252857616</c:v>
                </c:pt>
                <c:pt idx="517">
                  <c:v>72.611771289445159</c:v>
                </c:pt>
                <c:pt idx="518">
                  <c:v>72.593059326032716</c:v>
                </c:pt>
                <c:pt idx="519">
                  <c:v>72.574347362620273</c:v>
                </c:pt>
                <c:pt idx="520">
                  <c:v>72.55563539920783</c:v>
                </c:pt>
                <c:pt idx="521">
                  <c:v>72.536923435795373</c:v>
                </c:pt>
                <c:pt idx="522">
                  <c:v>72.51821147238293</c:v>
                </c:pt>
                <c:pt idx="523">
                  <c:v>72.499499508970487</c:v>
                </c:pt>
                <c:pt idx="524">
                  <c:v>72.48078754555803</c:v>
                </c:pt>
                <c:pt idx="525">
                  <c:v>72.462075582145587</c:v>
                </c:pt>
                <c:pt idx="526">
                  <c:v>72.443363618733144</c:v>
                </c:pt>
                <c:pt idx="527">
                  <c:v>72.424651655320702</c:v>
                </c:pt>
                <c:pt idx="528">
                  <c:v>72.405939691908245</c:v>
                </c:pt>
                <c:pt idx="529">
                  <c:v>72.387227728495802</c:v>
                </c:pt>
                <c:pt idx="530">
                  <c:v>72.368515765083359</c:v>
                </c:pt>
                <c:pt idx="531">
                  <c:v>72.349803801670916</c:v>
                </c:pt>
                <c:pt idx="532">
                  <c:v>72.331091838258459</c:v>
                </c:pt>
                <c:pt idx="533">
                  <c:v>72.312379874846016</c:v>
                </c:pt>
                <c:pt idx="534">
                  <c:v>72.293667911433573</c:v>
                </c:pt>
                <c:pt idx="535">
                  <c:v>72.27495594802113</c:v>
                </c:pt>
                <c:pt idx="536">
                  <c:v>72.256243984608673</c:v>
                </c:pt>
                <c:pt idx="537">
                  <c:v>72.23753202119623</c:v>
                </c:pt>
                <c:pt idx="538">
                  <c:v>72.218820057783788</c:v>
                </c:pt>
                <c:pt idx="539">
                  <c:v>72.20010809437133</c:v>
                </c:pt>
                <c:pt idx="540">
                  <c:v>72.181396130958888</c:v>
                </c:pt>
                <c:pt idx="541">
                  <c:v>72.162684167546445</c:v>
                </c:pt>
                <c:pt idx="542">
                  <c:v>72.143972204134002</c:v>
                </c:pt>
                <c:pt idx="543">
                  <c:v>72.125260240721545</c:v>
                </c:pt>
                <c:pt idx="544">
                  <c:v>72.106548277309102</c:v>
                </c:pt>
                <c:pt idx="545">
                  <c:v>72.087836313896659</c:v>
                </c:pt>
                <c:pt idx="546">
                  <c:v>72.069124350484202</c:v>
                </c:pt>
                <c:pt idx="547">
                  <c:v>72.050412387071759</c:v>
                </c:pt>
                <c:pt idx="548">
                  <c:v>72.031700423659316</c:v>
                </c:pt>
                <c:pt idx="549">
                  <c:v>72.012988460246874</c:v>
                </c:pt>
                <c:pt idx="550">
                  <c:v>71.994276496834416</c:v>
                </c:pt>
                <c:pt idx="551">
                  <c:v>71.975564533421974</c:v>
                </c:pt>
                <c:pt idx="552">
                  <c:v>71.956852570009531</c:v>
                </c:pt>
                <c:pt idx="553">
                  <c:v>71.938140606597088</c:v>
                </c:pt>
                <c:pt idx="554">
                  <c:v>71.919428643184631</c:v>
                </c:pt>
                <c:pt idx="555">
                  <c:v>71.900716679772188</c:v>
                </c:pt>
                <c:pt idx="556">
                  <c:v>71.882004716359745</c:v>
                </c:pt>
                <c:pt idx="557">
                  <c:v>71.863292752947302</c:v>
                </c:pt>
                <c:pt idx="558">
                  <c:v>71.844580789534845</c:v>
                </c:pt>
                <c:pt idx="559">
                  <c:v>71.825868826122402</c:v>
                </c:pt>
                <c:pt idx="560">
                  <c:v>71.807156862709959</c:v>
                </c:pt>
                <c:pt idx="561">
                  <c:v>71.788444899297502</c:v>
                </c:pt>
                <c:pt idx="562">
                  <c:v>71.76973293588506</c:v>
                </c:pt>
                <c:pt idx="563">
                  <c:v>71.751020972472617</c:v>
                </c:pt>
                <c:pt idx="564">
                  <c:v>71.732309009060174</c:v>
                </c:pt>
                <c:pt idx="565">
                  <c:v>71.713597045647717</c:v>
                </c:pt>
                <c:pt idx="566">
                  <c:v>71.694885082235274</c:v>
                </c:pt>
                <c:pt idx="567">
                  <c:v>71.676173118822831</c:v>
                </c:pt>
                <c:pt idx="568">
                  <c:v>71.657461155410374</c:v>
                </c:pt>
                <c:pt idx="569">
                  <c:v>71.638749191997931</c:v>
                </c:pt>
                <c:pt idx="570">
                  <c:v>71.620037228585488</c:v>
                </c:pt>
                <c:pt idx="571">
                  <c:v>71.601325265173045</c:v>
                </c:pt>
                <c:pt idx="572">
                  <c:v>71.582613301760603</c:v>
                </c:pt>
                <c:pt idx="573">
                  <c:v>71.563901338348145</c:v>
                </c:pt>
                <c:pt idx="574">
                  <c:v>71.545189374935703</c:v>
                </c:pt>
                <c:pt idx="575">
                  <c:v>71.52647741152326</c:v>
                </c:pt>
                <c:pt idx="576">
                  <c:v>71.507765448110803</c:v>
                </c:pt>
                <c:pt idx="577">
                  <c:v>71.48905348469836</c:v>
                </c:pt>
                <c:pt idx="578">
                  <c:v>71.470341521285917</c:v>
                </c:pt>
                <c:pt idx="579">
                  <c:v>71.451629557873474</c:v>
                </c:pt>
                <c:pt idx="580">
                  <c:v>71.432917594461017</c:v>
                </c:pt>
                <c:pt idx="581">
                  <c:v>71.414205631048574</c:v>
                </c:pt>
                <c:pt idx="582">
                  <c:v>71.395493667636131</c:v>
                </c:pt>
                <c:pt idx="583">
                  <c:v>71.376781704223674</c:v>
                </c:pt>
                <c:pt idx="584">
                  <c:v>71.358069740811231</c:v>
                </c:pt>
                <c:pt idx="585">
                  <c:v>71.339357777398789</c:v>
                </c:pt>
                <c:pt idx="586">
                  <c:v>71.320645813986346</c:v>
                </c:pt>
                <c:pt idx="587">
                  <c:v>71.301933850573889</c:v>
                </c:pt>
                <c:pt idx="588">
                  <c:v>71.283221887161446</c:v>
                </c:pt>
                <c:pt idx="589">
                  <c:v>71.264509923749003</c:v>
                </c:pt>
                <c:pt idx="590">
                  <c:v>71.245797960336546</c:v>
                </c:pt>
                <c:pt idx="591">
                  <c:v>71.227085996924103</c:v>
                </c:pt>
                <c:pt idx="592">
                  <c:v>71.20837403351166</c:v>
                </c:pt>
                <c:pt idx="593">
                  <c:v>71.189662070099217</c:v>
                </c:pt>
                <c:pt idx="594">
                  <c:v>71.170950106686774</c:v>
                </c:pt>
                <c:pt idx="595">
                  <c:v>71.152238143274317</c:v>
                </c:pt>
                <c:pt idx="596">
                  <c:v>71.133526179861875</c:v>
                </c:pt>
                <c:pt idx="597">
                  <c:v>71.114814216449432</c:v>
                </c:pt>
                <c:pt idx="598">
                  <c:v>71.096102253036975</c:v>
                </c:pt>
                <c:pt idx="599">
                  <c:v>71.077390289624532</c:v>
                </c:pt>
                <c:pt idx="600">
                  <c:v>71.058678326212089</c:v>
                </c:pt>
                <c:pt idx="601">
                  <c:v>71.039966362799646</c:v>
                </c:pt>
                <c:pt idx="602">
                  <c:v>71.021254399387189</c:v>
                </c:pt>
                <c:pt idx="603">
                  <c:v>71.002542435974746</c:v>
                </c:pt>
                <c:pt idx="604">
                  <c:v>70.983830472562303</c:v>
                </c:pt>
                <c:pt idx="605">
                  <c:v>70.965118509149846</c:v>
                </c:pt>
                <c:pt idx="606">
                  <c:v>70.946406545737403</c:v>
                </c:pt>
                <c:pt idx="607">
                  <c:v>70.92769458232496</c:v>
                </c:pt>
                <c:pt idx="608">
                  <c:v>70.908982618912518</c:v>
                </c:pt>
                <c:pt idx="609">
                  <c:v>70.890270655500061</c:v>
                </c:pt>
                <c:pt idx="610">
                  <c:v>70.871558692087618</c:v>
                </c:pt>
                <c:pt idx="611">
                  <c:v>70.852846728675175</c:v>
                </c:pt>
                <c:pt idx="612">
                  <c:v>70.834134765262732</c:v>
                </c:pt>
                <c:pt idx="613">
                  <c:v>70.815422801850275</c:v>
                </c:pt>
                <c:pt idx="614">
                  <c:v>70.796710838437832</c:v>
                </c:pt>
                <c:pt idx="615">
                  <c:v>70.777998875025389</c:v>
                </c:pt>
                <c:pt idx="616">
                  <c:v>70.759286911612946</c:v>
                </c:pt>
                <c:pt idx="617">
                  <c:v>70.740574948200489</c:v>
                </c:pt>
                <c:pt idx="618">
                  <c:v>70.721862984788046</c:v>
                </c:pt>
                <c:pt idx="619">
                  <c:v>70.703151021375604</c:v>
                </c:pt>
                <c:pt idx="620">
                  <c:v>70.684439057963147</c:v>
                </c:pt>
                <c:pt idx="621">
                  <c:v>70.665727094550704</c:v>
                </c:pt>
                <c:pt idx="622">
                  <c:v>70.647015131138261</c:v>
                </c:pt>
                <c:pt idx="623">
                  <c:v>70.628303167725818</c:v>
                </c:pt>
                <c:pt idx="624">
                  <c:v>70.609591204313361</c:v>
                </c:pt>
                <c:pt idx="625">
                  <c:v>70.590879240900918</c:v>
                </c:pt>
                <c:pt idx="626">
                  <c:v>70.572167277488475</c:v>
                </c:pt>
                <c:pt idx="627">
                  <c:v>70.553455314076018</c:v>
                </c:pt>
                <c:pt idx="628">
                  <c:v>70.534743350663575</c:v>
                </c:pt>
                <c:pt idx="629">
                  <c:v>70.516031387251132</c:v>
                </c:pt>
                <c:pt idx="630">
                  <c:v>70.49731942383869</c:v>
                </c:pt>
                <c:pt idx="631">
                  <c:v>70.478607460426232</c:v>
                </c:pt>
                <c:pt idx="632">
                  <c:v>70.45989549701379</c:v>
                </c:pt>
                <c:pt idx="633">
                  <c:v>70.441183533601347</c:v>
                </c:pt>
                <c:pt idx="634">
                  <c:v>70.422471570188904</c:v>
                </c:pt>
                <c:pt idx="635">
                  <c:v>70.403759606776447</c:v>
                </c:pt>
                <c:pt idx="636">
                  <c:v>70.385047643364004</c:v>
                </c:pt>
                <c:pt idx="637">
                  <c:v>70.366335679951561</c:v>
                </c:pt>
                <c:pt idx="638">
                  <c:v>70.347623716539118</c:v>
                </c:pt>
                <c:pt idx="639">
                  <c:v>70.328911753126661</c:v>
                </c:pt>
                <c:pt idx="640">
                  <c:v>70.310199789714218</c:v>
                </c:pt>
                <c:pt idx="641">
                  <c:v>70.291487826301775</c:v>
                </c:pt>
                <c:pt idx="642">
                  <c:v>70.272775862889318</c:v>
                </c:pt>
                <c:pt idx="643">
                  <c:v>70.254063899476876</c:v>
                </c:pt>
                <c:pt idx="644">
                  <c:v>70.235351936064433</c:v>
                </c:pt>
                <c:pt idx="645">
                  <c:v>70.21663997265199</c:v>
                </c:pt>
                <c:pt idx="646">
                  <c:v>70.197928009239533</c:v>
                </c:pt>
                <c:pt idx="647">
                  <c:v>70.17921604582709</c:v>
                </c:pt>
                <c:pt idx="648">
                  <c:v>70.160504082414647</c:v>
                </c:pt>
                <c:pt idx="649">
                  <c:v>70.14179211900219</c:v>
                </c:pt>
                <c:pt idx="650">
                  <c:v>70.123080155589747</c:v>
                </c:pt>
                <c:pt idx="651">
                  <c:v>70.104368192177304</c:v>
                </c:pt>
                <c:pt idx="652">
                  <c:v>70.085656228764861</c:v>
                </c:pt>
                <c:pt idx="653">
                  <c:v>70.066944265352419</c:v>
                </c:pt>
                <c:pt idx="654">
                  <c:v>70.048232301939962</c:v>
                </c:pt>
                <c:pt idx="655">
                  <c:v>70.029520338527519</c:v>
                </c:pt>
                <c:pt idx="656">
                  <c:v>70.010808375115076</c:v>
                </c:pt>
                <c:pt idx="657">
                  <c:v>69.992096411702619</c:v>
                </c:pt>
                <c:pt idx="658">
                  <c:v>69.973384448290176</c:v>
                </c:pt>
                <c:pt idx="659">
                  <c:v>69.954672484877733</c:v>
                </c:pt>
                <c:pt idx="660">
                  <c:v>69.93596052146529</c:v>
                </c:pt>
                <c:pt idx="661">
                  <c:v>69.917248558052833</c:v>
                </c:pt>
                <c:pt idx="662">
                  <c:v>69.89853659464039</c:v>
                </c:pt>
                <c:pt idx="663">
                  <c:v>69.879824631227947</c:v>
                </c:pt>
                <c:pt idx="664">
                  <c:v>69.86111266781549</c:v>
                </c:pt>
                <c:pt idx="665">
                  <c:v>69.842400704403047</c:v>
                </c:pt>
                <c:pt idx="666">
                  <c:v>69.823688740990605</c:v>
                </c:pt>
                <c:pt idx="667">
                  <c:v>69.804976777578162</c:v>
                </c:pt>
                <c:pt idx="668">
                  <c:v>69.786264814165705</c:v>
                </c:pt>
                <c:pt idx="669">
                  <c:v>69.767552850753262</c:v>
                </c:pt>
                <c:pt idx="670">
                  <c:v>69.748840887340819</c:v>
                </c:pt>
                <c:pt idx="671">
                  <c:v>69.730128923928362</c:v>
                </c:pt>
                <c:pt idx="672">
                  <c:v>69.711416960515919</c:v>
                </c:pt>
                <c:pt idx="673">
                  <c:v>69.692704997103476</c:v>
                </c:pt>
                <c:pt idx="674">
                  <c:v>69.673993033691033</c:v>
                </c:pt>
                <c:pt idx="675">
                  <c:v>69.655281070278591</c:v>
                </c:pt>
                <c:pt idx="676">
                  <c:v>69.636569106866133</c:v>
                </c:pt>
                <c:pt idx="677">
                  <c:v>69.617857143453691</c:v>
                </c:pt>
                <c:pt idx="678">
                  <c:v>69.599145180041248</c:v>
                </c:pt>
                <c:pt idx="679">
                  <c:v>69.580433216628791</c:v>
                </c:pt>
                <c:pt idx="680">
                  <c:v>69.561721253216348</c:v>
                </c:pt>
                <c:pt idx="681">
                  <c:v>69.543009289803905</c:v>
                </c:pt>
                <c:pt idx="682">
                  <c:v>69.524297326391462</c:v>
                </c:pt>
                <c:pt idx="683">
                  <c:v>69.505585362979005</c:v>
                </c:pt>
                <c:pt idx="684">
                  <c:v>69.486873399566562</c:v>
                </c:pt>
                <c:pt idx="685">
                  <c:v>69.468161436154119</c:v>
                </c:pt>
                <c:pt idx="686">
                  <c:v>69.449449472741662</c:v>
                </c:pt>
                <c:pt idx="687">
                  <c:v>69.430737509329219</c:v>
                </c:pt>
                <c:pt idx="688">
                  <c:v>69.412025545916777</c:v>
                </c:pt>
                <c:pt idx="689">
                  <c:v>69.393313582504334</c:v>
                </c:pt>
                <c:pt idx="690">
                  <c:v>69.374601619091877</c:v>
                </c:pt>
                <c:pt idx="691">
                  <c:v>69.355889655679434</c:v>
                </c:pt>
                <c:pt idx="692">
                  <c:v>69.337177692266991</c:v>
                </c:pt>
                <c:pt idx="693">
                  <c:v>69.318465728854548</c:v>
                </c:pt>
                <c:pt idx="694">
                  <c:v>69.299753765442091</c:v>
                </c:pt>
                <c:pt idx="695">
                  <c:v>69.281041802029648</c:v>
                </c:pt>
                <c:pt idx="696">
                  <c:v>69.262329838617205</c:v>
                </c:pt>
                <c:pt idx="697">
                  <c:v>69.243617875204762</c:v>
                </c:pt>
                <c:pt idx="698">
                  <c:v>69.224905911792305</c:v>
                </c:pt>
                <c:pt idx="699">
                  <c:v>69.206193948379862</c:v>
                </c:pt>
                <c:pt idx="700">
                  <c:v>69.18748198496742</c:v>
                </c:pt>
                <c:pt idx="701">
                  <c:v>69.168770021554963</c:v>
                </c:pt>
                <c:pt idx="702">
                  <c:v>69.15005805814252</c:v>
                </c:pt>
                <c:pt idx="703">
                  <c:v>69.131346094730077</c:v>
                </c:pt>
                <c:pt idx="704">
                  <c:v>69.112634131317634</c:v>
                </c:pt>
                <c:pt idx="705">
                  <c:v>69.093922167905177</c:v>
                </c:pt>
                <c:pt idx="706">
                  <c:v>69.075210204492734</c:v>
                </c:pt>
                <c:pt idx="707">
                  <c:v>69.056498241080291</c:v>
                </c:pt>
                <c:pt idx="708">
                  <c:v>69.037786277667834</c:v>
                </c:pt>
                <c:pt idx="709">
                  <c:v>69.019074314255391</c:v>
                </c:pt>
                <c:pt idx="710">
                  <c:v>69.000362350842948</c:v>
                </c:pt>
                <c:pt idx="711">
                  <c:v>68.981650387430506</c:v>
                </c:pt>
                <c:pt idx="712">
                  <c:v>68.962938424018049</c:v>
                </c:pt>
                <c:pt idx="713">
                  <c:v>68.944226460605606</c:v>
                </c:pt>
                <c:pt idx="714">
                  <c:v>68.925514497193163</c:v>
                </c:pt>
                <c:pt idx="715">
                  <c:v>68.90680253378072</c:v>
                </c:pt>
                <c:pt idx="716">
                  <c:v>68.888090570368263</c:v>
                </c:pt>
                <c:pt idx="717">
                  <c:v>68.86937860695582</c:v>
                </c:pt>
                <c:pt idx="718">
                  <c:v>68.850666643543377</c:v>
                </c:pt>
                <c:pt idx="719">
                  <c:v>68.831954680130934</c:v>
                </c:pt>
                <c:pt idx="720">
                  <c:v>68.813242716718477</c:v>
                </c:pt>
                <c:pt idx="721">
                  <c:v>68.794530753306034</c:v>
                </c:pt>
                <c:pt idx="722">
                  <c:v>68.775818789893592</c:v>
                </c:pt>
                <c:pt idx="723">
                  <c:v>68.757106826481134</c:v>
                </c:pt>
                <c:pt idx="724">
                  <c:v>68.738394863068692</c:v>
                </c:pt>
                <c:pt idx="725">
                  <c:v>68.719682899656249</c:v>
                </c:pt>
                <c:pt idx="726">
                  <c:v>68.700970936243806</c:v>
                </c:pt>
                <c:pt idx="727">
                  <c:v>68.682258972831349</c:v>
                </c:pt>
                <c:pt idx="728">
                  <c:v>68.663547009418906</c:v>
                </c:pt>
                <c:pt idx="729">
                  <c:v>68.644835046006463</c:v>
                </c:pt>
                <c:pt idx="730">
                  <c:v>68.626123082594006</c:v>
                </c:pt>
                <c:pt idx="731">
                  <c:v>68.607411119181563</c:v>
                </c:pt>
                <c:pt idx="732">
                  <c:v>68.58869915576912</c:v>
                </c:pt>
                <c:pt idx="733">
                  <c:v>68.569987192356677</c:v>
                </c:pt>
                <c:pt idx="734">
                  <c:v>68.551275228944235</c:v>
                </c:pt>
                <c:pt idx="735">
                  <c:v>68.532563265531778</c:v>
                </c:pt>
                <c:pt idx="736">
                  <c:v>68.513851302119335</c:v>
                </c:pt>
                <c:pt idx="737">
                  <c:v>68.495139338706892</c:v>
                </c:pt>
                <c:pt idx="738">
                  <c:v>68.476427375294435</c:v>
                </c:pt>
                <c:pt idx="739">
                  <c:v>68.457715411881992</c:v>
                </c:pt>
                <c:pt idx="740">
                  <c:v>68.439003448469549</c:v>
                </c:pt>
                <c:pt idx="741">
                  <c:v>68.420291485057106</c:v>
                </c:pt>
                <c:pt idx="742">
                  <c:v>68.401579521644649</c:v>
                </c:pt>
                <c:pt idx="743">
                  <c:v>68.382867558232206</c:v>
                </c:pt>
                <c:pt idx="744">
                  <c:v>68.364155594819763</c:v>
                </c:pt>
                <c:pt idx="745">
                  <c:v>68.345443631407306</c:v>
                </c:pt>
                <c:pt idx="746">
                  <c:v>68.326731667994864</c:v>
                </c:pt>
                <c:pt idx="747">
                  <c:v>68.308019704582421</c:v>
                </c:pt>
                <c:pt idx="748">
                  <c:v>68.289307741169978</c:v>
                </c:pt>
                <c:pt idx="749">
                  <c:v>68.270595777757521</c:v>
                </c:pt>
                <c:pt idx="750">
                  <c:v>68.251883814345078</c:v>
                </c:pt>
                <c:pt idx="751">
                  <c:v>68.233171850932635</c:v>
                </c:pt>
                <c:pt idx="752">
                  <c:v>68.214459887520192</c:v>
                </c:pt>
                <c:pt idx="753">
                  <c:v>68.195747924107735</c:v>
                </c:pt>
                <c:pt idx="754">
                  <c:v>68.177035960695292</c:v>
                </c:pt>
                <c:pt idx="755">
                  <c:v>68.158323997282849</c:v>
                </c:pt>
                <c:pt idx="756">
                  <c:v>68.139612033870407</c:v>
                </c:pt>
                <c:pt idx="757">
                  <c:v>68.120900070457949</c:v>
                </c:pt>
                <c:pt idx="758">
                  <c:v>68.102188107045507</c:v>
                </c:pt>
                <c:pt idx="759">
                  <c:v>68.083476143633064</c:v>
                </c:pt>
                <c:pt idx="760">
                  <c:v>68.064764180220607</c:v>
                </c:pt>
                <c:pt idx="761">
                  <c:v>68.046052216808164</c:v>
                </c:pt>
                <c:pt idx="762">
                  <c:v>68.027340253395721</c:v>
                </c:pt>
                <c:pt idx="763">
                  <c:v>68.008628289983278</c:v>
                </c:pt>
                <c:pt idx="764">
                  <c:v>67.989916326570821</c:v>
                </c:pt>
                <c:pt idx="765">
                  <c:v>67.971204363158378</c:v>
                </c:pt>
                <c:pt idx="766">
                  <c:v>67.952492399745935</c:v>
                </c:pt>
                <c:pt idx="767">
                  <c:v>67.933780436333478</c:v>
                </c:pt>
                <c:pt idx="768">
                  <c:v>67.915068472921035</c:v>
                </c:pt>
                <c:pt idx="769">
                  <c:v>67.896356509508593</c:v>
                </c:pt>
                <c:pt idx="770">
                  <c:v>67.87764454609615</c:v>
                </c:pt>
                <c:pt idx="771">
                  <c:v>67.858932582683693</c:v>
                </c:pt>
                <c:pt idx="772">
                  <c:v>67.84022061927125</c:v>
                </c:pt>
                <c:pt idx="773">
                  <c:v>67.821508655858807</c:v>
                </c:pt>
                <c:pt idx="774">
                  <c:v>67.802796692446364</c:v>
                </c:pt>
                <c:pt idx="775">
                  <c:v>67.784084729033907</c:v>
                </c:pt>
                <c:pt idx="776">
                  <c:v>67.765372765621464</c:v>
                </c:pt>
                <c:pt idx="777">
                  <c:v>67.746660802209021</c:v>
                </c:pt>
                <c:pt idx="778">
                  <c:v>67.727948838796578</c:v>
                </c:pt>
                <c:pt idx="779">
                  <c:v>67.709236875384121</c:v>
                </c:pt>
                <c:pt idx="780">
                  <c:v>67.690524911971679</c:v>
                </c:pt>
                <c:pt idx="781">
                  <c:v>67.671812948559236</c:v>
                </c:pt>
                <c:pt idx="782">
                  <c:v>67.653100985146779</c:v>
                </c:pt>
                <c:pt idx="783">
                  <c:v>67.634389021734336</c:v>
                </c:pt>
                <c:pt idx="784">
                  <c:v>67.615677058321893</c:v>
                </c:pt>
                <c:pt idx="785">
                  <c:v>67.59696509490945</c:v>
                </c:pt>
                <c:pt idx="786">
                  <c:v>67.578253131496993</c:v>
                </c:pt>
                <c:pt idx="787">
                  <c:v>67.55954116808455</c:v>
                </c:pt>
                <c:pt idx="788">
                  <c:v>67.540829204672107</c:v>
                </c:pt>
                <c:pt idx="789">
                  <c:v>67.52211724125965</c:v>
                </c:pt>
                <c:pt idx="790">
                  <c:v>67.503405277847207</c:v>
                </c:pt>
                <c:pt idx="791">
                  <c:v>67.484693314434764</c:v>
                </c:pt>
                <c:pt idx="792">
                  <c:v>67.465981351022322</c:v>
                </c:pt>
                <c:pt idx="793">
                  <c:v>67.447269387609879</c:v>
                </c:pt>
                <c:pt idx="794">
                  <c:v>67.428557424197422</c:v>
                </c:pt>
                <c:pt idx="795">
                  <c:v>67.409845460784979</c:v>
                </c:pt>
                <c:pt idx="796">
                  <c:v>67.391133497372536</c:v>
                </c:pt>
                <c:pt idx="797">
                  <c:v>67.372421533960079</c:v>
                </c:pt>
                <c:pt idx="798">
                  <c:v>67.353709570547636</c:v>
                </c:pt>
                <c:pt idx="799">
                  <c:v>67.334997607135193</c:v>
                </c:pt>
                <c:pt idx="800">
                  <c:v>67.31628564372275</c:v>
                </c:pt>
                <c:pt idx="801">
                  <c:v>67.297573680310293</c:v>
                </c:pt>
                <c:pt idx="802">
                  <c:v>67.27886171689785</c:v>
                </c:pt>
                <c:pt idx="803">
                  <c:v>67.260149753485408</c:v>
                </c:pt>
                <c:pt idx="804">
                  <c:v>67.241437790072951</c:v>
                </c:pt>
                <c:pt idx="805">
                  <c:v>67.222725826660508</c:v>
                </c:pt>
                <c:pt idx="806">
                  <c:v>67.204013863248065</c:v>
                </c:pt>
                <c:pt idx="807">
                  <c:v>67.185301899835622</c:v>
                </c:pt>
                <c:pt idx="808">
                  <c:v>67.166589936423165</c:v>
                </c:pt>
                <c:pt idx="809">
                  <c:v>67.147877973010722</c:v>
                </c:pt>
                <c:pt idx="810">
                  <c:v>67.129166009598279</c:v>
                </c:pt>
                <c:pt idx="811">
                  <c:v>67.110454046185822</c:v>
                </c:pt>
                <c:pt idx="812">
                  <c:v>67.091742082773379</c:v>
                </c:pt>
                <c:pt idx="813">
                  <c:v>67.073030119360936</c:v>
                </c:pt>
                <c:pt idx="814">
                  <c:v>67.054318155948494</c:v>
                </c:pt>
                <c:pt idx="815">
                  <c:v>67.035606192536051</c:v>
                </c:pt>
                <c:pt idx="816">
                  <c:v>67.016894229123594</c:v>
                </c:pt>
                <c:pt idx="817">
                  <c:v>66.998182265711151</c:v>
                </c:pt>
                <c:pt idx="818">
                  <c:v>66.979470302298708</c:v>
                </c:pt>
                <c:pt idx="819">
                  <c:v>66.960758338886251</c:v>
                </c:pt>
                <c:pt idx="820">
                  <c:v>66.942046375473808</c:v>
                </c:pt>
                <c:pt idx="821">
                  <c:v>66.923334412061365</c:v>
                </c:pt>
                <c:pt idx="822">
                  <c:v>66.904622448648922</c:v>
                </c:pt>
                <c:pt idx="823">
                  <c:v>66.885910485236465</c:v>
                </c:pt>
                <c:pt idx="824">
                  <c:v>66.867198521824022</c:v>
                </c:pt>
                <c:pt idx="825">
                  <c:v>66.848486558411579</c:v>
                </c:pt>
                <c:pt idx="826">
                  <c:v>66.829774594999122</c:v>
                </c:pt>
                <c:pt idx="827">
                  <c:v>66.81106263158668</c:v>
                </c:pt>
                <c:pt idx="828">
                  <c:v>66.792350668174237</c:v>
                </c:pt>
                <c:pt idx="829">
                  <c:v>66.773638704761794</c:v>
                </c:pt>
                <c:pt idx="830">
                  <c:v>66.754926741349337</c:v>
                </c:pt>
                <c:pt idx="831">
                  <c:v>66.736214777936894</c:v>
                </c:pt>
                <c:pt idx="832">
                  <c:v>66.717502814524451</c:v>
                </c:pt>
                <c:pt idx="833">
                  <c:v>66.698790851112008</c:v>
                </c:pt>
                <c:pt idx="834">
                  <c:v>66.680078887699551</c:v>
                </c:pt>
                <c:pt idx="835">
                  <c:v>66.661366924287108</c:v>
                </c:pt>
                <c:pt idx="836">
                  <c:v>66.642654960874665</c:v>
                </c:pt>
                <c:pt idx="837">
                  <c:v>66.623942997462223</c:v>
                </c:pt>
                <c:pt idx="838">
                  <c:v>66.605231034049766</c:v>
                </c:pt>
                <c:pt idx="839">
                  <c:v>66.586519070637323</c:v>
                </c:pt>
                <c:pt idx="840">
                  <c:v>66.56780710722488</c:v>
                </c:pt>
                <c:pt idx="841">
                  <c:v>66.549095143812423</c:v>
                </c:pt>
                <c:pt idx="842">
                  <c:v>66.53038318039998</c:v>
                </c:pt>
                <c:pt idx="843">
                  <c:v>66.511671216987537</c:v>
                </c:pt>
                <c:pt idx="844">
                  <c:v>66.492959253575094</c:v>
                </c:pt>
                <c:pt idx="845">
                  <c:v>66.474247290162637</c:v>
                </c:pt>
                <c:pt idx="846">
                  <c:v>66.455535326750194</c:v>
                </c:pt>
                <c:pt idx="847">
                  <c:v>66.436823363337751</c:v>
                </c:pt>
                <c:pt idx="848">
                  <c:v>66.418111399925294</c:v>
                </c:pt>
                <c:pt idx="849">
                  <c:v>66.399399436512851</c:v>
                </c:pt>
                <c:pt idx="850">
                  <c:v>66.380687473100409</c:v>
                </c:pt>
                <c:pt idx="851">
                  <c:v>66.361975509687966</c:v>
                </c:pt>
                <c:pt idx="852">
                  <c:v>66.343263546275509</c:v>
                </c:pt>
                <c:pt idx="853">
                  <c:v>66.324551582863066</c:v>
                </c:pt>
                <c:pt idx="854">
                  <c:v>66.305839619450623</c:v>
                </c:pt>
                <c:pt idx="855">
                  <c:v>66.287127656038166</c:v>
                </c:pt>
                <c:pt idx="856">
                  <c:v>66.268415692625723</c:v>
                </c:pt>
                <c:pt idx="857">
                  <c:v>66.24970372921328</c:v>
                </c:pt>
                <c:pt idx="858">
                  <c:v>66.230991765800837</c:v>
                </c:pt>
                <c:pt idx="859">
                  <c:v>66.212279802388395</c:v>
                </c:pt>
                <c:pt idx="860">
                  <c:v>66.193567838975937</c:v>
                </c:pt>
                <c:pt idx="861">
                  <c:v>66.174855875563495</c:v>
                </c:pt>
                <c:pt idx="862">
                  <c:v>66.156143912151052</c:v>
                </c:pt>
                <c:pt idx="863">
                  <c:v>66.137431948738595</c:v>
                </c:pt>
                <c:pt idx="864">
                  <c:v>66.118719985326152</c:v>
                </c:pt>
                <c:pt idx="865">
                  <c:v>66.100008021913709</c:v>
                </c:pt>
                <c:pt idx="866">
                  <c:v>66.081296058501266</c:v>
                </c:pt>
                <c:pt idx="867">
                  <c:v>66.062584095088809</c:v>
                </c:pt>
                <c:pt idx="868">
                  <c:v>66.043872131676366</c:v>
                </c:pt>
                <c:pt idx="869">
                  <c:v>66.025160168263923</c:v>
                </c:pt>
                <c:pt idx="870">
                  <c:v>66.006448204851466</c:v>
                </c:pt>
                <c:pt idx="871">
                  <c:v>65.987736241439023</c:v>
                </c:pt>
                <c:pt idx="872">
                  <c:v>65.969024278026581</c:v>
                </c:pt>
                <c:pt idx="873">
                  <c:v>65.950312314614138</c:v>
                </c:pt>
                <c:pt idx="874">
                  <c:v>65.931600351201695</c:v>
                </c:pt>
                <c:pt idx="875">
                  <c:v>65.912888387789238</c:v>
                </c:pt>
                <c:pt idx="876">
                  <c:v>65.894176424376795</c:v>
                </c:pt>
                <c:pt idx="877">
                  <c:v>65.875464460964352</c:v>
                </c:pt>
                <c:pt idx="878">
                  <c:v>65.856752497551895</c:v>
                </c:pt>
                <c:pt idx="879">
                  <c:v>65.838040534139452</c:v>
                </c:pt>
                <c:pt idx="880">
                  <c:v>65.819328570727009</c:v>
                </c:pt>
                <c:pt idx="881">
                  <c:v>65.800616607314566</c:v>
                </c:pt>
                <c:pt idx="882">
                  <c:v>65.781904643902109</c:v>
                </c:pt>
                <c:pt idx="883">
                  <c:v>65.763192680489666</c:v>
                </c:pt>
                <c:pt idx="884">
                  <c:v>65.744480717077224</c:v>
                </c:pt>
                <c:pt idx="885">
                  <c:v>65.725768753664767</c:v>
                </c:pt>
                <c:pt idx="886">
                  <c:v>65.707056790252324</c:v>
                </c:pt>
                <c:pt idx="887">
                  <c:v>65.688344826839881</c:v>
                </c:pt>
                <c:pt idx="888">
                  <c:v>65.669632863427438</c:v>
                </c:pt>
                <c:pt idx="889">
                  <c:v>65.650920900014995</c:v>
                </c:pt>
                <c:pt idx="890">
                  <c:v>65.632208936602538</c:v>
                </c:pt>
                <c:pt idx="891">
                  <c:v>65.613496973190095</c:v>
                </c:pt>
                <c:pt idx="892">
                  <c:v>65.594785009777638</c:v>
                </c:pt>
                <c:pt idx="893">
                  <c:v>65.576073046365195</c:v>
                </c:pt>
                <c:pt idx="894">
                  <c:v>65.557361082952752</c:v>
                </c:pt>
                <c:pt idx="895">
                  <c:v>65.53864911954031</c:v>
                </c:pt>
                <c:pt idx="896">
                  <c:v>65.519937156127867</c:v>
                </c:pt>
                <c:pt idx="897">
                  <c:v>65.50122519271541</c:v>
                </c:pt>
                <c:pt idx="898">
                  <c:v>65.482513229302967</c:v>
                </c:pt>
                <c:pt idx="899">
                  <c:v>65.463801265890524</c:v>
                </c:pt>
                <c:pt idx="900">
                  <c:v>65.445089302478067</c:v>
                </c:pt>
                <c:pt idx="901">
                  <c:v>65.426377339065624</c:v>
                </c:pt>
                <c:pt idx="902">
                  <c:v>65.407665375653181</c:v>
                </c:pt>
                <c:pt idx="903">
                  <c:v>65.388953412240738</c:v>
                </c:pt>
                <c:pt idx="904">
                  <c:v>65.370241448828281</c:v>
                </c:pt>
                <c:pt idx="905">
                  <c:v>65.351529485415838</c:v>
                </c:pt>
                <c:pt idx="906">
                  <c:v>65.332817522003396</c:v>
                </c:pt>
                <c:pt idx="907">
                  <c:v>65.314105558590938</c:v>
                </c:pt>
                <c:pt idx="908">
                  <c:v>65.295393595178496</c:v>
                </c:pt>
                <c:pt idx="909">
                  <c:v>65.276681631766053</c:v>
                </c:pt>
                <c:pt idx="910">
                  <c:v>65.25796966835361</c:v>
                </c:pt>
                <c:pt idx="911">
                  <c:v>65.239257704941167</c:v>
                </c:pt>
                <c:pt idx="912">
                  <c:v>65.22054574152871</c:v>
                </c:pt>
                <c:pt idx="913">
                  <c:v>65.201833778116267</c:v>
                </c:pt>
                <c:pt idx="914">
                  <c:v>65.18312181470381</c:v>
                </c:pt>
                <c:pt idx="915">
                  <c:v>65.164409851291367</c:v>
                </c:pt>
                <c:pt idx="916">
                  <c:v>65.145697887878924</c:v>
                </c:pt>
                <c:pt idx="917">
                  <c:v>65.126985924466481</c:v>
                </c:pt>
                <c:pt idx="918">
                  <c:v>65.108273961054039</c:v>
                </c:pt>
                <c:pt idx="919">
                  <c:v>65.089561997641582</c:v>
                </c:pt>
                <c:pt idx="920">
                  <c:v>65.070850034229139</c:v>
                </c:pt>
                <c:pt idx="921">
                  <c:v>65.052138070816696</c:v>
                </c:pt>
                <c:pt idx="922">
                  <c:v>65.033426107404239</c:v>
                </c:pt>
                <c:pt idx="923">
                  <c:v>65.014714143991796</c:v>
                </c:pt>
                <c:pt idx="924">
                  <c:v>64.996002180579353</c:v>
                </c:pt>
                <c:pt idx="925">
                  <c:v>64.97729021716691</c:v>
                </c:pt>
                <c:pt idx="926">
                  <c:v>64.958578253754453</c:v>
                </c:pt>
                <c:pt idx="927">
                  <c:v>64.93986629034201</c:v>
                </c:pt>
                <c:pt idx="928">
                  <c:v>64.921154326929567</c:v>
                </c:pt>
                <c:pt idx="929">
                  <c:v>64.90244236351711</c:v>
                </c:pt>
                <c:pt idx="930">
                  <c:v>64.883730400104668</c:v>
                </c:pt>
                <c:pt idx="931">
                  <c:v>64.865018436692225</c:v>
                </c:pt>
                <c:pt idx="932">
                  <c:v>64.846306473279782</c:v>
                </c:pt>
                <c:pt idx="933">
                  <c:v>64.827594509867339</c:v>
                </c:pt>
                <c:pt idx="934">
                  <c:v>64.808882546454882</c:v>
                </c:pt>
                <c:pt idx="935">
                  <c:v>64.790170583042439</c:v>
                </c:pt>
                <c:pt idx="936">
                  <c:v>64.771458619629982</c:v>
                </c:pt>
                <c:pt idx="937">
                  <c:v>64.752746656217539</c:v>
                </c:pt>
                <c:pt idx="938">
                  <c:v>64.734034692805096</c:v>
                </c:pt>
                <c:pt idx="939">
                  <c:v>64.715322729392653</c:v>
                </c:pt>
                <c:pt idx="940">
                  <c:v>64.696610765980211</c:v>
                </c:pt>
                <c:pt idx="941">
                  <c:v>64.677898802567753</c:v>
                </c:pt>
                <c:pt idx="942">
                  <c:v>64.659186839155311</c:v>
                </c:pt>
                <c:pt idx="943">
                  <c:v>64.640474875742868</c:v>
                </c:pt>
                <c:pt idx="944">
                  <c:v>64.621762912330411</c:v>
                </c:pt>
                <c:pt idx="945">
                  <c:v>64.603050948917968</c:v>
                </c:pt>
                <c:pt idx="946">
                  <c:v>64.584338985505525</c:v>
                </c:pt>
                <c:pt idx="947">
                  <c:v>64.565627022093082</c:v>
                </c:pt>
                <c:pt idx="948">
                  <c:v>64.546915058680625</c:v>
                </c:pt>
                <c:pt idx="949">
                  <c:v>64.528203095268182</c:v>
                </c:pt>
                <c:pt idx="950">
                  <c:v>64.509491131855739</c:v>
                </c:pt>
                <c:pt idx="951">
                  <c:v>64.490779168443282</c:v>
                </c:pt>
                <c:pt idx="952">
                  <c:v>64.472067205030839</c:v>
                </c:pt>
                <c:pt idx="953">
                  <c:v>64.453355241618397</c:v>
                </c:pt>
                <c:pt idx="954">
                  <c:v>64.434643278205954</c:v>
                </c:pt>
                <c:pt idx="955">
                  <c:v>64.415931314793511</c:v>
                </c:pt>
                <c:pt idx="956">
                  <c:v>64.397219351381054</c:v>
                </c:pt>
                <c:pt idx="957">
                  <c:v>64.378507387968611</c:v>
                </c:pt>
                <c:pt idx="958">
                  <c:v>64.359795424556168</c:v>
                </c:pt>
                <c:pt idx="959">
                  <c:v>64.341083461143711</c:v>
                </c:pt>
                <c:pt idx="960">
                  <c:v>64.322371497731268</c:v>
                </c:pt>
                <c:pt idx="961">
                  <c:v>64.303659534318825</c:v>
                </c:pt>
                <c:pt idx="962">
                  <c:v>64.284947570906382</c:v>
                </c:pt>
                <c:pt idx="963">
                  <c:v>64.266235607493925</c:v>
                </c:pt>
                <c:pt idx="964">
                  <c:v>64.247523644081483</c:v>
                </c:pt>
                <c:pt idx="965">
                  <c:v>64.22881168066904</c:v>
                </c:pt>
                <c:pt idx="966">
                  <c:v>64.210099717256583</c:v>
                </c:pt>
                <c:pt idx="967">
                  <c:v>64.19138775384414</c:v>
                </c:pt>
                <c:pt idx="968">
                  <c:v>64.172675790431697</c:v>
                </c:pt>
                <c:pt idx="969">
                  <c:v>64.153963827019254</c:v>
                </c:pt>
                <c:pt idx="970">
                  <c:v>64.135251863606811</c:v>
                </c:pt>
                <c:pt idx="971">
                  <c:v>64.116539900194354</c:v>
                </c:pt>
                <c:pt idx="972">
                  <c:v>64.097827936781911</c:v>
                </c:pt>
                <c:pt idx="973">
                  <c:v>64.079115973369454</c:v>
                </c:pt>
                <c:pt idx="974">
                  <c:v>64.060404009957011</c:v>
                </c:pt>
                <c:pt idx="975">
                  <c:v>64.041692046544568</c:v>
                </c:pt>
                <c:pt idx="976">
                  <c:v>64.022980083132126</c:v>
                </c:pt>
                <c:pt idx="977">
                  <c:v>64.004268119719683</c:v>
                </c:pt>
                <c:pt idx="978">
                  <c:v>63.985556156307226</c:v>
                </c:pt>
                <c:pt idx="979">
                  <c:v>63.966844192894783</c:v>
                </c:pt>
                <c:pt idx="980">
                  <c:v>63.94813222948234</c:v>
                </c:pt>
                <c:pt idx="981">
                  <c:v>63.92942026606989</c:v>
                </c:pt>
                <c:pt idx="982">
                  <c:v>63.91070830265744</c:v>
                </c:pt>
                <c:pt idx="983">
                  <c:v>63.891996339244997</c:v>
                </c:pt>
                <c:pt idx="984">
                  <c:v>63.873284375832547</c:v>
                </c:pt>
                <c:pt idx="985">
                  <c:v>63.854572412420097</c:v>
                </c:pt>
                <c:pt idx="986">
                  <c:v>63.835860449007654</c:v>
                </c:pt>
                <c:pt idx="987">
                  <c:v>63.817148485595212</c:v>
                </c:pt>
                <c:pt idx="988">
                  <c:v>63.798436522182762</c:v>
                </c:pt>
                <c:pt idx="989">
                  <c:v>63.779724558770312</c:v>
                </c:pt>
                <c:pt idx="990">
                  <c:v>63.761012595357869</c:v>
                </c:pt>
                <c:pt idx="991">
                  <c:v>63.742300631945426</c:v>
                </c:pt>
                <c:pt idx="992">
                  <c:v>63.723588668532976</c:v>
                </c:pt>
                <c:pt idx="993">
                  <c:v>63.704876705120526</c:v>
                </c:pt>
                <c:pt idx="994">
                  <c:v>63.686164741708083</c:v>
                </c:pt>
                <c:pt idx="995">
                  <c:v>63.667452778295633</c:v>
                </c:pt>
                <c:pt idx="996">
                  <c:v>63.648740814883183</c:v>
                </c:pt>
                <c:pt idx="997">
                  <c:v>63.63002885147074</c:v>
                </c:pt>
                <c:pt idx="998">
                  <c:v>63.611316888058298</c:v>
                </c:pt>
                <c:pt idx="999">
                  <c:v>63.592604924645848</c:v>
                </c:pt>
                <c:pt idx="1000">
                  <c:v>63.573892961233398</c:v>
                </c:pt>
                <c:pt idx="1001">
                  <c:v>63.555180997820955</c:v>
                </c:pt>
                <c:pt idx="1002">
                  <c:v>63.536469034408512</c:v>
                </c:pt>
                <c:pt idx="1003">
                  <c:v>63.517757070996062</c:v>
                </c:pt>
                <c:pt idx="1004">
                  <c:v>63.499045107583612</c:v>
                </c:pt>
                <c:pt idx="1005">
                  <c:v>63.480333144171169</c:v>
                </c:pt>
                <c:pt idx="1006">
                  <c:v>63.461621180758719</c:v>
                </c:pt>
                <c:pt idx="1007">
                  <c:v>63.442909217346269</c:v>
                </c:pt>
                <c:pt idx="1008">
                  <c:v>63.424197253933826</c:v>
                </c:pt>
                <c:pt idx="1009">
                  <c:v>63.405485290521383</c:v>
                </c:pt>
                <c:pt idx="1010">
                  <c:v>63.386773327108934</c:v>
                </c:pt>
                <c:pt idx="1011">
                  <c:v>63.368061363696484</c:v>
                </c:pt>
                <c:pt idx="1012">
                  <c:v>63.349349400284041</c:v>
                </c:pt>
                <c:pt idx="1013">
                  <c:v>63.330637436871598</c:v>
                </c:pt>
                <c:pt idx="1014">
                  <c:v>63.311925473459148</c:v>
                </c:pt>
                <c:pt idx="1015">
                  <c:v>63.293213510046698</c:v>
                </c:pt>
                <c:pt idx="1016">
                  <c:v>63.274501546634255</c:v>
                </c:pt>
                <c:pt idx="1017">
                  <c:v>63.255789583221812</c:v>
                </c:pt>
                <c:pt idx="1018">
                  <c:v>63.237077619809355</c:v>
                </c:pt>
                <c:pt idx="1019">
                  <c:v>63.218365656396912</c:v>
                </c:pt>
                <c:pt idx="1020">
                  <c:v>63.199653692984469</c:v>
                </c:pt>
                <c:pt idx="1021">
                  <c:v>63.180941729572019</c:v>
                </c:pt>
                <c:pt idx="1022">
                  <c:v>63.16222976615957</c:v>
                </c:pt>
                <c:pt idx="1023">
                  <c:v>63.143517802747127</c:v>
                </c:pt>
                <c:pt idx="1024">
                  <c:v>63.124805839334684</c:v>
                </c:pt>
                <c:pt idx="1025">
                  <c:v>63.106093875922234</c:v>
                </c:pt>
                <c:pt idx="1026">
                  <c:v>63.087381912509784</c:v>
                </c:pt>
                <c:pt idx="1027">
                  <c:v>63.068669949097341</c:v>
                </c:pt>
                <c:pt idx="1028">
                  <c:v>63.049957985684898</c:v>
                </c:pt>
                <c:pt idx="1029">
                  <c:v>63.031246022272441</c:v>
                </c:pt>
                <c:pt idx="1030">
                  <c:v>63.012534058859998</c:v>
                </c:pt>
                <c:pt idx="1031">
                  <c:v>62.993822095447555</c:v>
                </c:pt>
                <c:pt idx="1032">
                  <c:v>62.975110132035105</c:v>
                </c:pt>
                <c:pt idx="1033">
                  <c:v>62.956398168622655</c:v>
                </c:pt>
                <c:pt idx="1034">
                  <c:v>62.937686205210213</c:v>
                </c:pt>
                <c:pt idx="1035">
                  <c:v>62.91897424179777</c:v>
                </c:pt>
                <c:pt idx="1036">
                  <c:v>62.90026227838532</c:v>
                </c:pt>
                <c:pt idx="1037">
                  <c:v>62.88155031497287</c:v>
                </c:pt>
                <c:pt idx="1038">
                  <c:v>62.862838351560427</c:v>
                </c:pt>
                <c:pt idx="1039">
                  <c:v>62.844126388147984</c:v>
                </c:pt>
                <c:pt idx="1040">
                  <c:v>62.825414424735534</c:v>
                </c:pt>
                <c:pt idx="1041">
                  <c:v>62.806702461323084</c:v>
                </c:pt>
                <c:pt idx="1042">
                  <c:v>62.787990497910641</c:v>
                </c:pt>
                <c:pt idx="1043">
                  <c:v>62.769278534498191</c:v>
                </c:pt>
                <c:pt idx="1044">
                  <c:v>62.750566571085741</c:v>
                </c:pt>
                <c:pt idx="1045">
                  <c:v>62.731854607673299</c:v>
                </c:pt>
                <c:pt idx="1046">
                  <c:v>62.713142644260856</c:v>
                </c:pt>
                <c:pt idx="1047">
                  <c:v>62.694430680848406</c:v>
                </c:pt>
                <c:pt idx="1048">
                  <c:v>62.675718717435956</c:v>
                </c:pt>
                <c:pt idx="1049">
                  <c:v>62.657006754023513</c:v>
                </c:pt>
                <c:pt idx="1050">
                  <c:v>62.63829479061107</c:v>
                </c:pt>
                <c:pt idx="1051">
                  <c:v>62.61958282719862</c:v>
                </c:pt>
                <c:pt idx="1052">
                  <c:v>62.60087086378617</c:v>
                </c:pt>
                <c:pt idx="1053">
                  <c:v>62.582158900373727</c:v>
                </c:pt>
                <c:pt idx="1054">
                  <c:v>62.563446936961277</c:v>
                </c:pt>
                <c:pt idx="1055">
                  <c:v>62.544734973548827</c:v>
                </c:pt>
                <c:pt idx="1056">
                  <c:v>62.526023010136385</c:v>
                </c:pt>
                <c:pt idx="1057">
                  <c:v>62.507311046723942</c:v>
                </c:pt>
                <c:pt idx="1058">
                  <c:v>62.488599083311492</c:v>
                </c:pt>
                <c:pt idx="1059">
                  <c:v>62.469887119899042</c:v>
                </c:pt>
                <c:pt idx="1060">
                  <c:v>62.451175156486599</c:v>
                </c:pt>
                <c:pt idx="1061">
                  <c:v>62.432463193074156</c:v>
                </c:pt>
                <c:pt idx="1062">
                  <c:v>62.413751229661706</c:v>
                </c:pt>
                <c:pt idx="1063">
                  <c:v>62.395039266249256</c:v>
                </c:pt>
                <c:pt idx="1064">
                  <c:v>62.376327302836813</c:v>
                </c:pt>
                <c:pt idx="1065">
                  <c:v>62.357615339424363</c:v>
                </c:pt>
                <c:pt idx="1066">
                  <c:v>62.338903376011913</c:v>
                </c:pt>
                <c:pt idx="1067">
                  <c:v>62.32019141259947</c:v>
                </c:pt>
                <c:pt idx="1068">
                  <c:v>62.301479449187028</c:v>
                </c:pt>
                <c:pt idx="1069">
                  <c:v>62.282767485774578</c:v>
                </c:pt>
                <c:pt idx="1070">
                  <c:v>62.264055522362128</c:v>
                </c:pt>
                <c:pt idx="1071">
                  <c:v>62.245343558949685</c:v>
                </c:pt>
                <c:pt idx="1072">
                  <c:v>62.226631595537242</c:v>
                </c:pt>
                <c:pt idx="1073">
                  <c:v>62.207919632124792</c:v>
                </c:pt>
                <c:pt idx="1074">
                  <c:v>62.189207668712342</c:v>
                </c:pt>
                <c:pt idx="1075">
                  <c:v>62.170495705299899</c:v>
                </c:pt>
                <c:pt idx="1076">
                  <c:v>62.151783741887449</c:v>
                </c:pt>
                <c:pt idx="1077">
                  <c:v>62.133071778474999</c:v>
                </c:pt>
                <c:pt idx="1078">
                  <c:v>62.114359815062556</c:v>
                </c:pt>
                <c:pt idx="1079">
                  <c:v>62.095647851650114</c:v>
                </c:pt>
                <c:pt idx="1080">
                  <c:v>62.076935888237664</c:v>
                </c:pt>
                <c:pt idx="1081">
                  <c:v>62.058223924825214</c:v>
                </c:pt>
                <c:pt idx="1082">
                  <c:v>62.039511961412771</c:v>
                </c:pt>
                <c:pt idx="1083">
                  <c:v>62.020799998000328</c:v>
                </c:pt>
                <c:pt idx="1084">
                  <c:v>62.002088034587878</c:v>
                </c:pt>
                <c:pt idx="1085">
                  <c:v>61.983376071175428</c:v>
                </c:pt>
                <c:pt idx="1086">
                  <c:v>61.964664107762985</c:v>
                </c:pt>
                <c:pt idx="1087">
                  <c:v>61.945952144350535</c:v>
                </c:pt>
                <c:pt idx="1088">
                  <c:v>61.927240180938085</c:v>
                </c:pt>
                <c:pt idx="1089">
                  <c:v>61.908528217525642</c:v>
                </c:pt>
                <c:pt idx="1090">
                  <c:v>61.8898162541132</c:v>
                </c:pt>
                <c:pt idx="1091">
                  <c:v>61.87110429070075</c:v>
                </c:pt>
                <c:pt idx="1092">
                  <c:v>61.8523923272883</c:v>
                </c:pt>
                <c:pt idx="1093">
                  <c:v>61.833680363875857</c:v>
                </c:pt>
                <c:pt idx="1094">
                  <c:v>61.814968400463414</c:v>
                </c:pt>
                <c:pt idx="1095">
                  <c:v>61.796256437050964</c:v>
                </c:pt>
                <c:pt idx="1096">
                  <c:v>61.777544473638514</c:v>
                </c:pt>
                <c:pt idx="1097">
                  <c:v>61.758832510226071</c:v>
                </c:pt>
                <c:pt idx="1098">
                  <c:v>61.740120546813628</c:v>
                </c:pt>
                <c:pt idx="1099">
                  <c:v>61.721408583401171</c:v>
                </c:pt>
                <c:pt idx="1100">
                  <c:v>61.702696619988728</c:v>
                </c:pt>
                <c:pt idx="1101">
                  <c:v>61.683984656576285</c:v>
                </c:pt>
                <c:pt idx="1102">
                  <c:v>61.665272693163836</c:v>
                </c:pt>
                <c:pt idx="1103">
                  <c:v>61.646560729751386</c:v>
                </c:pt>
                <c:pt idx="1104">
                  <c:v>61.627848766338943</c:v>
                </c:pt>
                <c:pt idx="1105">
                  <c:v>61.6091368029265</c:v>
                </c:pt>
                <c:pt idx="1106">
                  <c:v>61.59042483951405</c:v>
                </c:pt>
                <c:pt idx="1107">
                  <c:v>61.5717128761016</c:v>
                </c:pt>
                <c:pt idx="1108">
                  <c:v>61.553000912689157</c:v>
                </c:pt>
                <c:pt idx="1109">
                  <c:v>61.534288949276714</c:v>
                </c:pt>
                <c:pt idx="1110">
                  <c:v>61.515576985864264</c:v>
                </c:pt>
                <c:pt idx="1111">
                  <c:v>61.496865022451814</c:v>
                </c:pt>
                <c:pt idx="1112">
                  <c:v>61.478153059039371</c:v>
                </c:pt>
                <c:pt idx="1113">
                  <c:v>61.459441095626921</c:v>
                </c:pt>
                <c:pt idx="1114">
                  <c:v>61.440729132214472</c:v>
                </c:pt>
                <c:pt idx="1115">
                  <c:v>61.422017168802029</c:v>
                </c:pt>
                <c:pt idx="1116">
                  <c:v>61.403305205389586</c:v>
                </c:pt>
                <c:pt idx="1117">
                  <c:v>61.384593241977136</c:v>
                </c:pt>
                <c:pt idx="1118">
                  <c:v>61.365881278564686</c:v>
                </c:pt>
                <c:pt idx="1119">
                  <c:v>61.347169315152243</c:v>
                </c:pt>
                <c:pt idx="1120">
                  <c:v>61.3284573517398</c:v>
                </c:pt>
                <c:pt idx="1121">
                  <c:v>61.30974538832735</c:v>
                </c:pt>
                <c:pt idx="1122">
                  <c:v>61.2910334249149</c:v>
                </c:pt>
                <c:pt idx="1123">
                  <c:v>61.272321461502457</c:v>
                </c:pt>
                <c:pt idx="1124">
                  <c:v>61.253609498090007</c:v>
                </c:pt>
                <c:pt idx="1125">
                  <c:v>61.234897534677557</c:v>
                </c:pt>
                <c:pt idx="1126">
                  <c:v>61.216185571265115</c:v>
                </c:pt>
                <c:pt idx="1127">
                  <c:v>61.197473607852672</c:v>
                </c:pt>
                <c:pt idx="1128">
                  <c:v>61.178761644440222</c:v>
                </c:pt>
                <c:pt idx="1129">
                  <c:v>61.160049681027772</c:v>
                </c:pt>
                <c:pt idx="1130">
                  <c:v>61.141337717615329</c:v>
                </c:pt>
                <c:pt idx="1131">
                  <c:v>61.122625754202886</c:v>
                </c:pt>
                <c:pt idx="1132">
                  <c:v>61.103913790790436</c:v>
                </c:pt>
                <c:pt idx="1133">
                  <c:v>61.085201827377986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C2-45F6-AFEA-595AAA1F5512}"/>
            </c:ext>
          </c:extLst>
        </c:ser>
        <c:ser>
          <c:idx val="2"/>
          <c:order val="2"/>
          <c:tx>
            <c:v>Banda Superior (+1.5σ)</c:v>
          </c:tx>
          <c:spPr>
            <a:ln w="1270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Análise_À_Vista!$AB$3:$AB$1136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Análise_À_Vista!$AF$3:$AF$1136</c:f>
              <c:numCache>
                <c:formatCode>#,##0.00</c:formatCode>
                <c:ptCount val="1134"/>
                <c:pt idx="0">
                  <c:v>84.937515974082814</c:v>
                </c:pt>
                <c:pt idx="1">
                  <c:v>84.918804010670357</c:v>
                </c:pt>
                <c:pt idx="2">
                  <c:v>84.900092047257914</c:v>
                </c:pt>
                <c:pt idx="3">
                  <c:v>84.881380083845471</c:v>
                </c:pt>
                <c:pt idx="4">
                  <c:v>84.862668120433028</c:v>
                </c:pt>
                <c:pt idx="5">
                  <c:v>84.843956157020571</c:v>
                </c:pt>
                <c:pt idx="6">
                  <c:v>84.825244193608128</c:v>
                </c:pt>
                <c:pt idx="7">
                  <c:v>84.806532230195685</c:v>
                </c:pt>
                <c:pt idx="8">
                  <c:v>84.787820266783243</c:v>
                </c:pt>
                <c:pt idx="9" formatCode="0.00">
                  <c:v>84.769108303370786</c:v>
                </c:pt>
                <c:pt idx="10" formatCode="0.00">
                  <c:v>84.750396339958343</c:v>
                </c:pt>
                <c:pt idx="11" formatCode="0.00">
                  <c:v>84.7316843765459</c:v>
                </c:pt>
                <c:pt idx="12" formatCode="0.00">
                  <c:v>84.712972413133443</c:v>
                </c:pt>
                <c:pt idx="13" formatCode="0.00">
                  <c:v>84.694260449721</c:v>
                </c:pt>
                <c:pt idx="14" formatCode="0.00">
                  <c:v>84.675548486308557</c:v>
                </c:pt>
                <c:pt idx="15" formatCode="0.00">
                  <c:v>84.656836522896114</c:v>
                </c:pt>
                <c:pt idx="16">
                  <c:v>84.638124559483657</c:v>
                </c:pt>
                <c:pt idx="17">
                  <c:v>84.619412596071214</c:v>
                </c:pt>
                <c:pt idx="18">
                  <c:v>84.600700632658771</c:v>
                </c:pt>
                <c:pt idx="19">
                  <c:v>84.581988669246329</c:v>
                </c:pt>
                <c:pt idx="20">
                  <c:v>84.563276705833871</c:v>
                </c:pt>
                <c:pt idx="21">
                  <c:v>84.544564742421429</c:v>
                </c:pt>
                <c:pt idx="22">
                  <c:v>84.525852779008986</c:v>
                </c:pt>
                <c:pt idx="23">
                  <c:v>84.507140815596529</c:v>
                </c:pt>
                <c:pt idx="24">
                  <c:v>84.488428852184086</c:v>
                </c:pt>
                <c:pt idx="25">
                  <c:v>84.469716888771643</c:v>
                </c:pt>
                <c:pt idx="26">
                  <c:v>84.4510049253592</c:v>
                </c:pt>
                <c:pt idx="27">
                  <c:v>84.432292961946743</c:v>
                </c:pt>
                <c:pt idx="28">
                  <c:v>84.4135809985343</c:v>
                </c:pt>
                <c:pt idx="29">
                  <c:v>84.394869035121857</c:v>
                </c:pt>
                <c:pt idx="30">
                  <c:v>84.376157071709414</c:v>
                </c:pt>
                <c:pt idx="31">
                  <c:v>84.357445108296957</c:v>
                </c:pt>
                <c:pt idx="32">
                  <c:v>84.338733144884515</c:v>
                </c:pt>
                <c:pt idx="33">
                  <c:v>84.320021181472072</c:v>
                </c:pt>
                <c:pt idx="34">
                  <c:v>84.301309218059629</c:v>
                </c:pt>
                <c:pt idx="35">
                  <c:v>84.282597254647172</c:v>
                </c:pt>
                <c:pt idx="36">
                  <c:v>84.263885291234729</c:v>
                </c:pt>
                <c:pt idx="37">
                  <c:v>84.245173327822286</c:v>
                </c:pt>
                <c:pt idx="38">
                  <c:v>84.226461364409829</c:v>
                </c:pt>
                <c:pt idx="39">
                  <c:v>84.207749400997386</c:v>
                </c:pt>
                <c:pt idx="40">
                  <c:v>84.189037437584943</c:v>
                </c:pt>
                <c:pt idx="41">
                  <c:v>84.1703254741725</c:v>
                </c:pt>
                <c:pt idx="42">
                  <c:v>84.151613510760043</c:v>
                </c:pt>
                <c:pt idx="43">
                  <c:v>84.132901547347601</c:v>
                </c:pt>
                <c:pt idx="44">
                  <c:v>84.114189583935158</c:v>
                </c:pt>
                <c:pt idx="45">
                  <c:v>84.095477620522715</c:v>
                </c:pt>
                <c:pt idx="46">
                  <c:v>84.076765657110258</c:v>
                </c:pt>
                <c:pt idx="47">
                  <c:v>84.058053693697815</c:v>
                </c:pt>
                <c:pt idx="48">
                  <c:v>84.039341730285372</c:v>
                </c:pt>
                <c:pt idx="49">
                  <c:v>84.020629766872915</c:v>
                </c:pt>
                <c:pt idx="50">
                  <c:v>84.001917803460472</c:v>
                </c:pt>
                <c:pt idx="51">
                  <c:v>83.983205840048029</c:v>
                </c:pt>
                <c:pt idx="52">
                  <c:v>83.964493876635586</c:v>
                </c:pt>
                <c:pt idx="53">
                  <c:v>83.945781913223129</c:v>
                </c:pt>
                <c:pt idx="54">
                  <c:v>83.927069949810686</c:v>
                </c:pt>
                <c:pt idx="55">
                  <c:v>83.908357986398244</c:v>
                </c:pt>
                <c:pt idx="56">
                  <c:v>83.889646022985801</c:v>
                </c:pt>
                <c:pt idx="57">
                  <c:v>83.870934059573344</c:v>
                </c:pt>
                <c:pt idx="58">
                  <c:v>83.852222096160901</c:v>
                </c:pt>
                <c:pt idx="59">
                  <c:v>83.833510132748458</c:v>
                </c:pt>
                <c:pt idx="60">
                  <c:v>83.814798169336001</c:v>
                </c:pt>
                <c:pt idx="61">
                  <c:v>83.796086205923558</c:v>
                </c:pt>
                <c:pt idx="62">
                  <c:v>83.777374242511115</c:v>
                </c:pt>
                <c:pt idx="63">
                  <c:v>83.758662279098672</c:v>
                </c:pt>
                <c:pt idx="64">
                  <c:v>83.739950315686215</c:v>
                </c:pt>
                <c:pt idx="65">
                  <c:v>83.721238352273772</c:v>
                </c:pt>
                <c:pt idx="66">
                  <c:v>83.70252638886133</c:v>
                </c:pt>
                <c:pt idx="67">
                  <c:v>83.683814425448887</c:v>
                </c:pt>
                <c:pt idx="68">
                  <c:v>83.66510246203643</c:v>
                </c:pt>
                <c:pt idx="69">
                  <c:v>83.646390498623987</c:v>
                </c:pt>
                <c:pt idx="70">
                  <c:v>83.627678535211544</c:v>
                </c:pt>
                <c:pt idx="71">
                  <c:v>83.608966571799087</c:v>
                </c:pt>
                <c:pt idx="72">
                  <c:v>83.590254608386644</c:v>
                </c:pt>
                <c:pt idx="73">
                  <c:v>83.571542644974201</c:v>
                </c:pt>
                <c:pt idx="74">
                  <c:v>83.552830681561758</c:v>
                </c:pt>
                <c:pt idx="75">
                  <c:v>83.534118718149301</c:v>
                </c:pt>
                <c:pt idx="76">
                  <c:v>83.515406754736858</c:v>
                </c:pt>
                <c:pt idx="77">
                  <c:v>83.496694791324416</c:v>
                </c:pt>
                <c:pt idx="78">
                  <c:v>83.477982827911973</c:v>
                </c:pt>
                <c:pt idx="79">
                  <c:v>83.459270864499516</c:v>
                </c:pt>
                <c:pt idx="80">
                  <c:v>83.440558901087073</c:v>
                </c:pt>
                <c:pt idx="81">
                  <c:v>83.42184693767463</c:v>
                </c:pt>
                <c:pt idx="82">
                  <c:v>83.403134974262173</c:v>
                </c:pt>
                <c:pt idx="83">
                  <c:v>83.38442301084973</c:v>
                </c:pt>
                <c:pt idx="84">
                  <c:v>83.365711047437287</c:v>
                </c:pt>
                <c:pt idx="85">
                  <c:v>83.346999084024844</c:v>
                </c:pt>
                <c:pt idx="86">
                  <c:v>83.328287120612387</c:v>
                </c:pt>
                <c:pt idx="87">
                  <c:v>83.309575157199944</c:v>
                </c:pt>
                <c:pt idx="88">
                  <c:v>83.290863193787501</c:v>
                </c:pt>
                <c:pt idx="89">
                  <c:v>83.272151230375059</c:v>
                </c:pt>
                <c:pt idx="90">
                  <c:v>83.253439266962602</c:v>
                </c:pt>
                <c:pt idx="91">
                  <c:v>83.234727303550159</c:v>
                </c:pt>
                <c:pt idx="92">
                  <c:v>83.216015340137716</c:v>
                </c:pt>
                <c:pt idx="93">
                  <c:v>83.197303376725259</c:v>
                </c:pt>
                <c:pt idx="94">
                  <c:v>83.178591413312816</c:v>
                </c:pt>
                <c:pt idx="95">
                  <c:v>83.159879449900373</c:v>
                </c:pt>
                <c:pt idx="96">
                  <c:v>83.14116748648793</c:v>
                </c:pt>
                <c:pt idx="97">
                  <c:v>83.122455523075473</c:v>
                </c:pt>
                <c:pt idx="98">
                  <c:v>83.10374355966303</c:v>
                </c:pt>
                <c:pt idx="99">
                  <c:v>83.085031596250587</c:v>
                </c:pt>
                <c:pt idx="100">
                  <c:v>83.066319632838145</c:v>
                </c:pt>
                <c:pt idx="101">
                  <c:v>83.047607669425688</c:v>
                </c:pt>
                <c:pt idx="102">
                  <c:v>83.028895706013245</c:v>
                </c:pt>
                <c:pt idx="103">
                  <c:v>83.010183742600802</c:v>
                </c:pt>
                <c:pt idx="104">
                  <c:v>82.991471779188345</c:v>
                </c:pt>
                <c:pt idx="105">
                  <c:v>82.972759815775902</c:v>
                </c:pt>
                <c:pt idx="106">
                  <c:v>82.954047852363459</c:v>
                </c:pt>
                <c:pt idx="107">
                  <c:v>82.935335888951016</c:v>
                </c:pt>
                <c:pt idx="108">
                  <c:v>82.916623925538559</c:v>
                </c:pt>
                <c:pt idx="109">
                  <c:v>82.897911962126116</c:v>
                </c:pt>
                <c:pt idx="110">
                  <c:v>82.879199998713673</c:v>
                </c:pt>
                <c:pt idx="111">
                  <c:v>82.860488035301231</c:v>
                </c:pt>
                <c:pt idx="112">
                  <c:v>82.841776071888773</c:v>
                </c:pt>
                <c:pt idx="113">
                  <c:v>82.823064108476331</c:v>
                </c:pt>
                <c:pt idx="114">
                  <c:v>82.804352145063888</c:v>
                </c:pt>
                <c:pt idx="115">
                  <c:v>82.785640181651445</c:v>
                </c:pt>
                <c:pt idx="116">
                  <c:v>82.766928218238988</c:v>
                </c:pt>
                <c:pt idx="117">
                  <c:v>82.748216254826545</c:v>
                </c:pt>
                <c:pt idx="118">
                  <c:v>82.729504291414102</c:v>
                </c:pt>
                <c:pt idx="119">
                  <c:v>82.710792328001645</c:v>
                </c:pt>
                <c:pt idx="120">
                  <c:v>82.692080364589202</c:v>
                </c:pt>
                <c:pt idx="121">
                  <c:v>82.673368401176759</c:v>
                </c:pt>
                <c:pt idx="122">
                  <c:v>82.654656437764316</c:v>
                </c:pt>
                <c:pt idx="123">
                  <c:v>82.635944474351859</c:v>
                </c:pt>
                <c:pt idx="124">
                  <c:v>82.617232510939417</c:v>
                </c:pt>
                <c:pt idx="125">
                  <c:v>82.598520547526974</c:v>
                </c:pt>
                <c:pt idx="126">
                  <c:v>82.579808584114531</c:v>
                </c:pt>
                <c:pt idx="127">
                  <c:v>82.561096620702074</c:v>
                </c:pt>
                <c:pt idx="128">
                  <c:v>82.542384657289631</c:v>
                </c:pt>
                <c:pt idx="129">
                  <c:v>82.523672693877188</c:v>
                </c:pt>
                <c:pt idx="130">
                  <c:v>82.504960730464731</c:v>
                </c:pt>
                <c:pt idx="131">
                  <c:v>82.486248767052288</c:v>
                </c:pt>
                <c:pt idx="132">
                  <c:v>82.467536803639845</c:v>
                </c:pt>
                <c:pt idx="133">
                  <c:v>82.448824840227402</c:v>
                </c:pt>
                <c:pt idx="134">
                  <c:v>82.430112876814945</c:v>
                </c:pt>
                <c:pt idx="135">
                  <c:v>82.411400913402503</c:v>
                </c:pt>
                <c:pt idx="136">
                  <c:v>82.39268894999006</c:v>
                </c:pt>
                <c:pt idx="137">
                  <c:v>82.373976986577617</c:v>
                </c:pt>
                <c:pt idx="138">
                  <c:v>82.35526502316516</c:v>
                </c:pt>
                <c:pt idx="139">
                  <c:v>82.336553059752717</c:v>
                </c:pt>
                <c:pt idx="140">
                  <c:v>82.317841096340274</c:v>
                </c:pt>
                <c:pt idx="141">
                  <c:v>82.299129132927817</c:v>
                </c:pt>
                <c:pt idx="142">
                  <c:v>82.280417169515374</c:v>
                </c:pt>
                <c:pt idx="143">
                  <c:v>82.261705206102931</c:v>
                </c:pt>
                <c:pt idx="144">
                  <c:v>82.242993242690488</c:v>
                </c:pt>
                <c:pt idx="145">
                  <c:v>82.224281279278031</c:v>
                </c:pt>
                <c:pt idx="146">
                  <c:v>82.205569315865588</c:v>
                </c:pt>
                <c:pt idx="147">
                  <c:v>82.186857352453146</c:v>
                </c:pt>
                <c:pt idx="148">
                  <c:v>82.168145389040703</c:v>
                </c:pt>
                <c:pt idx="149">
                  <c:v>82.149433425628246</c:v>
                </c:pt>
                <c:pt idx="150">
                  <c:v>82.130721462215803</c:v>
                </c:pt>
                <c:pt idx="151">
                  <c:v>82.11200949880336</c:v>
                </c:pt>
                <c:pt idx="152">
                  <c:v>82.093297535390903</c:v>
                </c:pt>
                <c:pt idx="153">
                  <c:v>82.07458557197846</c:v>
                </c:pt>
                <c:pt idx="154">
                  <c:v>82.055873608566017</c:v>
                </c:pt>
                <c:pt idx="155">
                  <c:v>82.037161645153574</c:v>
                </c:pt>
                <c:pt idx="156">
                  <c:v>82.018449681741117</c:v>
                </c:pt>
                <c:pt idx="157">
                  <c:v>81.999737718328674</c:v>
                </c:pt>
                <c:pt idx="158">
                  <c:v>81.981025754916232</c:v>
                </c:pt>
                <c:pt idx="159">
                  <c:v>81.962313791503789</c:v>
                </c:pt>
                <c:pt idx="160">
                  <c:v>81.943601828091332</c:v>
                </c:pt>
                <c:pt idx="161">
                  <c:v>81.924889864678889</c:v>
                </c:pt>
                <c:pt idx="162">
                  <c:v>81.906177901266446</c:v>
                </c:pt>
                <c:pt idx="163">
                  <c:v>81.887465937853989</c:v>
                </c:pt>
                <c:pt idx="164">
                  <c:v>81.868753974441546</c:v>
                </c:pt>
                <c:pt idx="165">
                  <c:v>81.850042011029103</c:v>
                </c:pt>
                <c:pt idx="166">
                  <c:v>81.83133004761666</c:v>
                </c:pt>
                <c:pt idx="167">
                  <c:v>81.812618084204203</c:v>
                </c:pt>
                <c:pt idx="168">
                  <c:v>81.79390612079176</c:v>
                </c:pt>
                <c:pt idx="169">
                  <c:v>81.775194157379318</c:v>
                </c:pt>
                <c:pt idx="170">
                  <c:v>81.756482193966875</c:v>
                </c:pt>
                <c:pt idx="171">
                  <c:v>81.737770230554418</c:v>
                </c:pt>
                <c:pt idx="172">
                  <c:v>81.719058267141975</c:v>
                </c:pt>
                <c:pt idx="173">
                  <c:v>81.700346303729532</c:v>
                </c:pt>
                <c:pt idx="174">
                  <c:v>81.681634340317089</c:v>
                </c:pt>
                <c:pt idx="175">
                  <c:v>81.662922376904632</c:v>
                </c:pt>
                <c:pt idx="176">
                  <c:v>81.644210413492189</c:v>
                </c:pt>
                <c:pt idx="177">
                  <c:v>81.625498450079746</c:v>
                </c:pt>
                <c:pt idx="178">
                  <c:v>81.606786486667289</c:v>
                </c:pt>
                <c:pt idx="179">
                  <c:v>81.588074523254846</c:v>
                </c:pt>
                <c:pt idx="180">
                  <c:v>81.569362559842403</c:v>
                </c:pt>
                <c:pt idx="181">
                  <c:v>81.550650596429961</c:v>
                </c:pt>
                <c:pt idx="182">
                  <c:v>81.531938633017504</c:v>
                </c:pt>
                <c:pt idx="183">
                  <c:v>81.513226669605061</c:v>
                </c:pt>
                <c:pt idx="184">
                  <c:v>81.494514706192618</c:v>
                </c:pt>
                <c:pt idx="185">
                  <c:v>81.475802742780161</c:v>
                </c:pt>
                <c:pt idx="186">
                  <c:v>81.457090779367718</c:v>
                </c:pt>
                <c:pt idx="187">
                  <c:v>81.438378815955275</c:v>
                </c:pt>
                <c:pt idx="188">
                  <c:v>81.419666852542832</c:v>
                </c:pt>
                <c:pt idx="189">
                  <c:v>81.400954889130375</c:v>
                </c:pt>
                <c:pt idx="190">
                  <c:v>81.382242925717932</c:v>
                </c:pt>
                <c:pt idx="191">
                  <c:v>81.363530962305489</c:v>
                </c:pt>
                <c:pt idx="192">
                  <c:v>81.344818998893047</c:v>
                </c:pt>
                <c:pt idx="193">
                  <c:v>81.32610703548059</c:v>
                </c:pt>
                <c:pt idx="194">
                  <c:v>81.307395072068147</c:v>
                </c:pt>
                <c:pt idx="195">
                  <c:v>81.288683108655704</c:v>
                </c:pt>
                <c:pt idx="196">
                  <c:v>81.269971145243261</c:v>
                </c:pt>
                <c:pt idx="197">
                  <c:v>81.251259181830804</c:v>
                </c:pt>
                <c:pt idx="198">
                  <c:v>81.232547218418361</c:v>
                </c:pt>
                <c:pt idx="199">
                  <c:v>81.213835255005918</c:v>
                </c:pt>
                <c:pt idx="200">
                  <c:v>81.195123291593461</c:v>
                </c:pt>
                <c:pt idx="201">
                  <c:v>81.176411328181018</c:v>
                </c:pt>
                <c:pt idx="202">
                  <c:v>81.157699364768575</c:v>
                </c:pt>
                <c:pt idx="203">
                  <c:v>81.138987401356133</c:v>
                </c:pt>
                <c:pt idx="204">
                  <c:v>81.120275437943675</c:v>
                </c:pt>
                <c:pt idx="205">
                  <c:v>81.101563474531233</c:v>
                </c:pt>
                <c:pt idx="206">
                  <c:v>81.08285151111879</c:v>
                </c:pt>
                <c:pt idx="207">
                  <c:v>81.064139547706347</c:v>
                </c:pt>
                <c:pt idx="208">
                  <c:v>81.04542758429389</c:v>
                </c:pt>
                <c:pt idx="209">
                  <c:v>81.026715620881447</c:v>
                </c:pt>
                <c:pt idx="210">
                  <c:v>81.008003657469004</c:v>
                </c:pt>
                <c:pt idx="211">
                  <c:v>80.989291694056547</c:v>
                </c:pt>
                <c:pt idx="212">
                  <c:v>80.970579730644104</c:v>
                </c:pt>
                <c:pt idx="213">
                  <c:v>80.951867767231661</c:v>
                </c:pt>
                <c:pt idx="214">
                  <c:v>80.933155803819218</c:v>
                </c:pt>
                <c:pt idx="215">
                  <c:v>80.914443840406761</c:v>
                </c:pt>
                <c:pt idx="216">
                  <c:v>80.895731876994319</c:v>
                </c:pt>
                <c:pt idx="217">
                  <c:v>80.877019913581876</c:v>
                </c:pt>
                <c:pt idx="218">
                  <c:v>80.858307950169433</c:v>
                </c:pt>
                <c:pt idx="219">
                  <c:v>80.839595986756976</c:v>
                </c:pt>
                <c:pt idx="220">
                  <c:v>80.820884023344533</c:v>
                </c:pt>
                <c:pt idx="221">
                  <c:v>80.80217205993209</c:v>
                </c:pt>
                <c:pt idx="222">
                  <c:v>80.783460096519633</c:v>
                </c:pt>
                <c:pt idx="223">
                  <c:v>80.76474813310719</c:v>
                </c:pt>
                <c:pt idx="224">
                  <c:v>80.746036169694747</c:v>
                </c:pt>
                <c:pt idx="225">
                  <c:v>80.727324206282304</c:v>
                </c:pt>
                <c:pt idx="226">
                  <c:v>80.708612242869847</c:v>
                </c:pt>
                <c:pt idx="227">
                  <c:v>80.689900279457405</c:v>
                </c:pt>
                <c:pt idx="228">
                  <c:v>80.671188316044962</c:v>
                </c:pt>
                <c:pt idx="229">
                  <c:v>80.652476352632519</c:v>
                </c:pt>
                <c:pt idx="230">
                  <c:v>80.633764389220062</c:v>
                </c:pt>
                <c:pt idx="231">
                  <c:v>80.615052425807619</c:v>
                </c:pt>
                <c:pt idx="232">
                  <c:v>80.596340462395176</c:v>
                </c:pt>
                <c:pt idx="233">
                  <c:v>80.577628498982733</c:v>
                </c:pt>
                <c:pt idx="234">
                  <c:v>80.558916535570276</c:v>
                </c:pt>
                <c:pt idx="235">
                  <c:v>80.540204572157833</c:v>
                </c:pt>
                <c:pt idx="236">
                  <c:v>80.52149260874539</c:v>
                </c:pt>
                <c:pt idx="237">
                  <c:v>80.502780645332933</c:v>
                </c:pt>
                <c:pt idx="238">
                  <c:v>80.48406868192049</c:v>
                </c:pt>
                <c:pt idx="239">
                  <c:v>80.465356718508048</c:v>
                </c:pt>
                <c:pt idx="240">
                  <c:v>80.446644755095605</c:v>
                </c:pt>
                <c:pt idx="241">
                  <c:v>80.427932791683148</c:v>
                </c:pt>
                <c:pt idx="242">
                  <c:v>80.409220828270705</c:v>
                </c:pt>
                <c:pt idx="243">
                  <c:v>80.390508864858262</c:v>
                </c:pt>
                <c:pt idx="244">
                  <c:v>80.371796901445805</c:v>
                </c:pt>
                <c:pt idx="245">
                  <c:v>80.353084938033362</c:v>
                </c:pt>
                <c:pt idx="246">
                  <c:v>80.334372974620919</c:v>
                </c:pt>
                <c:pt idx="247">
                  <c:v>80.315661011208476</c:v>
                </c:pt>
                <c:pt idx="248">
                  <c:v>80.296949047796019</c:v>
                </c:pt>
                <c:pt idx="249">
                  <c:v>80.278237084383576</c:v>
                </c:pt>
                <c:pt idx="250">
                  <c:v>80.259525120971134</c:v>
                </c:pt>
                <c:pt idx="251">
                  <c:v>80.240813157558691</c:v>
                </c:pt>
                <c:pt idx="252">
                  <c:v>80.222101194146234</c:v>
                </c:pt>
                <c:pt idx="253">
                  <c:v>80.203389230733791</c:v>
                </c:pt>
                <c:pt idx="254">
                  <c:v>80.184677267321348</c:v>
                </c:pt>
                <c:pt idx="255">
                  <c:v>80.165965303908905</c:v>
                </c:pt>
                <c:pt idx="256">
                  <c:v>80.147253340496448</c:v>
                </c:pt>
                <c:pt idx="257">
                  <c:v>80.128541377084005</c:v>
                </c:pt>
                <c:pt idx="258">
                  <c:v>80.109829413671562</c:v>
                </c:pt>
                <c:pt idx="259">
                  <c:v>80.091117450259105</c:v>
                </c:pt>
                <c:pt idx="260">
                  <c:v>80.072405486846662</c:v>
                </c:pt>
                <c:pt idx="261">
                  <c:v>80.05369352343422</c:v>
                </c:pt>
                <c:pt idx="262">
                  <c:v>80.034981560021777</c:v>
                </c:pt>
                <c:pt idx="263">
                  <c:v>80.01626959660932</c:v>
                </c:pt>
                <c:pt idx="264">
                  <c:v>79.997557633196877</c:v>
                </c:pt>
                <c:pt idx="265">
                  <c:v>79.978845669784434</c:v>
                </c:pt>
                <c:pt idx="266">
                  <c:v>79.960133706371977</c:v>
                </c:pt>
                <c:pt idx="267">
                  <c:v>79.941421742959534</c:v>
                </c:pt>
                <c:pt idx="268">
                  <c:v>79.922709779547091</c:v>
                </c:pt>
                <c:pt idx="269">
                  <c:v>79.903997816134648</c:v>
                </c:pt>
                <c:pt idx="270">
                  <c:v>79.885285852722191</c:v>
                </c:pt>
                <c:pt idx="271">
                  <c:v>79.866573889309748</c:v>
                </c:pt>
                <c:pt idx="272">
                  <c:v>79.847861925897305</c:v>
                </c:pt>
                <c:pt idx="273">
                  <c:v>79.829149962484863</c:v>
                </c:pt>
                <c:pt idx="274">
                  <c:v>79.810437999072406</c:v>
                </c:pt>
                <c:pt idx="275">
                  <c:v>79.791726035659963</c:v>
                </c:pt>
                <c:pt idx="276">
                  <c:v>79.77301407224752</c:v>
                </c:pt>
                <c:pt idx="277">
                  <c:v>79.754302108835077</c:v>
                </c:pt>
                <c:pt idx="278">
                  <c:v>79.73559014542262</c:v>
                </c:pt>
                <c:pt idx="279">
                  <c:v>79.716878182010177</c:v>
                </c:pt>
                <c:pt idx="280">
                  <c:v>79.698166218597734</c:v>
                </c:pt>
                <c:pt idx="281">
                  <c:v>79.679454255185277</c:v>
                </c:pt>
                <c:pt idx="282">
                  <c:v>79.660742291772834</c:v>
                </c:pt>
                <c:pt idx="283">
                  <c:v>79.642030328360391</c:v>
                </c:pt>
                <c:pt idx="284">
                  <c:v>79.623318364947949</c:v>
                </c:pt>
                <c:pt idx="285">
                  <c:v>79.604606401535491</c:v>
                </c:pt>
                <c:pt idx="286">
                  <c:v>79.585894438123049</c:v>
                </c:pt>
                <c:pt idx="287">
                  <c:v>79.567182474710606</c:v>
                </c:pt>
                <c:pt idx="288">
                  <c:v>79.548470511298163</c:v>
                </c:pt>
                <c:pt idx="289">
                  <c:v>79.529758547885706</c:v>
                </c:pt>
                <c:pt idx="290">
                  <c:v>79.511046584473263</c:v>
                </c:pt>
                <c:pt idx="291">
                  <c:v>79.49233462106082</c:v>
                </c:pt>
                <c:pt idx="292">
                  <c:v>79.473622657648363</c:v>
                </c:pt>
                <c:pt idx="293">
                  <c:v>79.45491069423592</c:v>
                </c:pt>
                <c:pt idx="294">
                  <c:v>79.436198730823477</c:v>
                </c:pt>
                <c:pt idx="295">
                  <c:v>79.417486767411035</c:v>
                </c:pt>
                <c:pt idx="296">
                  <c:v>79.398774803998577</c:v>
                </c:pt>
                <c:pt idx="297">
                  <c:v>79.380062840586135</c:v>
                </c:pt>
                <c:pt idx="298">
                  <c:v>79.361350877173692</c:v>
                </c:pt>
                <c:pt idx="299">
                  <c:v>79.342638913761249</c:v>
                </c:pt>
                <c:pt idx="300">
                  <c:v>79.323926950348792</c:v>
                </c:pt>
                <c:pt idx="301">
                  <c:v>79.305214986936349</c:v>
                </c:pt>
                <c:pt idx="302">
                  <c:v>79.286503023523906</c:v>
                </c:pt>
                <c:pt idx="303">
                  <c:v>79.267791060111449</c:v>
                </c:pt>
                <c:pt idx="304">
                  <c:v>79.249079096699006</c:v>
                </c:pt>
                <c:pt idx="305">
                  <c:v>79.230367133286563</c:v>
                </c:pt>
                <c:pt idx="306">
                  <c:v>79.21165516987412</c:v>
                </c:pt>
                <c:pt idx="307">
                  <c:v>79.192943206461663</c:v>
                </c:pt>
                <c:pt idx="308">
                  <c:v>79.174231243049221</c:v>
                </c:pt>
                <c:pt idx="309">
                  <c:v>79.155519279636778</c:v>
                </c:pt>
                <c:pt idx="310">
                  <c:v>79.136807316224335</c:v>
                </c:pt>
                <c:pt idx="311">
                  <c:v>79.118095352811878</c:v>
                </c:pt>
                <c:pt idx="312">
                  <c:v>79.099383389399435</c:v>
                </c:pt>
                <c:pt idx="313">
                  <c:v>79.080671425986992</c:v>
                </c:pt>
                <c:pt idx="314">
                  <c:v>79.061959462574549</c:v>
                </c:pt>
                <c:pt idx="315">
                  <c:v>79.043247499162092</c:v>
                </c:pt>
                <c:pt idx="316">
                  <c:v>79.024535535749649</c:v>
                </c:pt>
                <c:pt idx="317">
                  <c:v>79.005823572337206</c:v>
                </c:pt>
                <c:pt idx="318">
                  <c:v>78.987111608924749</c:v>
                </c:pt>
                <c:pt idx="319">
                  <c:v>78.968399645512307</c:v>
                </c:pt>
                <c:pt idx="320">
                  <c:v>78.949687682099864</c:v>
                </c:pt>
                <c:pt idx="321">
                  <c:v>78.930975718687421</c:v>
                </c:pt>
                <c:pt idx="322">
                  <c:v>78.912263755274964</c:v>
                </c:pt>
                <c:pt idx="323">
                  <c:v>78.893551791862521</c:v>
                </c:pt>
                <c:pt idx="324">
                  <c:v>78.874839828450078</c:v>
                </c:pt>
                <c:pt idx="325">
                  <c:v>78.856127865037621</c:v>
                </c:pt>
                <c:pt idx="326">
                  <c:v>78.837415901625178</c:v>
                </c:pt>
                <c:pt idx="327">
                  <c:v>78.818703938212735</c:v>
                </c:pt>
                <c:pt idx="328">
                  <c:v>78.799991974800292</c:v>
                </c:pt>
                <c:pt idx="329">
                  <c:v>78.781280011387835</c:v>
                </c:pt>
                <c:pt idx="330">
                  <c:v>78.762568047975392</c:v>
                </c:pt>
                <c:pt idx="331">
                  <c:v>78.74385608456295</c:v>
                </c:pt>
                <c:pt idx="332">
                  <c:v>78.725144121150507</c:v>
                </c:pt>
                <c:pt idx="333">
                  <c:v>78.70643215773805</c:v>
                </c:pt>
                <c:pt idx="334">
                  <c:v>78.687720194325607</c:v>
                </c:pt>
                <c:pt idx="335">
                  <c:v>78.669008230913164</c:v>
                </c:pt>
                <c:pt idx="336">
                  <c:v>78.650296267500721</c:v>
                </c:pt>
                <c:pt idx="337">
                  <c:v>78.631584304088264</c:v>
                </c:pt>
                <c:pt idx="338">
                  <c:v>78.612872340675821</c:v>
                </c:pt>
                <c:pt idx="339">
                  <c:v>78.594160377263378</c:v>
                </c:pt>
                <c:pt idx="340">
                  <c:v>78.575448413850921</c:v>
                </c:pt>
                <c:pt idx="341">
                  <c:v>78.556736450438478</c:v>
                </c:pt>
                <c:pt idx="342">
                  <c:v>78.538024487026036</c:v>
                </c:pt>
                <c:pt idx="343">
                  <c:v>78.519312523613593</c:v>
                </c:pt>
                <c:pt idx="344">
                  <c:v>78.500600560201136</c:v>
                </c:pt>
                <c:pt idx="345">
                  <c:v>78.481888596788693</c:v>
                </c:pt>
                <c:pt idx="346">
                  <c:v>78.46317663337625</c:v>
                </c:pt>
                <c:pt idx="347">
                  <c:v>78.444464669963793</c:v>
                </c:pt>
                <c:pt idx="348">
                  <c:v>78.42575270655135</c:v>
                </c:pt>
                <c:pt idx="349">
                  <c:v>78.407040743138907</c:v>
                </c:pt>
                <c:pt idx="350">
                  <c:v>78.388328779726464</c:v>
                </c:pt>
                <c:pt idx="351">
                  <c:v>78.369616816314007</c:v>
                </c:pt>
                <c:pt idx="352">
                  <c:v>78.350904852901564</c:v>
                </c:pt>
                <c:pt idx="353">
                  <c:v>78.332192889489122</c:v>
                </c:pt>
                <c:pt idx="354">
                  <c:v>78.313480926076679</c:v>
                </c:pt>
                <c:pt idx="355">
                  <c:v>78.294768962664222</c:v>
                </c:pt>
                <c:pt idx="356">
                  <c:v>78.276056999251779</c:v>
                </c:pt>
                <c:pt idx="357">
                  <c:v>78.257345035839336</c:v>
                </c:pt>
                <c:pt idx="358">
                  <c:v>78.238633072426893</c:v>
                </c:pt>
                <c:pt idx="359">
                  <c:v>78.219921109014436</c:v>
                </c:pt>
                <c:pt idx="360">
                  <c:v>78.201209145601993</c:v>
                </c:pt>
                <c:pt idx="361">
                  <c:v>78.18249718218955</c:v>
                </c:pt>
                <c:pt idx="362">
                  <c:v>78.163785218777093</c:v>
                </c:pt>
                <c:pt idx="363">
                  <c:v>78.14507325536465</c:v>
                </c:pt>
                <c:pt idx="364">
                  <c:v>78.126361291952207</c:v>
                </c:pt>
                <c:pt idx="365">
                  <c:v>78.107649328539765</c:v>
                </c:pt>
                <c:pt idx="366">
                  <c:v>78.088937365127308</c:v>
                </c:pt>
                <c:pt idx="367">
                  <c:v>78.070225401714865</c:v>
                </c:pt>
                <c:pt idx="368">
                  <c:v>78.051513438302422</c:v>
                </c:pt>
                <c:pt idx="369">
                  <c:v>78.032801474889979</c:v>
                </c:pt>
                <c:pt idx="370">
                  <c:v>78.014089511477522</c:v>
                </c:pt>
                <c:pt idx="371">
                  <c:v>77.995377548065079</c:v>
                </c:pt>
                <c:pt idx="372">
                  <c:v>77.976665584652636</c:v>
                </c:pt>
                <c:pt idx="373">
                  <c:v>77.957953621240179</c:v>
                </c:pt>
                <c:pt idx="374">
                  <c:v>77.939241657827736</c:v>
                </c:pt>
                <c:pt idx="375">
                  <c:v>77.920529694415293</c:v>
                </c:pt>
                <c:pt idx="376">
                  <c:v>77.901817731002851</c:v>
                </c:pt>
                <c:pt idx="377">
                  <c:v>77.883105767590393</c:v>
                </c:pt>
                <c:pt idx="378">
                  <c:v>77.864393804177951</c:v>
                </c:pt>
                <c:pt idx="379">
                  <c:v>77.845681840765508</c:v>
                </c:pt>
                <c:pt idx="380">
                  <c:v>77.826969877353065</c:v>
                </c:pt>
                <c:pt idx="381">
                  <c:v>77.808257913940608</c:v>
                </c:pt>
                <c:pt idx="382">
                  <c:v>77.789545950528165</c:v>
                </c:pt>
                <c:pt idx="383">
                  <c:v>77.770833987115722</c:v>
                </c:pt>
                <c:pt idx="384">
                  <c:v>77.752122023703265</c:v>
                </c:pt>
                <c:pt idx="385">
                  <c:v>77.733410060290822</c:v>
                </c:pt>
                <c:pt idx="386">
                  <c:v>77.714698096878379</c:v>
                </c:pt>
                <c:pt idx="387">
                  <c:v>77.695986133465937</c:v>
                </c:pt>
                <c:pt idx="388">
                  <c:v>77.677274170053479</c:v>
                </c:pt>
                <c:pt idx="389">
                  <c:v>77.658562206641037</c:v>
                </c:pt>
                <c:pt idx="390">
                  <c:v>77.639850243228594</c:v>
                </c:pt>
                <c:pt idx="391">
                  <c:v>77.621138279816151</c:v>
                </c:pt>
                <c:pt idx="392">
                  <c:v>77.602426316403694</c:v>
                </c:pt>
                <c:pt idx="393">
                  <c:v>77.583714352991251</c:v>
                </c:pt>
                <c:pt idx="394">
                  <c:v>77.565002389578808</c:v>
                </c:pt>
                <c:pt idx="395">
                  <c:v>77.546290426166365</c:v>
                </c:pt>
                <c:pt idx="396">
                  <c:v>77.527578462753908</c:v>
                </c:pt>
                <c:pt idx="397">
                  <c:v>77.508866499341465</c:v>
                </c:pt>
                <c:pt idx="398">
                  <c:v>77.490154535929022</c:v>
                </c:pt>
                <c:pt idx="399">
                  <c:v>77.471442572516565</c:v>
                </c:pt>
                <c:pt idx="400">
                  <c:v>77.452730609104123</c:v>
                </c:pt>
                <c:pt idx="401">
                  <c:v>77.43401864569168</c:v>
                </c:pt>
                <c:pt idx="402">
                  <c:v>77.415306682279237</c:v>
                </c:pt>
                <c:pt idx="403">
                  <c:v>77.39659471886678</c:v>
                </c:pt>
                <c:pt idx="404">
                  <c:v>77.377882755454337</c:v>
                </c:pt>
                <c:pt idx="405">
                  <c:v>77.359170792041894</c:v>
                </c:pt>
                <c:pt idx="406">
                  <c:v>77.340458828629437</c:v>
                </c:pt>
                <c:pt idx="407">
                  <c:v>77.321746865216994</c:v>
                </c:pt>
                <c:pt idx="408">
                  <c:v>77.303034901804551</c:v>
                </c:pt>
                <c:pt idx="409">
                  <c:v>77.284322938392108</c:v>
                </c:pt>
                <c:pt idx="410">
                  <c:v>77.265610974979651</c:v>
                </c:pt>
                <c:pt idx="411">
                  <c:v>77.246899011567209</c:v>
                </c:pt>
                <c:pt idx="412">
                  <c:v>77.228187048154766</c:v>
                </c:pt>
                <c:pt idx="413">
                  <c:v>77.209475084742323</c:v>
                </c:pt>
                <c:pt idx="414">
                  <c:v>77.190763121329866</c:v>
                </c:pt>
                <c:pt idx="415">
                  <c:v>77.172051157917423</c:v>
                </c:pt>
                <c:pt idx="416">
                  <c:v>77.15333919450498</c:v>
                </c:pt>
                <c:pt idx="417">
                  <c:v>77.134627231092537</c:v>
                </c:pt>
                <c:pt idx="418">
                  <c:v>77.11591526768008</c:v>
                </c:pt>
                <c:pt idx="419">
                  <c:v>77.097203304267637</c:v>
                </c:pt>
                <c:pt idx="420">
                  <c:v>77.078491340855194</c:v>
                </c:pt>
                <c:pt idx="421">
                  <c:v>77.059779377442737</c:v>
                </c:pt>
                <c:pt idx="422">
                  <c:v>77.041067414030294</c:v>
                </c:pt>
                <c:pt idx="423">
                  <c:v>77.022355450617852</c:v>
                </c:pt>
                <c:pt idx="424">
                  <c:v>77.003643487205409</c:v>
                </c:pt>
                <c:pt idx="425">
                  <c:v>76.984931523792952</c:v>
                </c:pt>
                <c:pt idx="426">
                  <c:v>76.966219560380509</c:v>
                </c:pt>
                <c:pt idx="427">
                  <c:v>76.947507596968066</c:v>
                </c:pt>
                <c:pt idx="428">
                  <c:v>76.928795633555609</c:v>
                </c:pt>
                <c:pt idx="429">
                  <c:v>76.910083670143166</c:v>
                </c:pt>
                <c:pt idx="430">
                  <c:v>76.891371706730723</c:v>
                </c:pt>
                <c:pt idx="431">
                  <c:v>76.87265974331828</c:v>
                </c:pt>
                <c:pt idx="432">
                  <c:v>76.853947779905837</c:v>
                </c:pt>
                <c:pt idx="433">
                  <c:v>76.83523581649338</c:v>
                </c:pt>
                <c:pt idx="434">
                  <c:v>76.816523853080938</c:v>
                </c:pt>
                <c:pt idx="435">
                  <c:v>76.797811889668495</c:v>
                </c:pt>
                <c:pt idx="436">
                  <c:v>76.779099926256038</c:v>
                </c:pt>
                <c:pt idx="437">
                  <c:v>76.760387962843595</c:v>
                </c:pt>
                <c:pt idx="438">
                  <c:v>76.741675999431152</c:v>
                </c:pt>
                <c:pt idx="439">
                  <c:v>76.722964036018709</c:v>
                </c:pt>
                <c:pt idx="440">
                  <c:v>76.704252072606252</c:v>
                </c:pt>
                <c:pt idx="441">
                  <c:v>76.685540109193809</c:v>
                </c:pt>
                <c:pt idx="442">
                  <c:v>76.666828145781366</c:v>
                </c:pt>
                <c:pt idx="443">
                  <c:v>76.648116182368909</c:v>
                </c:pt>
                <c:pt idx="444">
                  <c:v>76.629404218956466</c:v>
                </c:pt>
                <c:pt idx="445">
                  <c:v>76.610692255544024</c:v>
                </c:pt>
                <c:pt idx="446">
                  <c:v>76.591980292131581</c:v>
                </c:pt>
                <c:pt idx="447">
                  <c:v>76.573268328719124</c:v>
                </c:pt>
                <c:pt idx="448">
                  <c:v>76.554556365306681</c:v>
                </c:pt>
                <c:pt idx="449">
                  <c:v>76.535844401894238</c:v>
                </c:pt>
                <c:pt idx="450">
                  <c:v>76.517132438481781</c:v>
                </c:pt>
                <c:pt idx="451">
                  <c:v>76.498420475069338</c:v>
                </c:pt>
                <c:pt idx="452">
                  <c:v>76.479708511656895</c:v>
                </c:pt>
                <c:pt idx="453">
                  <c:v>76.460996548244452</c:v>
                </c:pt>
                <c:pt idx="454">
                  <c:v>76.442284584832009</c:v>
                </c:pt>
                <c:pt idx="455">
                  <c:v>76.423572621419552</c:v>
                </c:pt>
                <c:pt idx="456">
                  <c:v>76.404860658007109</c:v>
                </c:pt>
                <c:pt idx="457">
                  <c:v>76.386148694594667</c:v>
                </c:pt>
                <c:pt idx="458">
                  <c:v>76.36743673118221</c:v>
                </c:pt>
                <c:pt idx="459">
                  <c:v>76.348724767769767</c:v>
                </c:pt>
                <c:pt idx="460">
                  <c:v>76.330012804357324</c:v>
                </c:pt>
                <c:pt idx="461">
                  <c:v>76.311300840944881</c:v>
                </c:pt>
                <c:pt idx="462">
                  <c:v>76.292588877532424</c:v>
                </c:pt>
                <c:pt idx="463">
                  <c:v>76.273876914119981</c:v>
                </c:pt>
                <c:pt idx="464">
                  <c:v>76.255164950707538</c:v>
                </c:pt>
                <c:pt idx="465">
                  <c:v>76.236452987295081</c:v>
                </c:pt>
                <c:pt idx="466">
                  <c:v>76.217741023882638</c:v>
                </c:pt>
                <c:pt idx="467">
                  <c:v>76.199029060470195</c:v>
                </c:pt>
                <c:pt idx="468">
                  <c:v>76.180317097057753</c:v>
                </c:pt>
                <c:pt idx="469">
                  <c:v>76.161605133645295</c:v>
                </c:pt>
                <c:pt idx="470">
                  <c:v>76.142893170232853</c:v>
                </c:pt>
                <c:pt idx="471">
                  <c:v>76.12418120682041</c:v>
                </c:pt>
                <c:pt idx="472">
                  <c:v>76.105469243407967</c:v>
                </c:pt>
                <c:pt idx="473">
                  <c:v>76.08675727999551</c:v>
                </c:pt>
                <c:pt idx="474">
                  <c:v>76.068045316583067</c:v>
                </c:pt>
                <c:pt idx="475">
                  <c:v>76.049333353170624</c:v>
                </c:pt>
                <c:pt idx="476">
                  <c:v>76.030621389758181</c:v>
                </c:pt>
                <c:pt idx="477">
                  <c:v>76.011909426345724</c:v>
                </c:pt>
                <c:pt idx="478">
                  <c:v>75.993197462933281</c:v>
                </c:pt>
                <c:pt idx="479">
                  <c:v>75.974485499520839</c:v>
                </c:pt>
                <c:pt idx="480">
                  <c:v>75.955773536108381</c:v>
                </c:pt>
                <c:pt idx="481">
                  <c:v>75.937061572695939</c:v>
                </c:pt>
                <c:pt idx="482">
                  <c:v>75.918349609283496</c:v>
                </c:pt>
                <c:pt idx="483">
                  <c:v>75.899637645871053</c:v>
                </c:pt>
                <c:pt idx="484">
                  <c:v>75.880925682458596</c:v>
                </c:pt>
                <c:pt idx="485">
                  <c:v>75.862213719046153</c:v>
                </c:pt>
                <c:pt idx="486">
                  <c:v>75.84350175563371</c:v>
                </c:pt>
                <c:pt idx="487">
                  <c:v>75.824789792221253</c:v>
                </c:pt>
                <c:pt idx="488">
                  <c:v>75.80607782880881</c:v>
                </c:pt>
                <c:pt idx="489">
                  <c:v>75.787365865396367</c:v>
                </c:pt>
                <c:pt idx="490">
                  <c:v>75.768653901983924</c:v>
                </c:pt>
                <c:pt idx="491">
                  <c:v>75.749941938571467</c:v>
                </c:pt>
                <c:pt idx="492">
                  <c:v>75.731229975159025</c:v>
                </c:pt>
                <c:pt idx="493">
                  <c:v>75.712518011746582</c:v>
                </c:pt>
                <c:pt idx="494">
                  <c:v>75.693806048334139</c:v>
                </c:pt>
                <c:pt idx="495">
                  <c:v>75.675094084921682</c:v>
                </c:pt>
                <c:pt idx="496">
                  <c:v>75.656382121509239</c:v>
                </c:pt>
                <c:pt idx="497">
                  <c:v>75.637670158096796</c:v>
                </c:pt>
                <c:pt idx="498">
                  <c:v>75.618958194684353</c:v>
                </c:pt>
                <c:pt idx="499">
                  <c:v>75.600246231271896</c:v>
                </c:pt>
                <c:pt idx="500">
                  <c:v>75.581534267859453</c:v>
                </c:pt>
                <c:pt idx="501">
                  <c:v>75.56282230444701</c:v>
                </c:pt>
                <c:pt idx="502">
                  <c:v>75.544110341034553</c:v>
                </c:pt>
                <c:pt idx="503">
                  <c:v>75.525398377622111</c:v>
                </c:pt>
                <c:pt idx="504">
                  <c:v>75.506686414209668</c:v>
                </c:pt>
                <c:pt idx="505">
                  <c:v>75.487974450797225</c:v>
                </c:pt>
                <c:pt idx="506">
                  <c:v>75.469262487384768</c:v>
                </c:pt>
                <c:pt idx="507">
                  <c:v>75.450550523972325</c:v>
                </c:pt>
                <c:pt idx="508">
                  <c:v>75.431838560559882</c:v>
                </c:pt>
                <c:pt idx="509">
                  <c:v>75.413126597147425</c:v>
                </c:pt>
                <c:pt idx="510">
                  <c:v>75.394414633734982</c:v>
                </c:pt>
                <c:pt idx="511">
                  <c:v>75.375702670322539</c:v>
                </c:pt>
                <c:pt idx="512">
                  <c:v>75.356990706910096</c:v>
                </c:pt>
                <c:pt idx="513">
                  <c:v>75.338278743497654</c:v>
                </c:pt>
                <c:pt idx="514">
                  <c:v>75.319566780085196</c:v>
                </c:pt>
                <c:pt idx="515">
                  <c:v>75.300854816672754</c:v>
                </c:pt>
                <c:pt idx="516">
                  <c:v>75.282142853260311</c:v>
                </c:pt>
                <c:pt idx="517">
                  <c:v>75.263430889847854</c:v>
                </c:pt>
                <c:pt idx="518">
                  <c:v>75.244718926435411</c:v>
                </c:pt>
                <c:pt idx="519">
                  <c:v>75.226006963022968</c:v>
                </c:pt>
                <c:pt idx="520">
                  <c:v>75.207294999610525</c:v>
                </c:pt>
                <c:pt idx="521">
                  <c:v>75.188583036198068</c:v>
                </c:pt>
                <c:pt idx="522">
                  <c:v>75.169871072785625</c:v>
                </c:pt>
                <c:pt idx="523">
                  <c:v>75.151159109373182</c:v>
                </c:pt>
                <c:pt idx="524">
                  <c:v>75.132447145960725</c:v>
                </c:pt>
                <c:pt idx="525">
                  <c:v>75.113735182548282</c:v>
                </c:pt>
                <c:pt idx="526">
                  <c:v>75.09502321913584</c:v>
                </c:pt>
                <c:pt idx="527">
                  <c:v>75.076311255723397</c:v>
                </c:pt>
                <c:pt idx="528">
                  <c:v>75.05759929231094</c:v>
                </c:pt>
                <c:pt idx="529">
                  <c:v>75.038887328898497</c:v>
                </c:pt>
                <c:pt idx="530">
                  <c:v>75.020175365486054</c:v>
                </c:pt>
                <c:pt idx="531">
                  <c:v>75.001463402073611</c:v>
                </c:pt>
                <c:pt idx="532">
                  <c:v>74.982751438661154</c:v>
                </c:pt>
                <c:pt idx="533">
                  <c:v>74.964039475248711</c:v>
                </c:pt>
                <c:pt idx="534">
                  <c:v>74.945327511836268</c:v>
                </c:pt>
                <c:pt idx="535">
                  <c:v>74.926615548423825</c:v>
                </c:pt>
                <c:pt idx="536">
                  <c:v>74.907903585011368</c:v>
                </c:pt>
                <c:pt idx="537">
                  <c:v>74.889191621598926</c:v>
                </c:pt>
                <c:pt idx="538">
                  <c:v>74.870479658186483</c:v>
                </c:pt>
                <c:pt idx="539">
                  <c:v>74.851767694774026</c:v>
                </c:pt>
                <c:pt idx="540">
                  <c:v>74.833055731361583</c:v>
                </c:pt>
                <c:pt idx="541">
                  <c:v>74.81434376794914</c:v>
                </c:pt>
                <c:pt idx="542">
                  <c:v>74.795631804536697</c:v>
                </c:pt>
                <c:pt idx="543">
                  <c:v>74.77691984112424</c:v>
                </c:pt>
                <c:pt idx="544">
                  <c:v>74.758207877711797</c:v>
                </c:pt>
                <c:pt idx="545">
                  <c:v>74.739495914299354</c:v>
                </c:pt>
                <c:pt idx="546">
                  <c:v>74.720783950886897</c:v>
                </c:pt>
                <c:pt idx="547">
                  <c:v>74.702071987474454</c:v>
                </c:pt>
                <c:pt idx="548">
                  <c:v>74.683360024062011</c:v>
                </c:pt>
                <c:pt idx="549">
                  <c:v>74.664648060649569</c:v>
                </c:pt>
                <c:pt idx="550">
                  <c:v>74.645936097237112</c:v>
                </c:pt>
                <c:pt idx="551">
                  <c:v>74.627224133824669</c:v>
                </c:pt>
                <c:pt idx="552">
                  <c:v>74.608512170412226</c:v>
                </c:pt>
                <c:pt idx="553">
                  <c:v>74.589800206999783</c:v>
                </c:pt>
                <c:pt idx="554">
                  <c:v>74.571088243587326</c:v>
                </c:pt>
                <c:pt idx="555">
                  <c:v>74.552376280174883</c:v>
                </c:pt>
                <c:pt idx="556">
                  <c:v>74.53366431676244</c:v>
                </c:pt>
                <c:pt idx="557">
                  <c:v>74.514952353349997</c:v>
                </c:pt>
                <c:pt idx="558">
                  <c:v>74.49624038993754</c:v>
                </c:pt>
                <c:pt idx="559">
                  <c:v>74.477528426525097</c:v>
                </c:pt>
                <c:pt idx="560">
                  <c:v>74.458816463112655</c:v>
                </c:pt>
                <c:pt idx="561">
                  <c:v>74.440104499700197</c:v>
                </c:pt>
                <c:pt idx="562">
                  <c:v>74.421392536287755</c:v>
                </c:pt>
                <c:pt idx="563">
                  <c:v>74.402680572875312</c:v>
                </c:pt>
                <c:pt idx="564">
                  <c:v>74.383968609462869</c:v>
                </c:pt>
                <c:pt idx="565">
                  <c:v>74.365256646050412</c:v>
                </c:pt>
                <c:pt idx="566">
                  <c:v>74.346544682637969</c:v>
                </c:pt>
                <c:pt idx="567">
                  <c:v>74.327832719225526</c:v>
                </c:pt>
                <c:pt idx="568">
                  <c:v>74.309120755813069</c:v>
                </c:pt>
                <c:pt idx="569">
                  <c:v>74.290408792400626</c:v>
                </c:pt>
                <c:pt idx="570">
                  <c:v>74.271696828988183</c:v>
                </c:pt>
                <c:pt idx="571">
                  <c:v>74.252984865575741</c:v>
                </c:pt>
                <c:pt idx="572">
                  <c:v>74.234272902163298</c:v>
                </c:pt>
                <c:pt idx="573">
                  <c:v>74.215560938750841</c:v>
                </c:pt>
                <c:pt idx="574">
                  <c:v>74.196848975338398</c:v>
                </c:pt>
                <c:pt idx="575">
                  <c:v>74.178137011925955</c:v>
                </c:pt>
                <c:pt idx="576">
                  <c:v>74.159425048513498</c:v>
                </c:pt>
                <c:pt idx="577">
                  <c:v>74.140713085101055</c:v>
                </c:pt>
                <c:pt idx="578">
                  <c:v>74.122001121688612</c:v>
                </c:pt>
                <c:pt idx="579">
                  <c:v>74.103289158276169</c:v>
                </c:pt>
                <c:pt idx="580">
                  <c:v>74.084577194863712</c:v>
                </c:pt>
                <c:pt idx="581">
                  <c:v>74.065865231451269</c:v>
                </c:pt>
                <c:pt idx="582">
                  <c:v>74.047153268038826</c:v>
                </c:pt>
                <c:pt idx="583">
                  <c:v>74.028441304626369</c:v>
                </c:pt>
                <c:pt idx="584">
                  <c:v>74.009729341213927</c:v>
                </c:pt>
                <c:pt idx="585">
                  <c:v>73.991017377801484</c:v>
                </c:pt>
                <c:pt idx="586">
                  <c:v>73.972305414389041</c:v>
                </c:pt>
                <c:pt idx="587">
                  <c:v>73.953593450976584</c:v>
                </c:pt>
                <c:pt idx="588">
                  <c:v>73.934881487564141</c:v>
                </c:pt>
                <c:pt idx="589">
                  <c:v>73.916169524151698</c:v>
                </c:pt>
                <c:pt idx="590">
                  <c:v>73.897457560739241</c:v>
                </c:pt>
                <c:pt idx="591">
                  <c:v>73.878745597326798</c:v>
                </c:pt>
                <c:pt idx="592">
                  <c:v>73.860033633914355</c:v>
                </c:pt>
                <c:pt idx="593">
                  <c:v>73.841321670501912</c:v>
                </c:pt>
                <c:pt idx="594">
                  <c:v>73.82260970708947</c:v>
                </c:pt>
                <c:pt idx="595">
                  <c:v>73.803897743677012</c:v>
                </c:pt>
                <c:pt idx="596">
                  <c:v>73.78518578026457</c:v>
                </c:pt>
                <c:pt idx="597">
                  <c:v>73.766473816852127</c:v>
                </c:pt>
                <c:pt idx="598">
                  <c:v>73.74776185343967</c:v>
                </c:pt>
                <c:pt idx="599">
                  <c:v>73.729049890027227</c:v>
                </c:pt>
                <c:pt idx="600">
                  <c:v>73.710337926614784</c:v>
                </c:pt>
                <c:pt idx="601">
                  <c:v>73.691625963202341</c:v>
                </c:pt>
                <c:pt idx="602">
                  <c:v>73.672913999789884</c:v>
                </c:pt>
                <c:pt idx="603">
                  <c:v>73.654202036377441</c:v>
                </c:pt>
                <c:pt idx="604">
                  <c:v>73.635490072964998</c:v>
                </c:pt>
                <c:pt idx="605">
                  <c:v>73.616778109552541</c:v>
                </c:pt>
                <c:pt idx="606">
                  <c:v>73.598066146140098</c:v>
                </c:pt>
                <c:pt idx="607">
                  <c:v>73.579354182727656</c:v>
                </c:pt>
                <c:pt idx="608">
                  <c:v>73.560642219315213</c:v>
                </c:pt>
                <c:pt idx="609">
                  <c:v>73.541930255902756</c:v>
                </c:pt>
                <c:pt idx="610">
                  <c:v>73.523218292490313</c:v>
                </c:pt>
                <c:pt idx="611">
                  <c:v>73.50450632907787</c:v>
                </c:pt>
                <c:pt idx="612">
                  <c:v>73.485794365665427</c:v>
                </c:pt>
                <c:pt idx="613">
                  <c:v>73.46708240225297</c:v>
                </c:pt>
                <c:pt idx="614">
                  <c:v>73.448370438840527</c:v>
                </c:pt>
                <c:pt idx="615">
                  <c:v>73.429658475428084</c:v>
                </c:pt>
                <c:pt idx="616">
                  <c:v>73.410946512015641</c:v>
                </c:pt>
                <c:pt idx="617">
                  <c:v>73.392234548603184</c:v>
                </c:pt>
                <c:pt idx="618">
                  <c:v>73.373522585190742</c:v>
                </c:pt>
                <c:pt idx="619">
                  <c:v>73.354810621778299</c:v>
                </c:pt>
                <c:pt idx="620">
                  <c:v>73.336098658365842</c:v>
                </c:pt>
                <c:pt idx="621">
                  <c:v>73.317386694953399</c:v>
                </c:pt>
                <c:pt idx="622">
                  <c:v>73.298674731540956</c:v>
                </c:pt>
                <c:pt idx="623">
                  <c:v>73.279962768128513</c:v>
                </c:pt>
                <c:pt idx="624">
                  <c:v>73.261250804716056</c:v>
                </c:pt>
                <c:pt idx="625">
                  <c:v>73.242538841303613</c:v>
                </c:pt>
                <c:pt idx="626">
                  <c:v>73.22382687789117</c:v>
                </c:pt>
                <c:pt idx="627">
                  <c:v>73.205114914478713</c:v>
                </c:pt>
                <c:pt idx="628">
                  <c:v>73.18640295106627</c:v>
                </c:pt>
                <c:pt idx="629">
                  <c:v>73.167690987653828</c:v>
                </c:pt>
                <c:pt idx="630">
                  <c:v>73.148979024241385</c:v>
                </c:pt>
                <c:pt idx="631">
                  <c:v>73.130267060828928</c:v>
                </c:pt>
                <c:pt idx="632">
                  <c:v>73.111555097416485</c:v>
                </c:pt>
                <c:pt idx="633">
                  <c:v>73.092843134004042</c:v>
                </c:pt>
                <c:pt idx="634">
                  <c:v>73.074131170591599</c:v>
                </c:pt>
                <c:pt idx="635">
                  <c:v>73.055419207179142</c:v>
                </c:pt>
                <c:pt idx="636">
                  <c:v>73.036707243766699</c:v>
                </c:pt>
                <c:pt idx="637">
                  <c:v>73.017995280354256</c:v>
                </c:pt>
                <c:pt idx="638">
                  <c:v>72.999283316941813</c:v>
                </c:pt>
                <c:pt idx="639">
                  <c:v>72.980571353529356</c:v>
                </c:pt>
                <c:pt idx="640">
                  <c:v>72.961859390116913</c:v>
                </c:pt>
                <c:pt idx="641">
                  <c:v>72.943147426704471</c:v>
                </c:pt>
                <c:pt idx="642">
                  <c:v>72.924435463292014</c:v>
                </c:pt>
                <c:pt idx="643">
                  <c:v>72.905723499879571</c:v>
                </c:pt>
                <c:pt idx="644">
                  <c:v>72.887011536467128</c:v>
                </c:pt>
                <c:pt idx="645">
                  <c:v>72.868299573054685</c:v>
                </c:pt>
                <c:pt idx="646">
                  <c:v>72.849587609642228</c:v>
                </c:pt>
                <c:pt idx="647">
                  <c:v>72.830875646229785</c:v>
                </c:pt>
                <c:pt idx="648">
                  <c:v>72.812163682817342</c:v>
                </c:pt>
                <c:pt idx="649">
                  <c:v>72.793451719404885</c:v>
                </c:pt>
                <c:pt idx="650">
                  <c:v>72.774739755992442</c:v>
                </c:pt>
                <c:pt idx="651">
                  <c:v>72.756027792579999</c:v>
                </c:pt>
                <c:pt idx="652">
                  <c:v>72.737315829167557</c:v>
                </c:pt>
                <c:pt idx="653">
                  <c:v>72.718603865755114</c:v>
                </c:pt>
                <c:pt idx="654">
                  <c:v>72.699891902342657</c:v>
                </c:pt>
                <c:pt idx="655">
                  <c:v>72.681179938930214</c:v>
                </c:pt>
                <c:pt idx="656">
                  <c:v>72.662467975517771</c:v>
                </c:pt>
                <c:pt idx="657">
                  <c:v>72.643756012105314</c:v>
                </c:pt>
                <c:pt idx="658">
                  <c:v>72.625044048692871</c:v>
                </c:pt>
                <c:pt idx="659">
                  <c:v>72.606332085280428</c:v>
                </c:pt>
                <c:pt idx="660">
                  <c:v>72.587620121867985</c:v>
                </c:pt>
                <c:pt idx="661">
                  <c:v>72.568908158455528</c:v>
                </c:pt>
                <c:pt idx="662">
                  <c:v>72.550196195043085</c:v>
                </c:pt>
                <c:pt idx="663">
                  <c:v>72.531484231630643</c:v>
                </c:pt>
                <c:pt idx="664">
                  <c:v>72.512772268218185</c:v>
                </c:pt>
                <c:pt idx="665">
                  <c:v>72.494060304805743</c:v>
                </c:pt>
                <c:pt idx="666">
                  <c:v>72.4753483413933</c:v>
                </c:pt>
                <c:pt idx="667">
                  <c:v>72.456636377980857</c:v>
                </c:pt>
                <c:pt idx="668">
                  <c:v>72.4379244145684</c:v>
                </c:pt>
                <c:pt idx="669">
                  <c:v>72.419212451155957</c:v>
                </c:pt>
                <c:pt idx="670">
                  <c:v>72.400500487743514</c:v>
                </c:pt>
                <c:pt idx="671">
                  <c:v>72.381788524331057</c:v>
                </c:pt>
                <c:pt idx="672">
                  <c:v>72.363076560918614</c:v>
                </c:pt>
                <c:pt idx="673">
                  <c:v>72.344364597506171</c:v>
                </c:pt>
                <c:pt idx="674">
                  <c:v>72.325652634093728</c:v>
                </c:pt>
                <c:pt idx="675">
                  <c:v>72.306940670681286</c:v>
                </c:pt>
                <c:pt idx="676">
                  <c:v>72.288228707268829</c:v>
                </c:pt>
                <c:pt idx="677">
                  <c:v>72.269516743856386</c:v>
                </c:pt>
                <c:pt idx="678">
                  <c:v>72.250804780443943</c:v>
                </c:pt>
                <c:pt idx="679">
                  <c:v>72.232092817031486</c:v>
                </c:pt>
                <c:pt idx="680">
                  <c:v>72.213380853619043</c:v>
                </c:pt>
                <c:pt idx="681">
                  <c:v>72.1946688902066</c:v>
                </c:pt>
                <c:pt idx="682">
                  <c:v>72.175956926794157</c:v>
                </c:pt>
                <c:pt idx="683">
                  <c:v>72.1572449633817</c:v>
                </c:pt>
                <c:pt idx="684">
                  <c:v>72.138532999969257</c:v>
                </c:pt>
                <c:pt idx="685">
                  <c:v>72.119821036556814</c:v>
                </c:pt>
                <c:pt idx="686">
                  <c:v>72.101109073144357</c:v>
                </c:pt>
                <c:pt idx="687">
                  <c:v>72.082397109731914</c:v>
                </c:pt>
                <c:pt idx="688">
                  <c:v>72.063685146319472</c:v>
                </c:pt>
                <c:pt idx="689">
                  <c:v>72.044973182907029</c:v>
                </c:pt>
                <c:pt idx="690">
                  <c:v>72.026261219494572</c:v>
                </c:pt>
                <c:pt idx="691">
                  <c:v>72.007549256082129</c:v>
                </c:pt>
                <c:pt idx="692">
                  <c:v>71.988837292669686</c:v>
                </c:pt>
                <c:pt idx="693">
                  <c:v>71.970125329257243</c:v>
                </c:pt>
                <c:pt idx="694">
                  <c:v>71.951413365844786</c:v>
                </c:pt>
                <c:pt idx="695">
                  <c:v>71.932701402432343</c:v>
                </c:pt>
                <c:pt idx="696">
                  <c:v>71.9139894390199</c:v>
                </c:pt>
                <c:pt idx="697">
                  <c:v>71.895277475607458</c:v>
                </c:pt>
                <c:pt idx="698">
                  <c:v>71.876565512195</c:v>
                </c:pt>
                <c:pt idx="699">
                  <c:v>71.857853548782558</c:v>
                </c:pt>
                <c:pt idx="700">
                  <c:v>71.839141585370115</c:v>
                </c:pt>
                <c:pt idx="701">
                  <c:v>71.820429621957658</c:v>
                </c:pt>
                <c:pt idx="702">
                  <c:v>71.801717658545215</c:v>
                </c:pt>
                <c:pt idx="703">
                  <c:v>71.783005695132772</c:v>
                </c:pt>
                <c:pt idx="704">
                  <c:v>71.764293731720329</c:v>
                </c:pt>
                <c:pt idx="705">
                  <c:v>71.745581768307872</c:v>
                </c:pt>
                <c:pt idx="706">
                  <c:v>71.726869804895429</c:v>
                </c:pt>
                <c:pt idx="707">
                  <c:v>71.708157841482986</c:v>
                </c:pt>
                <c:pt idx="708">
                  <c:v>71.689445878070529</c:v>
                </c:pt>
                <c:pt idx="709">
                  <c:v>71.670733914658086</c:v>
                </c:pt>
                <c:pt idx="710">
                  <c:v>71.652021951245644</c:v>
                </c:pt>
                <c:pt idx="711">
                  <c:v>71.633309987833201</c:v>
                </c:pt>
                <c:pt idx="712">
                  <c:v>71.614598024420744</c:v>
                </c:pt>
                <c:pt idx="713">
                  <c:v>71.595886061008301</c:v>
                </c:pt>
                <c:pt idx="714">
                  <c:v>71.577174097595858</c:v>
                </c:pt>
                <c:pt idx="715">
                  <c:v>71.558462134183415</c:v>
                </c:pt>
                <c:pt idx="716">
                  <c:v>71.539750170770958</c:v>
                </c:pt>
                <c:pt idx="717">
                  <c:v>71.521038207358515</c:v>
                </c:pt>
                <c:pt idx="718">
                  <c:v>71.502326243946072</c:v>
                </c:pt>
                <c:pt idx="719">
                  <c:v>71.483614280533629</c:v>
                </c:pt>
                <c:pt idx="720">
                  <c:v>71.464902317121172</c:v>
                </c:pt>
                <c:pt idx="721">
                  <c:v>71.44619035370873</c:v>
                </c:pt>
                <c:pt idx="722">
                  <c:v>71.427478390296287</c:v>
                </c:pt>
                <c:pt idx="723">
                  <c:v>71.40876642688383</c:v>
                </c:pt>
                <c:pt idx="724">
                  <c:v>71.390054463471387</c:v>
                </c:pt>
                <c:pt idx="725">
                  <c:v>71.371342500058944</c:v>
                </c:pt>
                <c:pt idx="726">
                  <c:v>71.352630536646501</c:v>
                </c:pt>
                <c:pt idx="727">
                  <c:v>71.333918573234044</c:v>
                </c:pt>
                <c:pt idx="728">
                  <c:v>71.315206609821601</c:v>
                </c:pt>
                <c:pt idx="729">
                  <c:v>71.296494646409158</c:v>
                </c:pt>
                <c:pt idx="730">
                  <c:v>71.277782682996701</c:v>
                </c:pt>
                <c:pt idx="731">
                  <c:v>71.259070719584258</c:v>
                </c:pt>
                <c:pt idx="732">
                  <c:v>71.240358756171815</c:v>
                </c:pt>
                <c:pt idx="733">
                  <c:v>71.221646792759373</c:v>
                </c:pt>
                <c:pt idx="734">
                  <c:v>71.20293482934693</c:v>
                </c:pt>
                <c:pt idx="735">
                  <c:v>71.184222865934473</c:v>
                </c:pt>
                <c:pt idx="736">
                  <c:v>71.16551090252203</c:v>
                </c:pt>
                <c:pt idx="737">
                  <c:v>71.146798939109587</c:v>
                </c:pt>
                <c:pt idx="738">
                  <c:v>71.12808697569713</c:v>
                </c:pt>
                <c:pt idx="739">
                  <c:v>71.109375012284687</c:v>
                </c:pt>
                <c:pt idx="740">
                  <c:v>71.090663048872244</c:v>
                </c:pt>
                <c:pt idx="741">
                  <c:v>71.071951085459801</c:v>
                </c:pt>
                <c:pt idx="742">
                  <c:v>71.053239122047344</c:v>
                </c:pt>
                <c:pt idx="743">
                  <c:v>71.034527158634901</c:v>
                </c:pt>
                <c:pt idx="744">
                  <c:v>71.015815195222459</c:v>
                </c:pt>
                <c:pt idx="745">
                  <c:v>70.997103231810001</c:v>
                </c:pt>
                <c:pt idx="746">
                  <c:v>70.978391268397559</c:v>
                </c:pt>
                <c:pt idx="747">
                  <c:v>70.959679304985116</c:v>
                </c:pt>
                <c:pt idx="748">
                  <c:v>70.940967341572673</c:v>
                </c:pt>
                <c:pt idx="749">
                  <c:v>70.922255378160216</c:v>
                </c:pt>
                <c:pt idx="750">
                  <c:v>70.903543414747773</c:v>
                </c:pt>
                <c:pt idx="751">
                  <c:v>70.88483145133533</c:v>
                </c:pt>
                <c:pt idx="752">
                  <c:v>70.866119487922887</c:v>
                </c:pt>
                <c:pt idx="753">
                  <c:v>70.84740752451043</c:v>
                </c:pt>
                <c:pt idx="754">
                  <c:v>70.828695561097987</c:v>
                </c:pt>
                <c:pt idx="755">
                  <c:v>70.809983597685545</c:v>
                </c:pt>
                <c:pt idx="756">
                  <c:v>70.791271634273102</c:v>
                </c:pt>
                <c:pt idx="757">
                  <c:v>70.772559670860645</c:v>
                </c:pt>
                <c:pt idx="758">
                  <c:v>70.753847707448202</c:v>
                </c:pt>
                <c:pt idx="759">
                  <c:v>70.735135744035759</c:v>
                </c:pt>
                <c:pt idx="760">
                  <c:v>70.716423780623302</c:v>
                </c:pt>
                <c:pt idx="761">
                  <c:v>70.697711817210859</c:v>
                </c:pt>
                <c:pt idx="762">
                  <c:v>70.678999853798416</c:v>
                </c:pt>
                <c:pt idx="763">
                  <c:v>70.660287890385973</c:v>
                </c:pt>
                <c:pt idx="764">
                  <c:v>70.641575926973516</c:v>
                </c:pt>
                <c:pt idx="765">
                  <c:v>70.622863963561073</c:v>
                </c:pt>
                <c:pt idx="766">
                  <c:v>70.60415200014863</c:v>
                </c:pt>
                <c:pt idx="767">
                  <c:v>70.585440036736173</c:v>
                </c:pt>
                <c:pt idx="768">
                  <c:v>70.566728073323731</c:v>
                </c:pt>
                <c:pt idx="769">
                  <c:v>70.548016109911288</c:v>
                </c:pt>
                <c:pt idx="770">
                  <c:v>70.529304146498845</c:v>
                </c:pt>
                <c:pt idx="771">
                  <c:v>70.510592183086388</c:v>
                </c:pt>
                <c:pt idx="772">
                  <c:v>70.491880219673945</c:v>
                </c:pt>
                <c:pt idx="773">
                  <c:v>70.473168256261502</c:v>
                </c:pt>
                <c:pt idx="774">
                  <c:v>70.454456292849059</c:v>
                </c:pt>
                <c:pt idx="775">
                  <c:v>70.435744329436602</c:v>
                </c:pt>
                <c:pt idx="776">
                  <c:v>70.417032366024159</c:v>
                </c:pt>
                <c:pt idx="777">
                  <c:v>70.398320402611716</c:v>
                </c:pt>
                <c:pt idx="778">
                  <c:v>70.379608439199274</c:v>
                </c:pt>
                <c:pt idx="779">
                  <c:v>70.360896475786816</c:v>
                </c:pt>
                <c:pt idx="780">
                  <c:v>70.342184512374374</c:v>
                </c:pt>
                <c:pt idx="781">
                  <c:v>70.323472548961931</c:v>
                </c:pt>
                <c:pt idx="782">
                  <c:v>70.304760585549474</c:v>
                </c:pt>
                <c:pt idx="783">
                  <c:v>70.286048622137031</c:v>
                </c:pt>
                <c:pt idx="784">
                  <c:v>70.267336658724588</c:v>
                </c:pt>
                <c:pt idx="785">
                  <c:v>70.248624695312145</c:v>
                </c:pt>
                <c:pt idx="786">
                  <c:v>70.229912731899688</c:v>
                </c:pt>
                <c:pt idx="787">
                  <c:v>70.211200768487245</c:v>
                </c:pt>
                <c:pt idx="788">
                  <c:v>70.192488805074802</c:v>
                </c:pt>
                <c:pt idx="789">
                  <c:v>70.173776841662345</c:v>
                </c:pt>
                <c:pt idx="790">
                  <c:v>70.155064878249902</c:v>
                </c:pt>
                <c:pt idx="791">
                  <c:v>70.13635291483746</c:v>
                </c:pt>
                <c:pt idx="792">
                  <c:v>70.117640951425017</c:v>
                </c:pt>
                <c:pt idx="793">
                  <c:v>70.098928988012574</c:v>
                </c:pt>
                <c:pt idx="794">
                  <c:v>70.080217024600117</c:v>
                </c:pt>
                <c:pt idx="795">
                  <c:v>70.061505061187674</c:v>
                </c:pt>
                <c:pt idx="796">
                  <c:v>70.042793097775231</c:v>
                </c:pt>
                <c:pt idx="797">
                  <c:v>70.024081134362774</c:v>
                </c:pt>
                <c:pt idx="798">
                  <c:v>70.005369170950331</c:v>
                </c:pt>
                <c:pt idx="799">
                  <c:v>69.986657207537888</c:v>
                </c:pt>
                <c:pt idx="800">
                  <c:v>69.967945244125445</c:v>
                </c:pt>
                <c:pt idx="801">
                  <c:v>69.949233280712988</c:v>
                </c:pt>
                <c:pt idx="802">
                  <c:v>69.930521317300546</c:v>
                </c:pt>
                <c:pt idx="803">
                  <c:v>69.911809353888103</c:v>
                </c:pt>
                <c:pt idx="804">
                  <c:v>69.893097390475646</c:v>
                </c:pt>
                <c:pt idx="805">
                  <c:v>69.874385427063203</c:v>
                </c:pt>
                <c:pt idx="806">
                  <c:v>69.85567346365076</c:v>
                </c:pt>
                <c:pt idx="807">
                  <c:v>69.836961500238317</c:v>
                </c:pt>
                <c:pt idx="808">
                  <c:v>69.81824953682586</c:v>
                </c:pt>
                <c:pt idx="809">
                  <c:v>69.799537573413417</c:v>
                </c:pt>
                <c:pt idx="810">
                  <c:v>69.780825610000974</c:v>
                </c:pt>
                <c:pt idx="811">
                  <c:v>69.762113646588517</c:v>
                </c:pt>
                <c:pt idx="812">
                  <c:v>69.743401683176074</c:v>
                </c:pt>
                <c:pt idx="813">
                  <c:v>69.724689719763632</c:v>
                </c:pt>
                <c:pt idx="814">
                  <c:v>69.705977756351189</c:v>
                </c:pt>
                <c:pt idx="815">
                  <c:v>69.687265792938746</c:v>
                </c:pt>
                <c:pt idx="816">
                  <c:v>69.668553829526289</c:v>
                </c:pt>
                <c:pt idx="817">
                  <c:v>69.649841866113846</c:v>
                </c:pt>
                <c:pt idx="818">
                  <c:v>69.631129902701403</c:v>
                </c:pt>
                <c:pt idx="819">
                  <c:v>69.612417939288946</c:v>
                </c:pt>
                <c:pt idx="820">
                  <c:v>69.593705975876503</c:v>
                </c:pt>
                <c:pt idx="821">
                  <c:v>69.57499401246406</c:v>
                </c:pt>
                <c:pt idx="822">
                  <c:v>69.556282049051617</c:v>
                </c:pt>
                <c:pt idx="823">
                  <c:v>69.53757008563916</c:v>
                </c:pt>
                <c:pt idx="824">
                  <c:v>69.518858122226717</c:v>
                </c:pt>
                <c:pt idx="825">
                  <c:v>69.500146158814275</c:v>
                </c:pt>
                <c:pt idx="826">
                  <c:v>69.481434195401818</c:v>
                </c:pt>
                <c:pt idx="827">
                  <c:v>69.462722231989375</c:v>
                </c:pt>
                <c:pt idx="828">
                  <c:v>69.444010268576932</c:v>
                </c:pt>
                <c:pt idx="829">
                  <c:v>69.425298305164489</c:v>
                </c:pt>
                <c:pt idx="830">
                  <c:v>69.406586341752032</c:v>
                </c:pt>
                <c:pt idx="831">
                  <c:v>69.387874378339589</c:v>
                </c:pt>
                <c:pt idx="832">
                  <c:v>69.369162414927146</c:v>
                </c:pt>
                <c:pt idx="833">
                  <c:v>69.350450451514703</c:v>
                </c:pt>
                <c:pt idx="834">
                  <c:v>69.331738488102246</c:v>
                </c:pt>
                <c:pt idx="835">
                  <c:v>69.313026524689803</c:v>
                </c:pt>
                <c:pt idx="836">
                  <c:v>69.294314561277361</c:v>
                </c:pt>
                <c:pt idx="837">
                  <c:v>69.275602597864918</c:v>
                </c:pt>
                <c:pt idx="838">
                  <c:v>69.256890634452461</c:v>
                </c:pt>
                <c:pt idx="839">
                  <c:v>69.238178671040018</c:v>
                </c:pt>
                <c:pt idx="840">
                  <c:v>69.219466707627575</c:v>
                </c:pt>
                <c:pt idx="841">
                  <c:v>69.200754744215118</c:v>
                </c:pt>
                <c:pt idx="842">
                  <c:v>69.182042780802675</c:v>
                </c:pt>
                <c:pt idx="843">
                  <c:v>69.163330817390232</c:v>
                </c:pt>
                <c:pt idx="844">
                  <c:v>69.144618853977789</c:v>
                </c:pt>
                <c:pt idx="845">
                  <c:v>69.125906890565332</c:v>
                </c:pt>
                <c:pt idx="846">
                  <c:v>69.107194927152889</c:v>
                </c:pt>
                <c:pt idx="847">
                  <c:v>69.088482963740447</c:v>
                </c:pt>
                <c:pt idx="848">
                  <c:v>69.069771000327989</c:v>
                </c:pt>
                <c:pt idx="849">
                  <c:v>69.051059036915547</c:v>
                </c:pt>
                <c:pt idx="850">
                  <c:v>69.032347073503104</c:v>
                </c:pt>
                <c:pt idx="851">
                  <c:v>69.013635110090661</c:v>
                </c:pt>
                <c:pt idx="852">
                  <c:v>68.994923146678204</c:v>
                </c:pt>
                <c:pt idx="853">
                  <c:v>68.976211183265761</c:v>
                </c:pt>
                <c:pt idx="854">
                  <c:v>68.957499219853318</c:v>
                </c:pt>
                <c:pt idx="855">
                  <c:v>68.938787256440861</c:v>
                </c:pt>
                <c:pt idx="856">
                  <c:v>68.920075293028418</c:v>
                </c:pt>
                <c:pt idx="857">
                  <c:v>68.901363329615975</c:v>
                </c:pt>
                <c:pt idx="858">
                  <c:v>68.882651366203532</c:v>
                </c:pt>
                <c:pt idx="859">
                  <c:v>68.86393940279109</c:v>
                </c:pt>
                <c:pt idx="860">
                  <c:v>68.845227439378633</c:v>
                </c:pt>
                <c:pt idx="861">
                  <c:v>68.82651547596619</c:v>
                </c:pt>
                <c:pt idx="862">
                  <c:v>68.807803512553747</c:v>
                </c:pt>
                <c:pt idx="863">
                  <c:v>68.78909154914129</c:v>
                </c:pt>
                <c:pt idx="864">
                  <c:v>68.770379585728847</c:v>
                </c:pt>
                <c:pt idx="865">
                  <c:v>68.751667622316404</c:v>
                </c:pt>
                <c:pt idx="866">
                  <c:v>68.732955658903961</c:v>
                </c:pt>
                <c:pt idx="867">
                  <c:v>68.714243695491504</c:v>
                </c:pt>
                <c:pt idx="868">
                  <c:v>68.695531732079061</c:v>
                </c:pt>
                <c:pt idx="869">
                  <c:v>68.676819768666618</c:v>
                </c:pt>
                <c:pt idx="870">
                  <c:v>68.658107805254161</c:v>
                </c:pt>
                <c:pt idx="871">
                  <c:v>68.639395841841718</c:v>
                </c:pt>
                <c:pt idx="872">
                  <c:v>68.620683878429276</c:v>
                </c:pt>
                <c:pt idx="873">
                  <c:v>68.601971915016833</c:v>
                </c:pt>
                <c:pt idx="874">
                  <c:v>68.58325995160439</c:v>
                </c:pt>
                <c:pt idx="875">
                  <c:v>68.564547988191933</c:v>
                </c:pt>
                <c:pt idx="876">
                  <c:v>68.54583602477949</c:v>
                </c:pt>
                <c:pt idx="877">
                  <c:v>68.527124061367047</c:v>
                </c:pt>
                <c:pt idx="878">
                  <c:v>68.50841209795459</c:v>
                </c:pt>
                <c:pt idx="879">
                  <c:v>68.489700134542147</c:v>
                </c:pt>
                <c:pt idx="880">
                  <c:v>68.470988171129704</c:v>
                </c:pt>
                <c:pt idx="881">
                  <c:v>68.452276207717262</c:v>
                </c:pt>
                <c:pt idx="882">
                  <c:v>68.433564244304804</c:v>
                </c:pt>
                <c:pt idx="883">
                  <c:v>68.414852280892362</c:v>
                </c:pt>
                <c:pt idx="884">
                  <c:v>68.396140317479919</c:v>
                </c:pt>
                <c:pt idx="885">
                  <c:v>68.377428354067462</c:v>
                </c:pt>
                <c:pt idx="886">
                  <c:v>68.358716390655019</c:v>
                </c:pt>
                <c:pt idx="887">
                  <c:v>68.340004427242576</c:v>
                </c:pt>
                <c:pt idx="888">
                  <c:v>68.321292463830133</c:v>
                </c:pt>
                <c:pt idx="889">
                  <c:v>68.30258050041769</c:v>
                </c:pt>
                <c:pt idx="890">
                  <c:v>68.283868537005233</c:v>
                </c:pt>
                <c:pt idx="891">
                  <c:v>68.26515657359279</c:v>
                </c:pt>
                <c:pt idx="892">
                  <c:v>68.246444610180333</c:v>
                </c:pt>
                <c:pt idx="893">
                  <c:v>68.22773264676789</c:v>
                </c:pt>
                <c:pt idx="894">
                  <c:v>68.209020683355448</c:v>
                </c:pt>
                <c:pt idx="895">
                  <c:v>68.190308719943005</c:v>
                </c:pt>
                <c:pt idx="896">
                  <c:v>68.171596756530562</c:v>
                </c:pt>
                <c:pt idx="897">
                  <c:v>68.152884793118105</c:v>
                </c:pt>
                <c:pt idx="898">
                  <c:v>68.134172829705662</c:v>
                </c:pt>
                <c:pt idx="899">
                  <c:v>68.115460866293219</c:v>
                </c:pt>
                <c:pt idx="900">
                  <c:v>68.096748902880762</c:v>
                </c:pt>
                <c:pt idx="901">
                  <c:v>68.078036939468319</c:v>
                </c:pt>
                <c:pt idx="902">
                  <c:v>68.059324976055876</c:v>
                </c:pt>
                <c:pt idx="903">
                  <c:v>68.040613012643433</c:v>
                </c:pt>
                <c:pt idx="904">
                  <c:v>68.021901049230976</c:v>
                </c:pt>
                <c:pt idx="905">
                  <c:v>68.003189085818533</c:v>
                </c:pt>
                <c:pt idx="906">
                  <c:v>67.984477122406091</c:v>
                </c:pt>
                <c:pt idx="907">
                  <c:v>67.965765158993634</c:v>
                </c:pt>
                <c:pt idx="908">
                  <c:v>67.947053195581191</c:v>
                </c:pt>
                <c:pt idx="909">
                  <c:v>67.928341232168748</c:v>
                </c:pt>
                <c:pt idx="910">
                  <c:v>67.909629268756305</c:v>
                </c:pt>
                <c:pt idx="911">
                  <c:v>67.890917305343862</c:v>
                </c:pt>
                <c:pt idx="912">
                  <c:v>67.872205341931405</c:v>
                </c:pt>
                <c:pt idx="913">
                  <c:v>67.853493378518962</c:v>
                </c:pt>
                <c:pt idx="914">
                  <c:v>67.834781415106505</c:v>
                </c:pt>
                <c:pt idx="915">
                  <c:v>67.816069451694062</c:v>
                </c:pt>
                <c:pt idx="916">
                  <c:v>67.797357488281619</c:v>
                </c:pt>
                <c:pt idx="917">
                  <c:v>67.778645524869177</c:v>
                </c:pt>
                <c:pt idx="918">
                  <c:v>67.759933561456734</c:v>
                </c:pt>
                <c:pt idx="919">
                  <c:v>67.741221598044277</c:v>
                </c:pt>
                <c:pt idx="920">
                  <c:v>67.722509634631834</c:v>
                </c:pt>
                <c:pt idx="921">
                  <c:v>67.703797671219391</c:v>
                </c:pt>
                <c:pt idx="922">
                  <c:v>67.685085707806934</c:v>
                </c:pt>
                <c:pt idx="923">
                  <c:v>67.666373744394491</c:v>
                </c:pt>
                <c:pt idx="924">
                  <c:v>67.647661780982048</c:v>
                </c:pt>
                <c:pt idx="925">
                  <c:v>67.628949817569605</c:v>
                </c:pt>
                <c:pt idx="926">
                  <c:v>67.610237854157148</c:v>
                </c:pt>
                <c:pt idx="927">
                  <c:v>67.591525890744705</c:v>
                </c:pt>
                <c:pt idx="928">
                  <c:v>67.572813927332263</c:v>
                </c:pt>
                <c:pt idx="929">
                  <c:v>67.554101963919805</c:v>
                </c:pt>
                <c:pt idx="930">
                  <c:v>67.535390000507363</c:v>
                </c:pt>
                <c:pt idx="931">
                  <c:v>67.51667803709492</c:v>
                </c:pt>
                <c:pt idx="932">
                  <c:v>67.497966073682477</c:v>
                </c:pt>
                <c:pt idx="933">
                  <c:v>67.479254110270034</c:v>
                </c:pt>
                <c:pt idx="934">
                  <c:v>67.460542146857577</c:v>
                </c:pt>
                <c:pt idx="935">
                  <c:v>67.441830183445134</c:v>
                </c:pt>
                <c:pt idx="936">
                  <c:v>67.423118220032677</c:v>
                </c:pt>
                <c:pt idx="937">
                  <c:v>67.404406256620234</c:v>
                </c:pt>
                <c:pt idx="938">
                  <c:v>67.385694293207791</c:v>
                </c:pt>
                <c:pt idx="939">
                  <c:v>67.366982329795349</c:v>
                </c:pt>
                <c:pt idx="940">
                  <c:v>67.348270366382906</c:v>
                </c:pt>
                <c:pt idx="941">
                  <c:v>67.329558402970449</c:v>
                </c:pt>
                <c:pt idx="942">
                  <c:v>67.310846439558006</c:v>
                </c:pt>
                <c:pt idx="943">
                  <c:v>67.292134476145563</c:v>
                </c:pt>
                <c:pt idx="944">
                  <c:v>67.273422512733106</c:v>
                </c:pt>
                <c:pt idx="945">
                  <c:v>67.254710549320663</c:v>
                </c:pt>
                <c:pt idx="946">
                  <c:v>67.23599858590822</c:v>
                </c:pt>
                <c:pt idx="947">
                  <c:v>67.217286622495777</c:v>
                </c:pt>
                <c:pt idx="948">
                  <c:v>67.19857465908332</c:v>
                </c:pt>
                <c:pt idx="949">
                  <c:v>67.179862695670877</c:v>
                </c:pt>
                <c:pt idx="950">
                  <c:v>67.161150732258434</c:v>
                </c:pt>
                <c:pt idx="951">
                  <c:v>67.142438768845977</c:v>
                </c:pt>
                <c:pt idx="952">
                  <c:v>67.123726805433535</c:v>
                </c:pt>
                <c:pt idx="953">
                  <c:v>67.105014842021092</c:v>
                </c:pt>
                <c:pt idx="954">
                  <c:v>67.086302878608649</c:v>
                </c:pt>
                <c:pt idx="955">
                  <c:v>67.067590915196206</c:v>
                </c:pt>
                <c:pt idx="956">
                  <c:v>67.048878951783749</c:v>
                </c:pt>
                <c:pt idx="957">
                  <c:v>67.030166988371306</c:v>
                </c:pt>
                <c:pt idx="958">
                  <c:v>67.011455024958863</c:v>
                </c:pt>
                <c:pt idx="959">
                  <c:v>66.992743061546406</c:v>
                </c:pt>
                <c:pt idx="960">
                  <c:v>66.974031098133963</c:v>
                </c:pt>
                <c:pt idx="961">
                  <c:v>66.95531913472152</c:v>
                </c:pt>
                <c:pt idx="962">
                  <c:v>66.936607171309078</c:v>
                </c:pt>
                <c:pt idx="963">
                  <c:v>66.91789520789662</c:v>
                </c:pt>
                <c:pt idx="964">
                  <c:v>66.899183244484178</c:v>
                </c:pt>
                <c:pt idx="965">
                  <c:v>66.880471281071735</c:v>
                </c:pt>
                <c:pt idx="966">
                  <c:v>66.861759317659278</c:v>
                </c:pt>
                <c:pt idx="967">
                  <c:v>66.843047354246835</c:v>
                </c:pt>
                <c:pt idx="968">
                  <c:v>66.824335390834392</c:v>
                </c:pt>
                <c:pt idx="969">
                  <c:v>66.805623427421949</c:v>
                </c:pt>
                <c:pt idx="970">
                  <c:v>66.786911464009506</c:v>
                </c:pt>
                <c:pt idx="971">
                  <c:v>66.768199500597049</c:v>
                </c:pt>
                <c:pt idx="972">
                  <c:v>66.749487537184606</c:v>
                </c:pt>
                <c:pt idx="973">
                  <c:v>66.730775573772149</c:v>
                </c:pt>
                <c:pt idx="974">
                  <c:v>66.712063610359706</c:v>
                </c:pt>
                <c:pt idx="975">
                  <c:v>66.693351646947264</c:v>
                </c:pt>
                <c:pt idx="976">
                  <c:v>66.674639683534821</c:v>
                </c:pt>
                <c:pt idx="977">
                  <c:v>66.655927720122378</c:v>
                </c:pt>
                <c:pt idx="978">
                  <c:v>66.637215756709921</c:v>
                </c:pt>
                <c:pt idx="979">
                  <c:v>66.618503793297478</c:v>
                </c:pt>
                <c:pt idx="980">
                  <c:v>66.599791829885035</c:v>
                </c:pt>
                <c:pt idx="981">
                  <c:v>66.581079866472592</c:v>
                </c:pt>
                <c:pt idx="982">
                  <c:v>66.562367903060135</c:v>
                </c:pt>
                <c:pt idx="983">
                  <c:v>66.543655939647692</c:v>
                </c:pt>
                <c:pt idx="984">
                  <c:v>66.524943976235249</c:v>
                </c:pt>
                <c:pt idx="985">
                  <c:v>66.506232012822792</c:v>
                </c:pt>
                <c:pt idx="986">
                  <c:v>66.48752004941035</c:v>
                </c:pt>
                <c:pt idx="987">
                  <c:v>66.468808085997907</c:v>
                </c:pt>
                <c:pt idx="988">
                  <c:v>66.450096122585464</c:v>
                </c:pt>
                <c:pt idx="989">
                  <c:v>66.431384159173007</c:v>
                </c:pt>
                <c:pt idx="990">
                  <c:v>66.412672195760564</c:v>
                </c:pt>
                <c:pt idx="991">
                  <c:v>66.393960232348121</c:v>
                </c:pt>
                <c:pt idx="992">
                  <c:v>66.375248268935678</c:v>
                </c:pt>
                <c:pt idx="993">
                  <c:v>66.356536305523221</c:v>
                </c:pt>
                <c:pt idx="994">
                  <c:v>66.337824342110778</c:v>
                </c:pt>
                <c:pt idx="995">
                  <c:v>66.319112378698335</c:v>
                </c:pt>
                <c:pt idx="996">
                  <c:v>66.300400415285878</c:v>
                </c:pt>
                <c:pt idx="997">
                  <c:v>66.281688451873435</c:v>
                </c:pt>
                <c:pt idx="998">
                  <c:v>66.262976488460993</c:v>
                </c:pt>
                <c:pt idx="999">
                  <c:v>66.24426452504855</c:v>
                </c:pt>
                <c:pt idx="1000">
                  <c:v>66.225552561636093</c:v>
                </c:pt>
                <c:pt idx="1001">
                  <c:v>66.20684059822365</c:v>
                </c:pt>
                <c:pt idx="1002">
                  <c:v>66.188128634811207</c:v>
                </c:pt>
                <c:pt idx="1003">
                  <c:v>66.169416671398764</c:v>
                </c:pt>
                <c:pt idx="1004">
                  <c:v>66.150704707986307</c:v>
                </c:pt>
                <c:pt idx="1005">
                  <c:v>66.131992744573864</c:v>
                </c:pt>
                <c:pt idx="1006">
                  <c:v>66.113280781161421</c:v>
                </c:pt>
                <c:pt idx="1007">
                  <c:v>66.094568817748964</c:v>
                </c:pt>
                <c:pt idx="1008">
                  <c:v>66.075856854336521</c:v>
                </c:pt>
                <c:pt idx="1009">
                  <c:v>66.057144890924079</c:v>
                </c:pt>
                <c:pt idx="1010">
                  <c:v>66.038432927511636</c:v>
                </c:pt>
                <c:pt idx="1011">
                  <c:v>66.019720964099179</c:v>
                </c:pt>
                <c:pt idx="1012">
                  <c:v>66.001009000686736</c:v>
                </c:pt>
                <c:pt idx="1013">
                  <c:v>65.982297037274293</c:v>
                </c:pt>
                <c:pt idx="1014">
                  <c:v>65.96358507386185</c:v>
                </c:pt>
                <c:pt idx="1015">
                  <c:v>65.944873110449393</c:v>
                </c:pt>
                <c:pt idx="1016">
                  <c:v>65.92616114703695</c:v>
                </c:pt>
                <c:pt idx="1017">
                  <c:v>65.907449183624507</c:v>
                </c:pt>
                <c:pt idx="1018">
                  <c:v>65.88873722021205</c:v>
                </c:pt>
                <c:pt idx="1019">
                  <c:v>65.870025256799607</c:v>
                </c:pt>
                <c:pt idx="1020">
                  <c:v>65.851313293387165</c:v>
                </c:pt>
                <c:pt idx="1021">
                  <c:v>65.832601329974722</c:v>
                </c:pt>
                <c:pt idx="1022">
                  <c:v>65.813889366562265</c:v>
                </c:pt>
                <c:pt idx="1023">
                  <c:v>65.795177403149822</c:v>
                </c:pt>
                <c:pt idx="1024">
                  <c:v>65.776465439737379</c:v>
                </c:pt>
                <c:pt idx="1025">
                  <c:v>65.757753476324936</c:v>
                </c:pt>
                <c:pt idx="1026">
                  <c:v>65.739041512912479</c:v>
                </c:pt>
                <c:pt idx="1027">
                  <c:v>65.720329549500036</c:v>
                </c:pt>
                <c:pt idx="1028">
                  <c:v>65.701617586087593</c:v>
                </c:pt>
                <c:pt idx="1029">
                  <c:v>65.682905622675136</c:v>
                </c:pt>
                <c:pt idx="1030">
                  <c:v>65.664193659262693</c:v>
                </c:pt>
                <c:pt idx="1031">
                  <c:v>65.645481695850251</c:v>
                </c:pt>
                <c:pt idx="1032">
                  <c:v>65.626769732437808</c:v>
                </c:pt>
                <c:pt idx="1033">
                  <c:v>65.608057769025351</c:v>
                </c:pt>
                <c:pt idx="1034">
                  <c:v>65.589345805612908</c:v>
                </c:pt>
                <c:pt idx="1035">
                  <c:v>65.570633842200465</c:v>
                </c:pt>
                <c:pt idx="1036">
                  <c:v>65.551921878788022</c:v>
                </c:pt>
                <c:pt idx="1037">
                  <c:v>65.533209915375565</c:v>
                </c:pt>
                <c:pt idx="1038">
                  <c:v>65.514497951963122</c:v>
                </c:pt>
                <c:pt idx="1039">
                  <c:v>65.495785988550679</c:v>
                </c:pt>
                <c:pt idx="1040">
                  <c:v>65.477074025138236</c:v>
                </c:pt>
                <c:pt idx="1041">
                  <c:v>65.458362061725779</c:v>
                </c:pt>
                <c:pt idx="1042">
                  <c:v>65.439650098313336</c:v>
                </c:pt>
                <c:pt idx="1043">
                  <c:v>65.420938134900894</c:v>
                </c:pt>
                <c:pt idx="1044">
                  <c:v>65.402226171488437</c:v>
                </c:pt>
                <c:pt idx="1045">
                  <c:v>65.383514208075994</c:v>
                </c:pt>
                <c:pt idx="1046">
                  <c:v>65.364802244663551</c:v>
                </c:pt>
                <c:pt idx="1047">
                  <c:v>65.346090281251108</c:v>
                </c:pt>
                <c:pt idx="1048">
                  <c:v>65.327378317838651</c:v>
                </c:pt>
                <c:pt idx="1049">
                  <c:v>65.308666354426208</c:v>
                </c:pt>
                <c:pt idx="1050">
                  <c:v>65.289954391013765</c:v>
                </c:pt>
                <c:pt idx="1051">
                  <c:v>65.271242427601322</c:v>
                </c:pt>
                <c:pt idx="1052">
                  <c:v>65.252530464188865</c:v>
                </c:pt>
                <c:pt idx="1053">
                  <c:v>65.233818500776422</c:v>
                </c:pt>
                <c:pt idx="1054">
                  <c:v>65.21510653736398</c:v>
                </c:pt>
                <c:pt idx="1055">
                  <c:v>65.196394573951522</c:v>
                </c:pt>
                <c:pt idx="1056">
                  <c:v>65.17768261053908</c:v>
                </c:pt>
                <c:pt idx="1057">
                  <c:v>65.158970647126637</c:v>
                </c:pt>
                <c:pt idx="1058">
                  <c:v>65.140258683714194</c:v>
                </c:pt>
                <c:pt idx="1059">
                  <c:v>65.121546720301737</c:v>
                </c:pt>
                <c:pt idx="1060">
                  <c:v>65.102834756889294</c:v>
                </c:pt>
                <c:pt idx="1061">
                  <c:v>65.084122793476851</c:v>
                </c:pt>
                <c:pt idx="1062">
                  <c:v>65.065410830064408</c:v>
                </c:pt>
                <c:pt idx="1063">
                  <c:v>65.046698866651951</c:v>
                </c:pt>
                <c:pt idx="1064">
                  <c:v>65.027986903239508</c:v>
                </c:pt>
                <c:pt idx="1065">
                  <c:v>65.009274939827066</c:v>
                </c:pt>
                <c:pt idx="1066">
                  <c:v>64.990562976414608</c:v>
                </c:pt>
                <c:pt idx="1067">
                  <c:v>64.971851013002166</c:v>
                </c:pt>
                <c:pt idx="1068">
                  <c:v>64.953139049589723</c:v>
                </c:pt>
                <c:pt idx="1069">
                  <c:v>64.93442708617728</c:v>
                </c:pt>
                <c:pt idx="1070">
                  <c:v>64.915715122764823</c:v>
                </c:pt>
                <c:pt idx="1071">
                  <c:v>64.89700315935238</c:v>
                </c:pt>
                <c:pt idx="1072">
                  <c:v>64.878291195939937</c:v>
                </c:pt>
                <c:pt idx="1073">
                  <c:v>64.859579232527494</c:v>
                </c:pt>
                <c:pt idx="1074">
                  <c:v>64.840867269115037</c:v>
                </c:pt>
                <c:pt idx="1075">
                  <c:v>64.822155305702594</c:v>
                </c:pt>
                <c:pt idx="1076">
                  <c:v>64.803443342290151</c:v>
                </c:pt>
                <c:pt idx="1077">
                  <c:v>64.784731378877694</c:v>
                </c:pt>
                <c:pt idx="1078">
                  <c:v>64.766019415465252</c:v>
                </c:pt>
                <c:pt idx="1079">
                  <c:v>64.747307452052809</c:v>
                </c:pt>
                <c:pt idx="1080">
                  <c:v>64.728595488640366</c:v>
                </c:pt>
                <c:pt idx="1081">
                  <c:v>64.709883525227909</c:v>
                </c:pt>
                <c:pt idx="1082">
                  <c:v>64.691171561815466</c:v>
                </c:pt>
                <c:pt idx="1083">
                  <c:v>64.672459598403023</c:v>
                </c:pt>
                <c:pt idx="1084">
                  <c:v>64.65374763499058</c:v>
                </c:pt>
                <c:pt idx="1085">
                  <c:v>64.635035671578123</c:v>
                </c:pt>
                <c:pt idx="1086">
                  <c:v>64.61632370816568</c:v>
                </c:pt>
                <c:pt idx="1087">
                  <c:v>64.597611744753237</c:v>
                </c:pt>
                <c:pt idx="1088">
                  <c:v>64.57889978134078</c:v>
                </c:pt>
                <c:pt idx="1089">
                  <c:v>64.560187817928337</c:v>
                </c:pt>
                <c:pt idx="1090">
                  <c:v>64.541475854515895</c:v>
                </c:pt>
                <c:pt idx="1091">
                  <c:v>64.522763891103452</c:v>
                </c:pt>
                <c:pt idx="1092">
                  <c:v>64.504051927690995</c:v>
                </c:pt>
                <c:pt idx="1093">
                  <c:v>64.485339964278552</c:v>
                </c:pt>
                <c:pt idx="1094">
                  <c:v>64.466628000866109</c:v>
                </c:pt>
                <c:pt idx="1095">
                  <c:v>64.447916037453666</c:v>
                </c:pt>
                <c:pt idx="1096">
                  <c:v>64.429204074041209</c:v>
                </c:pt>
                <c:pt idx="1097">
                  <c:v>64.410492110628766</c:v>
                </c:pt>
                <c:pt idx="1098">
                  <c:v>64.391780147216323</c:v>
                </c:pt>
                <c:pt idx="1099">
                  <c:v>64.373068183803866</c:v>
                </c:pt>
                <c:pt idx="1100">
                  <c:v>64.354356220391423</c:v>
                </c:pt>
                <c:pt idx="1101">
                  <c:v>64.335644256978981</c:v>
                </c:pt>
                <c:pt idx="1102">
                  <c:v>64.316932293566538</c:v>
                </c:pt>
                <c:pt idx="1103">
                  <c:v>64.298220330154081</c:v>
                </c:pt>
                <c:pt idx="1104">
                  <c:v>64.279508366741638</c:v>
                </c:pt>
                <c:pt idx="1105">
                  <c:v>64.260796403329195</c:v>
                </c:pt>
                <c:pt idx="1106">
                  <c:v>64.242084439916752</c:v>
                </c:pt>
                <c:pt idx="1107">
                  <c:v>64.223372476504295</c:v>
                </c:pt>
                <c:pt idx="1108">
                  <c:v>64.204660513091852</c:v>
                </c:pt>
                <c:pt idx="1109">
                  <c:v>64.185948549679409</c:v>
                </c:pt>
                <c:pt idx="1110">
                  <c:v>64.167236586266966</c:v>
                </c:pt>
                <c:pt idx="1111">
                  <c:v>64.148524622854509</c:v>
                </c:pt>
                <c:pt idx="1112">
                  <c:v>64.129812659442067</c:v>
                </c:pt>
                <c:pt idx="1113">
                  <c:v>64.111100696029624</c:v>
                </c:pt>
                <c:pt idx="1114">
                  <c:v>64.092388732617167</c:v>
                </c:pt>
                <c:pt idx="1115">
                  <c:v>64.073676769204724</c:v>
                </c:pt>
                <c:pt idx="1116">
                  <c:v>64.054964805792281</c:v>
                </c:pt>
                <c:pt idx="1117">
                  <c:v>64.036252842379838</c:v>
                </c:pt>
                <c:pt idx="1118">
                  <c:v>64.017540878967381</c:v>
                </c:pt>
                <c:pt idx="1119">
                  <c:v>63.998828915554938</c:v>
                </c:pt>
                <c:pt idx="1120">
                  <c:v>63.980116952142495</c:v>
                </c:pt>
                <c:pt idx="1121">
                  <c:v>63.961404988730045</c:v>
                </c:pt>
                <c:pt idx="1122">
                  <c:v>63.942693025317595</c:v>
                </c:pt>
                <c:pt idx="1123">
                  <c:v>63.923981061905153</c:v>
                </c:pt>
                <c:pt idx="1124">
                  <c:v>63.905269098492703</c:v>
                </c:pt>
                <c:pt idx="1125">
                  <c:v>63.886557135080253</c:v>
                </c:pt>
                <c:pt idx="1126">
                  <c:v>63.86784517166781</c:v>
                </c:pt>
                <c:pt idx="1127">
                  <c:v>63.849133208255367</c:v>
                </c:pt>
                <c:pt idx="1128">
                  <c:v>63.830421244842917</c:v>
                </c:pt>
                <c:pt idx="1129">
                  <c:v>63.811709281430467</c:v>
                </c:pt>
                <c:pt idx="1130">
                  <c:v>63.792997318018024</c:v>
                </c:pt>
                <c:pt idx="1131">
                  <c:v>63.774285354605581</c:v>
                </c:pt>
                <c:pt idx="1132">
                  <c:v>63.755573391193131</c:v>
                </c:pt>
                <c:pt idx="1133">
                  <c:v>63.736861427780681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C2-45F6-AFEA-595AAA1F5512}"/>
            </c:ext>
          </c:extLst>
        </c:ser>
        <c:ser>
          <c:idx val="3"/>
          <c:order val="3"/>
          <c:tx>
            <c:v>Banda Inferior (-1.5σ)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Análise_À_Vista!$AB$3:$AB$1136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Análise_À_Vista!$AG$3:$AG$1136</c:f>
              <c:numCache>
                <c:formatCode>#,##0.00</c:formatCode>
                <c:ptCount val="1134"/>
                <c:pt idx="0">
                  <c:v>79.634196773277424</c:v>
                </c:pt>
                <c:pt idx="1">
                  <c:v>79.615484809864967</c:v>
                </c:pt>
                <c:pt idx="2">
                  <c:v>79.596772846452524</c:v>
                </c:pt>
                <c:pt idx="3">
                  <c:v>79.578060883040081</c:v>
                </c:pt>
                <c:pt idx="4">
                  <c:v>79.559348919627638</c:v>
                </c:pt>
                <c:pt idx="5">
                  <c:v>79.540636956215181</c:v>
                </c:pt>
                <c:pt idx="6">
                  <c:v>79.521924992802738</c:v>
                </c:pt>
                <c:pt idx="7">
                  <c:v>79.503213029390295</c:v>
                </c:pt>
                <c:pt idx="8">
                  <c:v>79.484501065977852</c:v>
                </c:pt>
                <c:pt idx="9" formatCode="0.00">
                  <c:v>79.465789102565395</c:v>
                </c:pt>
                <c:pt idx="10" formatCode="0.00">
                  <c:v>79.447077139152952</c:v>
                </c:pt>
                <c:pt idx="11" formatCode="0.00">
                  <c:v>79.42836517574051</c:v>
                </c:pt>
                <c:pt idx="12" formatCode="0.00">
                  <c:v>79.409653212328053</c:v>
                </c:pt>
                <c:pt idx="13" formatCode="0.00">
                  <c:v>79.39094124891561</c:v>
                </c:pt>
                <c:pt idx="14" formatCode="0.00">
                  <c:v>79.372229285503167</c:v>
                </c:pt>
                <c:pt idx="15" formatCode="0.00">
                  <c:v>79.353517322090724</c:v>
                </c:pt>
                <c:pt idx="16">
                  <c:v>79.334805358678267</c:v>
                </c:pt>
                <c:pt idx="17">
                  <c:v>79.316093395265824</c:v>
                </c:pt>
                <c:pt idx="18">
                  <c:v>79.297381431853381</c:v>
                </c:pt>
                <c:pt idx="19">
                  <c:v>79.278669468440938</c:v>
                </c:pt>
                <c:pt idx="20">
                  <c:v>79.259957505028481</c:v>
                </c:pt>
                <c:pt idx="21">
                  <c:v>79.241245541616038</c:v>
                </c:pt>
                <c:pt idx="22">
                  <c:v>79.222533578203596</c:v>
                </c:pt>
                <c:pt idx="23">
                  <c:v>79.203821614791138</c:v>
                </c:pt>
                <c:pt idx="24">
                  <c:v>79.185109651378696</c:v>
                </c:pt>
                <c:pt idx="25">
                  <c:v>79.166397687966253</c:v>
                </c:pt>
                <c:pt idx="26">
                  <c:v>79.14768572455381</c:v>
                </c:pt>
                <c:pt idx="27">
                  <c:v>79.128973761141353</c:v>
                </c:pt>
                <c:pt idx="28">
                  <c:v>79.11026179772891</c:v>
                </c:pt>
                <c:pt idx="29">
                  <c:v>79.091549834316467</c:v>
                </c:pt>
                <c:pt idx="30">
                  <c:v>79.072837870904024</c:v>
                </c:pt>
                <c:pt idx="31">
                  <c:v>79.054125907491567</c:v>
                </c:pt>
                <c:pt idx="32">
                  <c:v>79.035413944079124</c:v>
                </c:pt>
                <c:pt idx="33">
                  <c:v>79.016701980666681</c:v>
                </c:pt>
                <c:pt idx="34">
                  <c:v>78.997990017254239</c:v>
                </c:pt>
                <c:pt idx="35">
                  <c:v>78.979278053841782</c:v>
                </c:pt>
                <c:pt idx="36">
                  <c:v>78.960566090429339</c:v>
                </c:pt>
                <c:pt idx="37">
                  <c:v>78.941854127016896</c:v>
                </c:pt>
                <c:pt idx="38">
                  <c:v>78.923142163604439</c:v>
                </c:pt>
                <c:pt idx="39">
                  <c:v>78.904430200191996</c:v>
                </c:pt>
                <c:pt idx="40">
                  <c:v>78.885718236779553</c:v>
                </c:pt>
                <c:pt idx="41">
                  <c:v>78.86700627336711</c:v>
                </c:pt>
                <c:pt idx="42">
                  <c:v>78.848294309954653</c:v>
                </c:pt>
                <c:pt idx="43">
                  <c:v>78.82958234654221</c:v>
                </c:pt>
                <c:pt idx="44">
                  <c:v>78.810870383129767</c:v>
                </c:pt>
                <c:pt idx="45">
                  <c:v>78.792158419717325</c:v>
                </c:pt>
                <c:pt idx="46">
                  <c:v>78.773446456304868</c:v>
                </c:pt>
                <c:pt idx="47">
                  <c:v>78.754734492892425</c:v>
                </c:pt>
                <c:pt idx="48">
                  <c:v>78.736022529479982</c:v>
                </c:pt>
                <c:pt idx="49">
                  <c:v>78.717310566067525</c:v>
                </c:pt>
                <c:pt idx="50">
                  <c:v>78.698598602655082</c:v>
                </c:pt>
                <c:pt idx="51">
                  <c:v>78.679886639242639</c:v>
                </c:pt>
                <c:pt idx="52">
                  <c:v>78.661174675830196</c:v>
                </c:pt>
                <c:pt idx="53">
                  <c:v>78.642462712417739</c:v>
                </c:pt>
                <c:pt idx="54">
                  <c:v>78.623750749005296</c:v>
                </c:pt>
                <c:pt idx="55">
                  <c:v>78.605038785592853</c:v>
                </c:pt>
                <c:pt idx="56">
                  <c:v>78.586326822180411</c:v>
                </c:pt>
                <c:pt idx="57">
                  <c:v>78.567614858767953</c:v>
                </c:pt>
                <c:pt idx="58">
                  <c:v>78.548902895355511</c:v>
                </c:pt>
                <c:pt idx="59">
                  <c:v>78.530190931943068</c:v>
                </c:pt>
                <c:pt idx="60">
                  <c:v>78.511478968530611</c:v>
                </c:pt>
                <c:pt idx="61">
                  <c:v>78.492767005118168</c:v>
                </c:pt>
                <c:pt idx="62">
                  <c:v>78.474055041705725</c:v>
                </c:pt>
                <c:pt idx="63">
                  <c:v>78.455343078293282</c:v>
                </c:pt>
                <c:pt idx="64">
                  <c:v>78.436631114880825</c:v>
                </c:pt>
                <c:pt idx="65">
                  <c:v>78.417919151468382</c:v>
                </c:pt>
                <c:pt idx="66">
                  <c:v>78.399207188055939</c:v>
                </c:pt>
                <c:pt idx="67">
                  <c:v>78.380495224643496</c:v>
                </c:pt>
                <c:pt idx="68">
                  <c:v>78.361783261231039</c:v>
                </c:pt>
                <c:pt idx="69">
                  <c:v>78.343071297818597</c:v>
                </c:pt>
                <c:pt idx="70">
                  <c:v>78.324359334406154</c:v>
                </c:pt>
                <c:pt idx="71">
                  <c:v>78.305647370993697</c:v>
                </c:pt>
                <c:pt idx="72">
                  <c:v>78.286935407581254</c:v>
                </c:pt>
                <c:pt idx="73">
                  <c:v>78.268223444168811</c:v>
                </c:pt>
                <c:pt idx="74">
                  <c:v>78.249511480756368</c:v>
                </c:pt>
                <c:pt idx="75">
                  <c:v>78.230799517343911</c:v>
                </c:pt>
                <c:pt idx="76">
                  <c:v>78.212087553931468</c:v>
                </c:pt>
                <c:pt idx="77">
                  <c:v>78.193375590519025</c:v>
                </c:pt>
                <c:pt idx="78">
                  <c:v>78.174663627106582</c:v>
                </c:pt>
                <c:pt idx="79">
                  <c:v>78.155951663694125</c:v>
                </c:pt>
                <c:pt idx="80">
                  <c:v>78.137239700281683</c:v>
                </c:pt>
                <c:pt idx="81">
                  <c:v>78.11852773686924</c:v>
                </c:pt>
                <c:pt idx="82">
                  <c:v>78.099815773456783</c:v>
                </c:pt>
                <c:pt idx="83">
                  <c:v>78.08110381004434</c:v>
                </c:pt>
                <c:pt idx="84">
                  <c:v>78.062391846631897</c:v>
                </c:pt>
                <c:pt idx="85">
                  <c:v>78.043679883219454</c:v>
                </c:pt>
                <c:pt idx="86">
                  <c:v>78.024967919806997</c:v>
                </c:pt>
                <c:pt idx="87">
                  <c:v>78.006255956394554</c:v>
                </c:pt>
                <c:pt idx="88">
                  <c:v>77.987543992982111</c:v>
                </c:pt>
                <c:pt idx="89">
                  <c:v>77.968832029569668</c:v>
                </c:pt>
                <c:pt idx="90">
                  <c:v>77.950120066157211</c:v>
                </c:pt>
                <c:pt idx="91">
                  <c:v>77.931408102744768</c:v>
                </c:pt>
                <c:pt idx="92">
                  <c:v>77.912696139332326</c:v>
                </c:pt>
                <c:pt idx="93">
                  <c:v>77.893984175919869</c:v>
                </c:pt>
                <c:pt idx="94">
                  <c:v>77.875272212507426</c:v>
                </c:pt>
                <c:pt idx="95">
                  <c:v>77.856560249094983</c:v>
                </c:pt>
                <c:pt idx="96">
                  <c:v>77.83784828568254</c:v>
                </c:pt>
                <c:pt idx="97">
                  <c:v>77.819136322270083</c:v>
                </c:pt>
                <c:pt idx="98">
                  <c:v>77.80042435885764</c:v>
                </c:pt>
                <c:pt idx="99">
                  <c:v>77.781712395445197</c:v>
                </c:pt>
                <c:pt idx="100">
                  <c:v>77.763000432032754</c:v>
                </c:pt>
                <c:pt idx="101">
                  <c:v>77.744288468620297</c:v>
                </c:pt>
                <c:pt idx="102">
                  <c:v>77.725576505207854</c:v>
                </c:pt>
                <c:pt idx="103">
                  <c:v>77.706864541795412</c:v>
                </c:pt>
                <c:pt idx="104">
                  <c:v>77.688152578382955</c:v>
                </c:pt>
                <c:pt idx="105">
                  <c:v>77.669440614970512</c:v>
                </c:pt>
                <c:pt idx="106">
                  <c:v>77.650728651558069</c:v>
                </c:pt>
                <c:pt idx="107">
                  <c:v>77.632016688145626</c:v>
                </c:pt>
                <c:pt idx="108">
                  <c:v>77.613304724733169</c:v>
                </c:pt>
                <c:pt idx="109">
                  <c:v>77.594592761320726</c:v>
                </c:pt>
                <c:pt idx="110">
                  <c:v>77.575880797908283</c:v>
                </c:pt>
                <c:pt idx="111">
                  <c:v>77.55716883449584</c:v>
                </c:pt>
                <c:pt idx="112">
                  <c:v>77.538456871083383</c:v>
                </c:pt>
                <c:pt idx="113">
                  <c:v>77.51974490767094</c:v>
                </c:pt>
                <c:pt idx="114">
                  <c:v>77.501032944258498</c:v>
                </c:pt>
                <c:pt idx="115">
                  <c:v>77.482320980846055</c:v>
                </c:pt>
                <c:pt idx="116">
                  <c:v>77.463609017433598</c:v>
                </c:pt>
                <c:pt idx="117">
                  <c:v>77.444897054021155</c:v>
                </c:pt>
                <c:pt idx="118">
                  <c:v>77.426185090608712</c:v>
                </c:pt>
                <c:pt idx="119">
                  <c:v>77.407473127196255</c:v>
                </c:pt>
                <c:pt idx="120">
                  <c:v>77.388761163783812</c:v>
                </c:pt>
                <c:pt idx="121">
                  <c:v>77.370049200371369</c:v>
                </c:pt>
                <c:pt idx="122">
                  <c:v>77.351337236958926</c:v>
                </c:pt>
                <c:pt idx="123">
                  <c:v>77.332625273546469</c:v>
                </c:pt>
                <c:pt idx="124">
                  <c:v>77.313913310134026</c:v>
                </c:pt>
                <c:pt idx="125">
                  <c:v>77.295201346721583</c:v>
                </c:pt>
                <c:pt idx="126">
                  <c:v>77.276489383309141</c:v>
                </c:pt>
                <c:pt idx="127">
                  <c:v>77.257777419896684</c:v>
                </c:pt>
                <c:pt idx="128">
                  <c:v>77.239065456484241</c:v>
                </c:pt>
                <c:pt idx="129">
                  <c:v>77.220353493071798</c:v>
                </c:pt>
                <c:pt idx="130">
                  <c:v>77.201641529659341</c:v>
                </c:pt>
                <c:pt idx="131">
                  <c:v>77.182929566246898</c:v>
                </c:pt>
                <c:pt idx="132">
                  <c:v>77.164217602834455</c:v>
                </c:pt>
                <c:pt idx="133">
                  <c:v>77.145505639422012</c:v>
                </c:pt>
                <c:pt idx="134">
                  <c:v>77.126793676009555</c:v>
                </c:pt>
                <c:pt idx="135">
                  <c:v>77.108081712597112</c:v>
                </c:pt>
                <c:pt idx="136">
                  <c:v>77.089369749184669</c:v>
                </c:pt>
                <c:pt idx="137">
                  <c:v>77.070657785772227</c:v>
                </c:pt>
                <c:pt idx="138">
                  <c:v>77.05194582235977</c:v>
                </c:pt>
                <c:pt idx="139">
                  <c:v>77.033233858947327</c:v>
                </c:pt>
                <c:pt idx="140">
                  <c:v>77.014521895534884</c:v>
                </c:pt>
                <c:pt idx="141">
                  <c:v>76.995809932122427</c:v>
                </c:pt>
                <c:pt idx="142">
                  <c:v>76.977097968709984</c:v>
                </c:pt>
                <c:pt idx="143">
                  <c:v>76.958386005297541</c:v>
                </c:pt>
                <c:pt idx="144">
                  <c:v>76.939674041885098</c:v>
                </c:pt>
                <c:pt idx="145">
                  <c:v>76.920962078472641</c:v>
                </c:pt>
                <c:pt idx="146">
                  <c:v>76.902250115060198</c:v>
                </c:pt>
                <c:pt idx="147">
                  <c:v>76.883538151647755</c:v>
                </c:pt>
                <c:pt idx="148">
                  <c:v>76.864826188235313</c:v>
                </c:pt>
                <c:pt idx="149">
                  <c:v>76.846114224822855</c:v>
                </c:pt>
                <c:pt idx="150">
                  <c:v>76.827402261410413</c:v>
                </c:pt>
                <c:pt idx="151">
                  <c:v>76.80869029799797</c:v>
                </c:pt>
                <c:pt idx="152">
                  <c:v>76.789978334585513</c:v>
                </c:pt>
                <c:pt idx="153">
                  <c:v>76.77126637117307</c:v>
                </c:pt>
                <c:pt idx="154">
                  <c:v>76.752554407760627</c:v>
                </c:pt>
                <c:pt idx="155">
                  <c:v>76.733842444348184</c:v>
                </c:pt>
                <c:pt idx="156">
                  <c:v>76.715130480935727</c:v>
                </c:pt>
                <c:pt idx="157">
                  <c:v>76.696418517523284</c:v>
                </c:pt>
                <c:pt idx="158">
                  <c:v>76.677706554110841</c:v>
                </c:pt>
                <c:pt idx="159">
                  <c:v>76.658994590698398</c:v>
                </c:pt>
                <c:pt idx="160">
                  <c:v>76.640282627285941</c:v>
                </c:pt>
                <c:pt idx="161">
                  <c:v>76.621570663873499</c:v>
                </c:pt>
                <c:pt idx="162">
                  <c:v>76.602858700461056</c:v>
                </c:pt>
                <c:pt idx="163">
                  <c:v>76.584146737048599</c:v>
                </c:pt>
                <c:pt idx="164">
                  <c:v>76.565434773636156</c:v>
                </c:pt>
                <c:pt idx="165">
                  <c:v>76.546722810223713</c:v>
                </c:pt>
                <c:pt idx="166">
                  <c:v>76.52801084681127</c:v>
                </c:pt>
                <c:pt idx="167">
                  <c:v>76.509298883398813</c:v>
                </c:pt>
                <c:pt idx="168">
                  <c:v>76.49058691998637</c:v>
                </c:pt>
                <c:pt idx="169">
                  <c:v>76.471874956573927</c:v>
                </c:pt>
                <c:pt idx="170">
                  <c:v>76.453162993161484</c:v>
                </c:pt>
                <c:pt idx="171">
                  <c:v>76.434451029749027</c:v>
                </c:pt>
                <c:pt idx="172">
                  <c:v>76.415739066336585</c:v>
                </c:pt>
                <c:pt idx="173">
                  <c:v>76.397027102924142</c:v>
                </c:pt>
                <c:pt idx="174">
                  <c:v>76.378315139511699</c:v>
                </c:pt>
                <c:pt idx="175">
                  <c:v>76.359603176099242</c:v>
                </c:pt>
                <c:pt idx="176">
                  <c:v>76.340891212686799</c:v>
                </c:pt>
                <c:pt idx="177">
                  <c:v>76.322179249274356</c:v>
                </c:pt>
                <c:pt idx="178">
                  <c:v>76.303467285861899</c:v>
                </c:pt>
                <c:pt idx="179">
                  <c:v>76.284755322449456</c:v>
                </c:pt>
                <c:pt idx="180">
                  <c:v>76.266043359037013</c:v>
                </c:pt>
                <c:pt idx="181">
                  <c:v>76.24733139562457</c:v>
                </c:pt>
                <c:pt idx="182">
                  <c:v>76.228619432212113</c:v>
                </c:pt>
                <c:pt idx="183">
                  <c:v>76.20990746879967</c:v>
                </c:pt>
                <c:pt idx="184">
                  <c:v>76.191195505387228</c:v>
                </c:pt>
                <c:pt idx="185">
                  <c:v>76.172483541974771</c:v>
                </c:pt>
                <c:pt idx="186">
                  <c:v>76.153771578562328</c:v>
                </c:pt>
                <c:pt idx="187">
                  <c:v>76.135059615149885</c:v>
                </c:pt>
                <c:pt idx="188">
                  <c:v>76.116347651737442</c:v>
                </c:pt>
                <c:pt idx="189">
                  <c:v>76.097635688324985</c:v>
                </c:pt>
                <c:pt idx="190">
                  <c:v>76.078923724912542</c:v>
                </c:pt>
                <c:pt idx="191">
                  <c:v>76.060211761500099</c:v>
                </c:pt>
                <c:pt idx="192">
                  <c:v>76.041499798087656</c:v>
                </c:pt>
                <c:pt idx="193">
                  <c:v>76.022787834675199</c:v>
                </c:pt>
                <c:pt idx="194">
                  <c:v>76.004075871262756</c:v>
                </c:pt>
                <c:pt idx="195">
                  <c:v>75.985363907850314</c:v>
                </c:pt>
                <c:pt idx="196">
                  <c:v>75.966651944437871</c:v>
                </c:pt>
                <c:pt idx="197">
                  <c:v>75.947939981025414</c:v>
                </c:pt>
                <c:pt idx="198">
                  <c:v>75.929228017612971</c:v>
                </c:pt>
                <c:pt idx="199">
                  <c:v>75.910516054200528</c:v>
                </c:pt>
                <c:pt idx="200">
                  <c:v>75.891804090788071</c:v>
                </c:pt>
                <c:pt idx="201">
                  <c:v>75.873092127375628</c:v>
                </c:pt>
                <c:pt idx="202">
                  <c:v>75.854380163963185</c:v>
                </c:pt>
                <c:pt idx="203">
                  <c:v>75.835668200550742</c:v>
                </c:pt>
                <c:pt idx="204">
                  <c:v>75.816956237138285</c:v>
                </c:pt>
                <c:pt idx="205">
                  <c:v>75.798244273725842</c:v>
                </c:pt>
                <c:pt idx="206">
                  <c:v>75.7795323103134</c:v>
                </c:pt>
                <c:pt idx="207">
                  <c:v>75.760820346900957</c:v>
                </c:pt>
                <c:pt idx="208">
                  <c:v>75.7421083834885</c:v>
                </c:pt>
                <c:pt idx="209">
                  <c:v>75.723396420076057</c:v>
                </c:pt>
                <c:pt idx="210">
                  <c:v>75.704684456663614</c:v>
                </c:pt>
                <c:pt idx="211">
                  <c:v>75.685972493251157</c:v>
                </c:pt>
                <c:pt idx="212">
                  <c:v>75.667260529838714</c:v>
                </c:pt>
                <c:pt idx="213">
                  <c:v>75.648548566426271</c:v>
                </c:pt>
                <c:pt idx="214">
                  <c:v>75.629836603013828</c:v>
                </c:pt>
                <c:pt idx="215">
                  <c:v>75.611124639601371</c:v>
                </c:pt>
                <c:pt idx="216">
                  <c:v>75.592412676188928</c:v>
                </c:pt>
                <c:pt idx="217">
                  <c:v>75.573700712776485</c:v>
                </c:pt>
                <c:pt idx="218">
                  <c:v>75.554988749364043</c:v>
                </c:pt>
                <c:pt idx="219">
                  <c:v>75.536276785951586</c:v>
                </c:pt>
                <c:pt idx="220">
                  <c:v>75.517564822539143</c:v>
                </c:pt>
                <c:pt idx="221">
                  <c:v>75.4988528591267</c:v>
                </c:pt>
                <c:pt idx="222">
                  <c:v>75.480140895714243</c:v>
                </c:pt>
                <c:pt idx="223">
                  <c:v>75.4614289323018</c:v>
                </c:pt>
                <c:pt idx="224">
                  <c:v>75.442716968889357</c:v>
                </c:pt>
                <c:pt idx="225">
                  <c:v>75.424005005476914</c:v>
                </c:pt>
                <c:pt idx="226">
                  <c:v>75.405293042064457</c:v>
                </c:pt>
                <c:pt idx="227">
                  <c:v>75.386581078652014</c:v>
                </c:pt>
                <c:pt idx="228">
                  <c:v>75.367869115239571</c:v>
                </c:pt>
                <c:pt idx="229">
                  <c:v>75.349157151827129</c:v>
                </c:pt>
                <c:pt idx="230">
                  <c:v>75.330445188414672</c:v>
                </c:pt>
                <c:pt idx="231">
                  <c:v>75.311733225002229</c:v>
                </c:pt>
                <c:pt idx="232">
                  <c:v>75.293021261589786</c:v>
                </c:pt>
                <c:pt idx="233">
                  <c:v>75.274309298177343</c:v>
                </c:pt>
                <c:pt idx="234">
                  <c:v>75.255597334764886</c:v>
                </c:pt>
                <c:pt idx="235">
                  <c:v>75.236885371352443</c:v>
                </c:pt>
                <c:pt idx="236">
                  <c:v>75.21817340794</c:v>
                </c:pt>
                <c:pt idx="237">
                  <c:v>75.199461444527543</c:v>
                </c:pt>
                <c:pt idx="238">
                  <c:v>75.1807494811151</c:v>
                </c:pt>
                <c:pt idx="239">
                  <c:v>75.162037517702657</c:v>
                </c:pt>
                <c:pt idx="240">
                  <c:v>75.143325554290215</c:v>
                </c:pt>
                <c:pt idx="241">
                  <c:v>75.124613590877757</c:v>
                </c:pt>
                <c:pt idx="242">
                  <c:v>75.105901627465315</c:v>
                </c:pt>
                <c:pt idx="243">
                  <c:v>75.087189664052872</c:v>
                </c:pt>
                <c:pt idx="244">
                  <c:v>75.068477700640415</c:v>
                </c:pt>
                <c:pt idx="245">
                  <c:v>75.049765737227972</c:v>
                </c:pt>
                <c:pt idx="246">
                  <c:v>75.031053773815529</c:v>
                </c:pt>
                <c:pt idx="247">
                  <c:v>75.012341810403086</c:v>
                </c:pt>
                <c:pt idx="248">
                  <c:v>74.993629846990629</c:v>
                </c:pt>
                <c:pt idx="249">
                  <c:v>74.974917883578186</c:v>
                </c:pt>
                <c:pt idx="250">
                  <c:v>74.956205920165743</c:v>
                </c:pt>
                <c:pt idx="251">
                  <c:v>74.9374939567533</c:v>
                </c:pt>
                <c:pt idx="252">
                  <c:v>74.918781993340843</c:v>
                </c:pt>
                <c:pt idx="253">
                  <c:v>74.900070029928401</c:v>
                </c:pt>
                <c:pt idx="254">
                  <c:v>74.881358066515958</c:v>
                </c:pt>
                <c:pt idx="255">
                  <c:v>74.862646103103515</c:v>
                </c:pt>
                <c:pt idx="256">
                  <c:v>74.843934139691058</c:v>
                </c:pt>
                <c:pt idx="257">
                  <c:v>74.825222176278615</c:v>
                </c:pt>
                <c:pt idx="258">
                  <c:v>74.806510212866172</c:v>
                </c:pt>
                <c:pt idx="259">
                  <c:v>74.787798249453715</c:v>
                </c:pt>
                <c:pt idx="260">
                  <c:v>74.769086286041272</c:v>
                </c:pt>
                <c:pt idx="261">
                  <c:v>74.750374322628829</c:v>
                </c:pt>
                <c:pt idx="262">
                  <c:v>74.731662359216386</c:v>
                </c:pt>
                <c:pt idx="263">
                  <c:v>74.712950395803929</c:v>
                </c:pt>
                <c:pt idx="264">
                  <c:v>74.694238432391487</c:v>
                </c:pt>
                <c:pt idx="265">
                  <c:v>74.675526468979044</c:v>
                </c:pt>
                <c:pt idx="266">
                  <c:v>74.656814505566587</c:v>
                </c:pt>
                <c:pt idx="267">
                  <c:v>74.638102542154144</c:v>
                </c:pt>
                <c:pt idx="268">
                  <c:v>74.619390578741701</c:v>
                </c:pt>
                <c:pt idx="269">
                  <c:v>74.600678615329258</c:v>
                </c:pt>
                <c:pt idx="270">
                  <c:v>74.581966651916801</c:v>
                </c:pt>
                <c:pt idx="271">
                  <c:v>74.563254688504358</c:v>
                </c:pt>
                <c:pt idx="272">
                  <c:v>74.544542725091915</c:v>
                </c:pt>
                <c:pt idx="273">
                  <c:v>74.525830761679472</c:v>
                </c:pt>
                <c:pt idx="274">
                  <c:v>74.507118798267015</c:v>
                </c:pt>
                <c:pt idx="275">
                  <c:v>74.488406834854572</c:v>
                </c:pt>
                <c:pt idx="276">
                  <c:v>74.46969487144213</c:v>
                </c:pt>
                <c:pt idx="277">
                  <c:v>74.450982908029687</c:v>
                </c:pt>
                <c:pt idx="278">
                  <c:v>74.43227094461723</c:v>
                </c:pt>
                <c:pt idx="279">
                  <c:v>74.413558981204787</c:v>
                </c:pt>
                <c:pt idx="280">
                  <c:v>74.394847017792344</c:v>
                </c:pt>
                <c:pt idx="281">
                  <c:v>74.376135054379887</c:v>
                </c:pt>
                <c:pt idx="282">
                  <c:v>74.357423090967444</c:v>
                </c:pt>
                <c:pt idx="283">
                  <c:v>74.338711127555001</c:v>
                </c:pt>
                <c:pt idx="284">
                  <c:v>74.319999164142558</c:v>
                </c:pt>
                <c:pt idx="285">
                  <c:v>74.301287200730101</c:v>
                </c:pt>
                <c:pt idx="286">
                  <c:v>74.282575237317658</c:v>
                </c:pt>
                <c:pt idx="287">
                  <c:v>74.263863273905216</c:v>
                </c:pt>
                <c:pt idx="288">
                  <c:v>74.245151310492773</c:v>
                </c:pt>
                <c:pt idx="289">
                  <c:v>74.226439347080316</c:v>
                </c:pt>
                <c:pt idx="290">
                  <c:v>74.207727383667873</c:v>
                </c:pt>
                <c:pt idx="291">
                  <c:v>74.18901542025543</c:v>
                </c:pt>
                <c:pt idx="292">
                  <c:v>74.170303456842973</c:v>
                </c:pt>
                <c:pt idx="293">
                  <c:v>74.15159149343053</c:v>
                </c:pt>
                <c:pt idx="294">
                  <c:v>74.132879530018087</c:v>
                </c:pt>
                <c:pt idx="295">
                  <c:v>74.114167566605644</c:v>
                </c:pt>
                <c:pt idx="296">
                  <c:v>74.095455603193187</c:v>
                </c:pt>
                <c:pt idx="297">
                  <c:v>74.076743639780744</c:v>
                </c:pt>
                <c:pt idx="298">
                  <c:v>74.058031676368302</c:v>
                </c:pt>
                <c:pt idx="299">
                  <c:v>74.039319712955859</c:v>
                </c:pt>
                <c:pt idx="300">
                  <c:v>74.020607749543402</c:v>
                </c:pt>
                <c:pt idx="301">
                  <c:v>74.001895786130959</c:v>
                </c:pt>
                <c:pt idx="302">
                  <c:v>73.983183822718516</c:v>
                </c:pt>
                <c:pt idx="303">
                  <c:v>73.964471859306059</c:v>
                </c:pt>
                <c:pt idx="304">
                  <c:v>73.945759895893616</c:v>
                </c:pt>
                <c:pt idx="305">
                  <c:v>73.927047932481173</c:v>
                </c:pt>
                <c:pt idx="306">
                  <c:v>73.90833596906873</c:v>
                </c:pt>
                <c:pt idx="307">
                  <c:v>73.889624005656273</c:v>
                </c:pt>
                <c:pt idx="308">
                  <c:v>73.87091204224383</c:v>
                </c:pt>
                <c:pt idx="309">
                  <c:v>73.852200078831387</c:v>
                </c:pt>
                <c:pt idx="310">
                  <c:v>73.833488115418945</c:v>
                </c:pt>
                <c:pt idx="311">
                  <c:v>73.814776152006488</c:v>
                </c:pt>
                <c:pt idx="312">
                  <c:v>73.796064188594045</c:v>
                </c:pt>
                <c:pt idx="313">
                  <c:v>73.777352225181602</c:v>
                </c:pt>
                <c:pt idx="314">
                  <c:v>73.758640261769159</c:v>
                </c:pt>
                <c:pt idx="315">
                  <c:v>73.739928298356702</c:v>
                </c:pt>
                <c:pt idx="316">
                  <c:v>73.721216334944259</c:v>
                </c:pt>
                <c:pt idx="317">
                  <c:v>73.702504371531816</c:v>
                </c:pt>
                <c:pt idx="318">
                  <c:v>73.683792408119359</c:v>
                </c:pt>
                <c:pt idx="319">
                  <c:v>73.665080444706916</c:v>
                </c:pt>
                <c:pt idx="320">
                  <c:v>73.646368481294473</c:v>
                </c:pt>
                <c:pt idx="321">
                  <c:v>73.627656517882031</c:v>
                </c:pt>
                <c:pt idx="322">
                  <c:v>73.608944554469574</c:v>
                </c:pt>
                <c:pt idx="323">
                  <c:v>73.590232591057131</c:v>
                </c:pt>
                <c:pt idx="324">
                  <c:v>73.571520627644688</c:v>
                </c:pt>
                <c:pt idx="325">
                  <c:v>73.552808664232231</c:v>
                </c:pt>
                <c:pt idx="326">
                  <c:v>73.534096700819788</c:v>
                </c:pt>
                <c:pt idx="327">
                  <c:v>73.515384737407345</c:v>
                </c:pt>
                <c:pt idx="328">
                  <c:v>73.496672773994902</c:v>
                </c:pt>
                <c:pt idx="329">
                  <c:v>73.477960810582445</c:v>
                </c:pt>
                <c:pt idx="330">
                  <c:v>73.459248847170002</c:v>
                </c:pt>
                <c:pt idx="331">
                  <c:v>73.440536883757559</c:v>
                </c:pt>
                <c:pt idx="332">
                  <c:v>73.421824920345117</c:v>
                </c:pt>
                <c:pt idx="333">
                  <c:v>73.403112956932659</c:v>
                </c:pt>
                <c:pt idx="334">
                  <c:v>73.384400993520217</c:v>
                </c:pt>
                <c:pt idx="335">
                  <c:v>73.365689030107774</c:v>
                </c:pt>
                <c:pt idx="336">
                  <c:v>73.346977066695331</c:v>
                </c:pt>
                <c:pt idx="337">
                  <c:v>73.328265103282874</c:v>
                </c:pt>
                <c:pt idx="338">
                  <c:v>73.309553139870431</c:v>
                </c:pt>
                <c:pt idx="339">
                  <c:v>73.290841176457988</c:v>
                </c:pt>
                <c:pt idx="340">
                  <c:v>73.272129213045531</c:v>
                </c:pt>
                <c:pt idx="341">
                  <c:v>73.253417249633088</c:v>
                </c:pt>
                <c:pt idx="342">
                  <c:v>73.234705286220645</c:v>
                </c:pt>
                <c:pt idx="343">
                  <c:v>73.215993322808202</c:v>
                </c:pt>
                <c:pt idx="344">
                  <c:v>73.197281359395745</c:v>
                </c:pt>
                <c:pt idx="345">
                  <c:v>73.178569395983303</c:v>
                </c:pt>
                <c:pt idx="346">
                  <c:v>73.15985743257086</c:v>
                </c:pt>
                <c:pt idx="347">
                  <c:v>73.141145469158403</c:v>
                </c:pt>
                <c:pt idx="348">
                  <c:v>73.12243350574596</c:v>
                </c:pt>
                <c:pt idx="349">
                  <c:v>73.103721542333517</c:v>
                </c:pt>
                <c:pt idx="350">
                  <c:v>73.085009578921074</c:v>
                </c:pt>
                <c:pt idx="351">
                  <c:v>73.066297615508617</c:v>
                </c:pt>
                <c:pt idx="352">
                  <c:v>73.047585652096174</c:v>
                </c:pt>
                <c:pt idx="353">
                  <c:v>73.028873688683731</c:v>
                </c:pt>
                <c:pt idx="354">
                  <c:v>73.010161725271288</c:v>
                </c:pt>
                <c:pt idx="355">
                  <c:v>72.991449761858831</c:v>
                </c:pt>
                <c:pt idx="356">
                  <c:v>72.972737798446389</c:v>
                </c:pt>
                <c:pt idx="357">
                  <c:v>72.954025835033946</c:v>
                </c:pt>
                <c:pt idx="358">
                  <c:v>72.935313871621503</c:v>
                </c:pt>
                <c:pt idx="359">
                  <c:v>72.916601908209046</c:v>
                </c:pt>
                <c:pt idx="360">
                  <c:v>72.897889944796603</c:v>
                </c:pt>
                <c:pt idx="361">
                  <c:v>72.87917798138416</c:v>
                </c:pt>
                <c:pt idx="362">
                  <c:v>72.860466017971703</c:v>
                </c:pt>
                <c:pt idx="363">
                  <c:v>72.84175405455926</c:v>
                </c:pt>
                <c:pt idx="364">
                  <c:v>72.823042091146817</c:v>
                </c:pt>
                <c:pt idx="365">
                  <c:v>72.804330127734374</c:v>
                </c:pt>
                <c:pt idx="366">
                  <c:v>72.785618164321917</c:v>
                </c:pt>
                <c:pt idx="367">
                  <c:v>72.766906200909474</c:v>
                </c:pt>
                <c:pt idx="368">
                  <c:v>72.748194237497032</c:v>
                </c:pt>
                <c:pt idx="369">
                  <c:v>72.729482274084589</c:v>
                </c:pt>
                <c:pt idx="370">
                  <c:v>72.710770310672132</c:v>
                </c:pt>
                <c:pt idx="371">
                  <c:v>72.692058347259689</c:v>
                </c:pt>
                <c:pt idx="372">
                  <c:v>72.673346383847246</c:v>
                </c:pt>
                <c:pt idx="373">
                  <c:v>72.654634420434789</c:v>
                </c:pt>
                <c:pt idx="374">
                  <c:v>72.635922457022346</c:v>
                </c:pt>
                <c:pt idx="375">
                  <c:v>72.617210493609903</c:v>
                </c:pt>
                <c:pt idx="376">
                  <c:v>72.59849853019746</c:v>
                </c:pt>
                <c:pt idx="377">
                  <c:v>72.579786566785003</c:v>
                </c:pt>
                <c:pt idx="378">
                  <c:v>72.56107460337256</c:v>
                </c:pt>
                <c:pt idx="379">
                  <c:v>72.542362639960118</c:v>
                </c:pt>
                <c:pt idx="380">
                  <c:v>72.523650676547675</c:v>
                </c:pt>
                <c:pt idx="381">
                  <c:v>72.504938713135218</c:v>
                </c:pt>
                <c:pt idx="382">
                  <c:v>72.486226749722775</c:v>
                </c:pt>
                <c:pt idx="383">
                  <c:v>72.467514786310332</c:v>
                </c:pt>
                <c:pt idx="384">
                  <c:v>72.448802822897875</c:v>
                </c:pt>
                <c:pt idx="385">
                  <c:v>72.430090859485432</c:v>
                </c:pt>
                <c:pt idx="386">
                  <c:v>72.411378896072989</c:v>
                </c:pt>
                <c:pt idx="387">
                  <c:v>72.392666932660546</c:v>
                </c:pt>
                <c:pt idx="388">
                  <c:v>72.373954969248089</c:v>
                </c:pt>
                <c:pt idx="389">
                  <c:v>72.355243005835646</c:v>
                </c:pt>
                <c:pt idx="390">
                  <c:v>72.336531042423204</c:v>
                </c:pt>
                <c:pt idx="391">
                  <c:v>72.317819079010761</c:v>
                </c:pt>
                <c:pt idx="392">
                  <c:v>72.299107115598304</c:v>
                </c:pt>
                <c:pt idx="393">
                  <c:v>72.280395152185861</c:v>
                </c:pt>
                <c:pt idx="394">
                  <c:v>72.261683188773418</c:v>
                </c:pt>
                <c:pt idx="395">
                  <c:v>72.242971225360975</c:v>
                </c:pt>
                <c:pt idx="396">
                  <c:v>72.224259261948518</c:v>
                </c:pt>
                <c:pt idx="397">
                  <c:v>72.205547298536075</c:v>
                </c:pt>
                <c:pt idx="398">
                  <c:v>72.186835335123632</c:v>
                </c:pt>
                <c:pt idx="399">
                  <c:v>72.168123371711175</c:v>
                </c:pt>
                <c:pt idx="400">
                  <c:v>72.149411408298732</c:v>
                </c:pt>
                <c:pt idx="401">
                  <c:v>72.130699444886289</c:v>
                </c:pt>
                <c:pt idx="402">
                  <c:v>72.111987481473847</c:v>
                </c:pt>
                <c:pt idx="403">
                  <c:v>72.09327551806139</c:v>
                </c:pt>
                <c:pt idx="404">
                  <c:v>72.074563554648947</c:v>
                </c:pt>
                <c:pt idx="405">
                  <c:v>72.055851591236504</c:v>
                </c:pt>
                <c:pt idx="406">
                  <c:v>72.037139627824047</c:v>
                </c:pt>
                <c:pt idx="407">
                  <c:v>72.018427664411604</c:v>
                </c:pt>
                <c:pt idx="408">
                  <c:v>71.999715700999161</c:v>
                </c:pt>
                <c:pt idx="409">
                  <c:v>71.981003737586718</c:v>
                </c:pt>
                <c:pt idx="410">
                  <c:v>71.962291774174261</c:v>
                </c:pt>
                <c:pt idx="411">
                  <c:v>71.943579810761818</c:v>
                </c:pt>
                <c:pt idx="412">
                  <c:v>71.924867847349375</c:v>
                </c:pt>
                <c:pt idx="413">
                  <c:v>71.906155883936933</c:v>
                </c:pt>
                <c:pt idx="414">
                  <c:v>71.887443920524476</c:v>
                </c:pt>
                <c:pt idx="415">
                  <c:v>71.868731957112033</c:v>
                </c:pt>
                <c:pt idx="416">
                  <c:v>71.85001999369959</c:v>
                </c:pt>
                <c:pt idx="417">
                  <c:v>71.831308030287147</c:v>
                </c:pt>
                <c:pt idx="418">
                  <c:v>71.81259606687469</c:v>
                </c:pt>
                <c:pt idx="419">
                  <c:v>71.793884103462247</c:v>
                </c:pt>
                <c:pt idx="420">
                  <c:v>71.775172140049804</c:v>
                </c:pt>
                <c:pt idx="421">
                  <c:v>71.756460176637347</c:v>
                </c:pt>
                <c:pt idx="422">
                  <c:v>71.737748213224904</c:v>
                </c:pt>
                <c:pt idx="423">
                  <c:v>71.719036249812461</c:v>
                </c:pt>
                <c:pt idx="424">
                  <c:v>71.700324286400019</c:v>
                </c:pt>
                <c:pt idx="425">
                  <c:v>71.681612322987561</c:v>
                </c:pt>
                <c:pt idx="426">
                  <c:v>71.662900359575119</c:v>
                </c:pt>
                <c:pt idx="427">
                  <c:v>71.644188396162676</c:v>
                </c:pt>
                <c:pt idx="428">
                  <c:v>71.625476432750219</c:v>
                </c:pt>
                <c:pt idx="429">
                  <c:v>71.606764469337776</c:v>
                </c:pt>
                <c:pt idx="430">
                  <c:v>71.588052505925333</c:v>
                </c:pt>
                <c:pt idx="431">
                  <c:v>71.56934054251289</c:v>
                </c:pt>
                <c:pt idx="432">
                  <c:v>71.550628579100447</c:v>
                </c:pt>
                <c:pt idx="433">
                  <c:v>71.53191661568799</c:v>
                </c:pt>
                <c:pt idx="434">
                  <c:v>71.513204652275547</c:v>
                </c:pt>
                <c:pt idx="435">
                  <c:v>71.494492688863104</c:v>
                </c:pt>
                <c:pt idx="436">
                  <c:v>71.475780725450647</c:v>
                </c:pt>
                <c:pt idx="437">
                  <c:v>71.457068762038205</c:v>
                </c:pt>
                <c:pt idx="438">
                  <c:v>71.438356798625762</c:v>
                </c:pt>
                <c:pt idx="439">
                  <c:v>71.419644835213319</c:v>
                </c:pt>
                <c:pt idx="440">
                  <c:v>71.400932871800862</c:v>
                </c:pt>
                <c:pt idx="441">
                  <c:v>71.382220908388419</c:v>
                </c:pt>
                <c:pt idx="442">
                  <c:v>71.363508944975976</c:v>
                </c:pt>
                <c:pt idx="443">
                  <c:v>71.344796981563519</c:v>
                </c:pt>
                <c:pt idx="444">
                  <c:v>71.326085018151076</c:v>
                </c:pt>
                <c:pt idx="445">
                  <c:v>71.307373054738633</c:v>
                </c:pt>
                <c:pt idx="446">
                  <c:v>71.28866109132619</c:v>
                </c:pt>
                <c:pt idx="447">
                  <c:v>71.269949127913733</c:v>
                </c:pt>
                <c:pt idx="448">
                  <c:v>71.251237164501291</c:v>
                </c:pt>
                <c:pt idx="449">
                  <c:v>71.232525201088848</c:v>
                </c:pt>
                <c:pt idx="450">
                  <c:v>71.213813237676391</c:v>
                </c:pt>
                <c:pt idx="451">
                  <c:v>71.195101274263948</c:v>
                </c:pt>
                <c:pt idx="452">
                  <c:v>71.176389310851505</c:v>
                </c:pt>
                <c:pt idx="453">
                  <c:v>71.157677347439062</c:v>
                </c:pt>
                <c:pt idx="454">
                  <c:v>71.138965384026619</c:v>
                </c:pt>
                <c:pt idx="455">
                  <c:v>71.120253420614162</c:v>
                </c:pt>
                <c:pt idx="456">
                  <c:v>71.101541457201719</c:v>
                </c:pt>
                <c:pt idx="457">
                  <c:v>71.082829493789276</c:v>
                </c:pt>
                <c:pt idx="458">
                  <c:v>71.064117530376819</c:v>
                </c:pt>
                <c:pt idx="459">
                  <c:v>71.045405566964376</c:v>
                </c:pt>
                <c:pt idx="460">
                  <c:v>71.026693603551934</c:v>
                </c:pt>
                <c:pt idx="461">
                  <c:v>71.007981640139491</c:v>
                </c:pt>
                <c:pt idx="462">
                  <c:v>70.989269676727034</c:v>
                </c:pt>
                <c:pt idx="463">
                  <c:v>70.970557713314591</c:v>
                </c:pt>
                <c:pt idx="464">
                  <c:v>70.951845749902148</c:v>
                </c:pt>
                <c:pt idx="465">
                  <c:v>70.933133786489691</c:v>
                </c:pt>
                <c:pt idx="466">
                  <c:v>70.914421823077248</c:v>
                </c:pt>
                <c:pt idx="467">
                  <c:v>70.895709859664805</c:v>
                </c:pt>
                <c:pt idx="468">
                  <c:v>70.876997896252362</c:v>
                </c:pt>
                <c:pt idx="469">
                  <c:v>70.858285932839905</c:v>
                </c:pt>
                <c:pt idx="470">
                  <c:v>70.839573969427462</c:v>
                </c:pt>
                <c:pt idx="471">
                  <c:v>70.82086200601502</c:v>
                </c:pt>
                <c:pt idx="472">
                  <c:v>70.802150042602577</c:v>
                </c:pt>
                <c:pt idx="473">
                  <c:v>70.78343807919012</c:v>
                </c:pt>
                <c:pt idx="474">
                  <c:v>70.764726115777677</c:v>
                </c:pt>
                <c:pt idx="475">
                  <c:v>70.746014152365234</c:v>
                </c:pt>
                <c:pt idx="476">
                  <c:v>70.727302188952791</c:v>
                </c:pt>
                <c:pt idx="477">
                  <c:v>70.708590225540334</c:v>
                </c:pt>
                <c:pt idx="478">
                  <c:v>70.689878262127891</c:v>
                </c:pt>
                <c:pt idx="479">
                  <c:v>70.671166298715448</c:v>
                </c:pt>
                <c:pt idx="480">
                  <c:v>70.652454335302991</c:v>
                </c:pt>
                <c:pt idx="481">
                  <c:v>70.633742371890548</c:v>
                </c:pt>
                <c:pt idx="482">
                  <c:v>70.615030408478106</c:v>
                </c:pt>
                <c:pt idx="483">
                  <c:v>70.596318445065663</c:v>
                </c:pt>
                <c:pt idx="484">
                  <c:v>70.577606481653206</c:v>
                </c:pt>
                <c:pt idx="485">
                  <c:v>70.558894518240763</c:v>
                </c:pt>
                <c:pt idx="486">
                  <c:v>70.54018255482832</c:v>
                </c:pt>
                <c:pt idx="487">
                  <c:v>70.521470591415863</c:v>
                </c:pt>
                <c:pt idx="488">
                  <c:v>70.50275862800342</c:v>
                </c:pt>
                <c:pt idx="489">
                  <c:v>70.484046664590977</c:v>
                </c:pt>
                <c:pt idx="490">
                  <c:v>70.465334701178534</c:v>
                </c:pt>
                <c:pt idx="491">
                  <c:v>70.446622737766077</c:v>
                </c:pt>
                <c:pt idx="492">
                  <c:v>70.427910774353634</c:v>
                </c:pt>
                <c:pt idx="493">
                  <c:v>70.409198810941191</c:v>
                </c:pt>
                <c:pt idx="494">
                  <c:v>70.390486847528749</c:v>
                </c:pt>
                <c:pt idx="495">
                  <c:v>70.371774884116292</c:v>
                </c:pt>
                <c:pt idx="496">
                  <c:v>70.353062920703849</c:v>
                </c:pt>
                <c:pt idx="497">
                  <c:v>70.334350957291406</c:v>
                </c:pt>
                <c:pt idx="498">
                  <c:v>70.315638993878963</c:v>
                </c:pt>
                <c:pt idx="499">
                  <c:v>70.296927030466506</c:v>
                </c:pt>
                <c:pt idx="500">
                  <c:v>70.278215067054063</c:v>
                </c:pt>
                <c:pt idx="501">
                  <c:v>70.25950310364162</c:v>
                </c:pt>
                <c:pt idx="502">
                  <c:v>70.240791140229163</c:v>
                </c:pt>
                <c:pt idx="503">
                  <c:v>70.22207917681672</c:v>
                </c:pt>
                <c:pt idx="504">
                  <c:v>70.203367213404277</c:v>
                </c:pt>
                <c:pt idx="505">
                  <c:v>70.184655249991835</c:v>
                </c:pt>
                <c:pt idx="506">
                  <c:v>70.165943286579378</c:v>
                </c:pt>
                <c:pt idx="507">
                  <c:v>70.147231323166935</c:v>
                </c:pt>
                <c:pt idx="508">
                  <c:v>70.128519359754492</c:v>
                </c:pt>
                <c:pt idx="509">
                  <c:v>70.109807396342035</c:v>
                </c:pt>
                <c:pt idx="510">
                  <c:v>70.091095432929592</c:v>
                </c:pt>
                <c:pt idx="511">
                  <c:v>70.072383469517149</c:v>
                </c:pt>
                <c:pt idx="512">
                  <c:v>70.053671506104706</c:v>
                </c:pt>
                <c:pt idx="513">
                  <c:v>70.034959542692263</c:v>
                </c:pt>
                <c:pt idx="514">
                  <c:v>70.016247579279806</c:v>
                </c:pt>
                <c:pt idx="515">
                  <c:v>69.997535615867363</c:v>
                </c:pt>
                <c:pt idx="516">
                  <c:v>69.978823652454921</c:v>
                </c:pt>
                <c:pt idx="517">
                  <c:v>69.960111689042463</c:v>
                </c:pt>
                <c:pt idx="518">
                  <c:v>69.941399725630021</c:v>
                </c:pt>
                <c:pt idx="519">
                  <c:v>69.922687762217578</c:v>
                </c:pt>
                <c:pt idx="520">
                  <c:v>69.903975798805135</c:v>
                </c:pt>
                <c:pt idx="521">
                  <c:v>69.885263835392678</c:v>
                </c:pt>
                <c:pt idx="522">
                  <c:v>69.866551871980235</c:v>
                </c:pt>
                <c:pt idx="523">
                  <c:v>69.847839908567792</c:v>
                </c:pt>
                <c:pt idx="524">
                  <c:v>69.829127945155335</c:v>
                </c:pt>
                <c:pt idx="525">
                  <c:v>69.810415981742892</c:v>
                </c:pt>
                <c:pt idx="526">
                  <c:v>69.791704018330449</c:v>
                </c:pt>
                <c:pt idx="527">
                  <c:v>69.772992054918006</c:v>
                </c:pt>
                <c:pt idx="528">
                  <c:v>69.754280091505549</c:v>
                </c:pt>
                <c:pt idx="529">
                  <c:v>69.735568128093107</c:v>
                </c:pt>
                <c:pt idx="530">
                  <c:v>69.716856164680664</c:v>
                </c:pt>
                <c:pt idx="531">
                  <c:v>69.698144201268221</c:v>
                </c:pt>
                <c:pt idx="532">
                  <c:v>69.679432237855764</c:v>
                </c:pt>
                <c:pt idx="533">
                  <c:v>69.660720274443321</c:v>
                </c:pt>
                <c:pt idx="534">
                  <c:v>69.642008311030878</c:v>
                </c:pt>
                <c:pt idx="535">
                  <c:v>69.623296347618435</c:v>
                </c:pt>
                <c:pt idx="536">
                  <c:v>69.604584384205978</c:v>
                </c:pt>
                <c:pt idx="537">
                  <c:v>69.585872420793535</c:v>
                </c:pt>
                <c:pt idx="538">
                  <c:v>69.567160457381092</c:v>
                </c:pt>
                <c:pt idx="539">
                  <c:v>69.548448493968635</c:v>
                </c:pt>
                <c:pt idx="540">
                  <c:v>69.529736530556193</c:v>
                </c:pt>
                <c:pt idx="541">
                  <c:v>69.51102456714375</c:v>
                </c:pt>
                <c:pt idx="542">
                  <c:v>69.492312603731307</c:v>
                </c:pt>
                <c:pt idx="543">
                  <c:v>69.47360064031885</c:v>
                </c:pt>
                <c:pt idx="544">
                  <c:v>69.454888676906407</c:v>
                </c:pt>
                <c:pt idx="545">
                  <c:v>69.436176713493964</c:v>
                </c:pt>
                <c:pt idx="546">
                  <c:v>69.417464750081507</c:v>
                </c:pt>
                <c:pt idx="547">
                  <c:v>69.398752786669064</c:v>
                </c:pt>
                <c:pt idx="548">
                  <c:v>69.380040823256621</c:v>
                </c:pt>
                <c:pt idx="549">
                  <c:v>69.361328859844178</c:v>
                </c:pt>
                <c:pt idx="550">
                  <c:v>69.342616896431721</c:v>
                </c:pt>
                <c:pt idx="551">
                  <c:v>69.323904933019278</c:v>
                </c:pt>
                <c:pt idx="552">
                  <c:v>69.305192969606836</c:v>
                </c:pt>
                <c:pt idx="553">
                  <c:v>69.286481006194393</c:v>
                </c:pt>
                <c:pt idx="554">
                  <c:v>69.267769042781936</c:v>
                </c:pt>
                <c:pt idx="555">
                  <c:v>69.249057079369493</c:v>
                </c:pt>
                <c:pt idx="556">
                  <c:v>69.23034511595705</c:v>
                </c:pt>
                <c:pt idx="557">
                  <c:v>69.211633152544607</c:v>
                </c:pt>
                <c:pt idx="558">
                  <c:v>69.19292118913215</c:v>
                </c:pt>
                <c:pt idx="559">
                  <c:v>69.174209225719707</c:v>
                </c:pt>
                <c:pt idx="560">
                  <c:v>69.155497262307264</c:v>
                </c:pt>
                <c:pt idx="561">
                  <c:v>69.136785298894807</c:v>
                </c:pt>
                <c:pt idx="562">
                  <c:v>69.118073335482364</c:v>
                </c:pt>
                <c:pt idx="563">
                  <c:v>69.099361372069922</c:v>
                </c:pt>
                <c:pt idx="564">
                  <c:v>69.080649408657479</c:v>
                </c:pt>
                <c:pt idx="565">
                  <c:v>69.061937445245022</c:v>
                </c:pt>
                <c:pt idx="566">
                  <c:v>69.043225481832579</c:v>
                </c:pt>
                <c:pt idx="567">
                  <c:v>69.024513518420136</c:v>
                </c:pt>
                <c:pt idx="568">
                  <c:v>69.005801555007679</c:v>
                </c:pt>
                <c:pt idx="569">
                  <c:v>68.987089591595236</c:v>
                </c:pt>
                <c:pt idx="570">
                  <c:v>68.968377628182793</c:v>
                </c:pt>
                <c:pt idx="571">
                  <c:v>68.94966566477035</c:v>
                </c:pt>
                <c:pt idx="572">
                  <c:v>68.930953701357907</c:v>
                </c:pt>
                <c:pt idx="573">
                  <c:v>68.91224173794545</c:v>
                </c:pt>
                <c:pt idx="574">
                  <c:v>68.893529774533008</c:v>
                </c:pt>
                <c:pt idx="575">
                  <c:v>68.874817811120565</c:v>
                </c:pt>
                <c:pt idx="576">
                  <c:v>68.856105847708108</c:v>
                </c:pt>
                <c:pt idx="577">
                  <c:v>68.837393884295665</c:v>
                </c:pt>
                <c:pt idx="578">
                  <c:v>68.818681920883222</c:v>
                </c:pt>
                <c:pt idx="579">
                  <c:v>68.799969957470779</c:v>
                </c:pt>
                <c:pt idx="580">
                  <c:v>68.781257994058322</c:v>
                </c:pt>
                <c:pt idx="581">
                  <c:v>68.762546030645879</c:v>
                </c:pt>
                <c:pt idx="582">
                  <c:v>68.743834067233436</c:v>
                </c:pt>
                <c:pt idx="583">
                  <c:v>68.725122103820979</c:v>
                </c:pt>
                <c:pt idx="584">
                  <c:v>68.706410140408536</c:v>
                </c:pt>
                <c:pt idx="585">
                  <c:v>68.687698176996093</c:v>
                </c:pt>
                <c:pt idx="586">
                  <c:v>68.668986213583651</c:v>
                </c:pt>
                <c:pt idx="587">
                  <c:v>68.650274250171194</c:v>
                </c:pt>
                <c:pt idx="588">
                  <c:v>68.631562286758751</c:v>
                </c:pt>
                <c:pt idx="589">
                  <c:v>68.612850323346308</c:v>
                </c:pt>
                <c:pt idx="590">
                  <c:v>68.594138359933851</c:v>
                </c:pt>
                <c:pt idx="591">
                  <c:v>68.575426396521408</c:v>
                </c:pt>
                <c:pt idx="592">
                  <c:v>68.556714433108965</c:v>
                </c:pt>
                <c:pt idx="593">
                  <c:v>68.538002469696522</c:v>
                </c:pt>
                <c:pt idx="594">
                  <c:v>68.519290506284079</c:v>
                </c:pt>
                <c:pt idx="595">
                  <c:v>68.500578542871622</c:v>
                </c:pt>
                <c:pt idx="596">
                  <c:v>68.481866579459179</c:v>
                </c:pt>
                <c:pt idx="597">
                  <c:v>68.463154616046737</c:v>
                </c:pt>
                <c:pt idx="598">
                  <c:v>68.44444265263428</c:v>
                </c:pt>
                <c:pt idx="599">
                  <c:v>68.425730689221837</c:v>
                </c:pt>
                <c:pt idx="600">
                  <c:v>68.407018725809394</c:v>
                </c:pt>
                <c:pt idx="601">
                  <c:v>68.388306762396951</c:v>
                </c:pt>
                <c:pt idx="602">
                  <c:v>68.369594798984494</c:v>
                </c:pt>
                <c:pt idx="603">
                  <c:v>68.350882835572051</c:v>
                </c:pt>
                <c:pt idx="604">
                  <c:v>68.332170872159608</c:v>
                </c:pt>
                <c:pt idx="605">
                  <c:v>68.313458908747151</c:v>
                </c:pt>
                <c:pt idx="606">
                  <c:v>68.294746945334708</c:v>
                </c:pt>
                <c:pt idx="607">
                  <c:v>68.276034981922265</c:v>
                </c:pt>
                <c:pt idx="608">
                  <c:v>68.257323018509823</c:v>
                </c:pt>
                <c:pt idx="609">
                  <c:v>68.238611055097365</c:v>
                </c:pt>
                <c:pt idx="610">
                  <c:v>68.219899091684923</c:v>
                </c:pt>
                <c:pt idx="611">
                  <c:v>68.20118712827248</c:v>
                </c:pt>
                <c:pt idx="612">
                  <c:v>68.182475164860037</c:v>
                </c:pt>
                <c:pt idx="613">
                  <c:v>68.16376320144758</c:v>
                </c:pt>
                <c:pt idx="614">
                  <c:v>68.145051238035137</c:v>
                </c:pt>
                <c:pt idx="615">
                  <c:v>68.126339274622694</c:v>
                </c:pt>
                <c:pt idx="616">
                  <c:v>68.107627311210251</c:v>
                </c:pt>
                <c:pt idx="617">
                  <c:v>68.088915347797794</c:v>
                </c:pt>
                <c:pt idx="618">
                  <c:v>68.070203384385351</c:v>
                </c:pt>
                <c:pt idx="619">
                  <c:v>68.051491420972908</c:v>
                </c:pt>
                <c:pt idx="620">
                  <c:v>68.032779457560451</c:v>
                </c:pt>
                <c:pt idx="621">
                  <c:v>68.014067494148009</c:v>
                </c:pt>
                <c:pt idx="622">
                  <c:v>67.995355530735566</c:v>
                </c:pt>
                <c:pt idx="623">
                  <c:v>67.976643567323123</c:v>
                </c:pt>
                <c:pt idx="624">
                  <c:v>67.957931603910666</c:v>
                </c:pt>
                <c:pt idx="625">
                  <c:v>67.939219640498223</c:v>
                </c:pt>
                <c:pt idx="626">
                  <c:v>67.92050767708578</c:v>
                </c:pt>
                <c:pt idx="627">
                  <c:v>67.901795713673323</c:v>
                </c:pt>
                <c:pt idx="628">
                  <c:v>67.88308375026088</c:v>
                </c:pt>
                <c:pt idx="629">
                  <c:v>67.864371786848437</c:v>
                </c:pt>
                <c:pt idx="630">
                  <c:v>67.845659823435994</c:v>
                </c:pt>
                <c:pt idx="631">
                  <c:v>67.826947860023537</c:v>
                </c:pt>
                <c:pt idx="632">
                  <c:v>67.808235896611095</c:v>
                </c:pt>
                <c:pt idx="633">
                  <c:v>67.789523933198652</c:v>
                </c:pt>
                <c:pt idx="634">
                  <c:v>67.770811969786209</c:v>
                </c:pt>
                <c:pt idx="635">
                  <c:v>67.752100006373752</c:v>
                </c:pt>
                <c:pt idx="636">
                  <c:v>67.733388042961309</c:v>
                </c:pt>
                <c:pt idx="637">
                  <c:v>67.714676079548866</c:v>
                </c:pt>
                <c:pt idx="638">
                  <c:v>67.695964116136423</c:v>
                </c:pt>
                <c:pt idx="639">
                  <c:v>67.677252152723966</c:v>
                </c:pt>
                <c:pt idx="640">
                  <c:v>67.658540189311523</c:v>
                </c:pt>
                <c:pt idx="641">
                  <c:v>67.63982822589908</c:v>
                </c:pt>
                <c:pt idx="642">
                  <c:v>67.621116262486623</c:v>
                </c:pt>
                <c:pt idx="643">
                  <c:v>67.60240429907418</c:v>
                </c:pt>
                <c:pt idx="644">
                  <c:v>67.583692335661738</c:v>
                </c:pt>
                <c:pt idx="645">
                  <c:v>67.564980372249295</c:v>
                </c:pt>
                <c:pt idx="646">
                  <c:v>67.546268408836838</c:v>
                </c:pt>
                <c:pt idx="647">
                  <c:v>67.527556445424395</c:v>
                </c:pt>
                <c:pt idx="648">
                  <c:v>67.508844482011952</c:v>
                </c:pt>
                <c:pt idx="649">
                  <c:v>67.490132518599495</c:v>
                </c:pt>
                <c:pt idx="650">
                  <c:v>67.471420555187052</c:v>
                </c:pt>
                <c:pt idx="651">
                  <c:v>67.452708591774609</c:v>
                </c:pt>
                <c:pt idx="652">
                  <c:v>67.433996628362166</c:v>
                </c:pt>
                <c:pt idx="653">
                  <c:v>67.415284664949723</c:v>
                </c:pt>
                <c:pt idx="654">
                  <c:v>67.396572701537266</c:v>
                </c:pt>
                <c:pt idx="655">
                  <c:v>67.377860738124824</c:v>
                </c:pt>
                <c:pt idx="656">
                  <c:v>67.359148774712381</c:v>
                </c:pt>
                <c:pt idx="657">
                  <c:v>67.340436811299924</c:v>
                </c:pt>
                <c:pt idx="658">
                  <c:v>67.321724847887481</c:v>
                </c:pt>
                <c:pt idx="659">
                  <c:v>67.303012884475038</c:v>
                </c:pt>
                <c:pt idx="660">
                  <c:v>67.284300921062595</c:v>
                </c:pt>
                <c:pt idx="661">
                  <c:v>67.265588957650138</c:v>
                </c:pt>
                <c:pt idx="662">
                  <c:v>67.246876994237695</c:v>
                </c:pt>
                <c:pt idx="663">
                  <c:v>67.228165030825252</c:v>
                </c:pt>
                <c:pt idx="664">
                  <c:v>67.209453067412795</c:v>
                </c:pt>
                <c:pt idx="665">
                  <c:v>67.190741104000352</c:v>
                </c:pt>
                <c:pt idx="666">
                  <c:v>67.17202914058791</c:v>
                </c:pt>
                <c:pt idx="667">
                  <c:v>67.153317177175467</c:v>
                </c:pt>
                <c:pt idx="668">
                  <c:v>67.13460521376301</c:v>
                </c:pt>
                <c:pt idx="669">
                  <c:v>67.115893250350567</c:v>
                </c:pt>
                <c:pt idx="670">
                  <c:v>67.097181286938124</c:v>
                </c:pt>
                <c:pt idx="671">
                  <c:v>67.078469323525667</c:v>
                </c:pt>
                <c:pt idx="672">
                  <c:v>67.059757360113224</c:v>
                </c:pt>
                <c:pt idx="673">
                  <c:v>67.041045396700781</c:v>
                </c:pt>
                <c:pt idx="674">
                  <c:v>67.022333433288338</c:v>
                </c:pt>
                <c:pt idx="675">
                  <c:v>67.003621469875895</c:v>
                </c:pt>
                <c:pt idx="676">
                  <c:v>66.984909506463438</c:v>
                </c:pt>
                <c:pt idx="677">
                  <c:v>66.966197543050995</c:v>
                </c:pt>
                <c:pt idx="678">
                  <c:v>66.947485579638553</c:v>
                </c:pt>
                <c:pt idx="679">
                  <c:v>66.928773616226096</c:v>
                </c:pt>
                <c:pt idx="680">
                  <c:v>66.910061652813653</c:v>
                </c:pt>
                <c:pt idx="681">
                  <c:v>66.89134968940121</c:v>
                </c:pt>
                <c:pt idx="682">
                  <c:v>66.872637725988767</c:v>
                </c:pt>
                <c:pt idx="683">
                  <c:v>66.85392576257631</c:v>
                </c:pt>
                <c:pt idx="684">
                  <c:v>66.835213799163867</c:v>
                </c:pt>
                <c:pt idx="685">
                  <c:v>66.816501835751424</c:v>
                </c:pt>
                <c:pt idx="686">
                  <c:v>66.797789872338967</c:v>
                </c:pt>
                <c:pt idx="687">
                  <c:v>66.779077908926524</c:v>
                </c:pt>
                <c:pt idx="688">
                  <c:v>66.760365945514081</c:v>
                </c:pt>
                <c:pt idx="689">
                  <c:v>66.741653982101639</c:v>
                </c:pt>
                <c:pt idx="690">
                  <c:v>66.722942018689182</c:v>
                </c:pt>
                <c:pt idx="691">
                  <c:v>66.704230055276739</c:v>
                </c:pt>
                <c:pt idx="692">
                  <c:v>66.685518091864296</c:v>
                </c:pt>
                <c:pt idx="693">
                  <c:v>66.666806128451853</c:v>
                </c:pt>
                <c:pt idx="694">
                  <c:v>66.648094165039396</c:v>
                </c:pt>
                <c:pt idx="695">
                  <c:v>66.629382201626953</c:v>
                </c:pt>
                <c:pt idx="696">
                  <c:v>66.61067023821451</c:v>
                </c:pt>
                <c:pt idx="697">
                  <c:v>66.591958274802067</c:v>
                </c:pt>
                <c:pt idx="698">
                  <c:v>66.57324631138961</c:v>
                </c:pt>
                <c:pt idx="699">
                  <c:v>66.554534347977167</c:v>
                </c:pt>
                <c:pt idx="700">
                  <c:v>66.535822384564725</c:v>
                </c:pt>
                <c:pt idx="701">
                  <c:v>66.517110421152267</c:v>
                </c:pt>
                <c:pt idx="702">
                  <c:v>66.498398457739825</c:v>
                </c:pt>
                <c:pt idx="703">
                  <c:v>66.479686494327382</c:v>
                </c:pt>
                <c:pt idx="704">
                  <c:v>66.460974530914939</c:v>
                </c:pt>
                <c:pt idx="705">
                  <c:v>66.442262567502482</c:v>
                </c:pt>
                <c:pt idx="706">
                  <c:v>66.423550604090039</c:v>
                </c:pt>
                <c:pt idx="707">
                  <c:v>66.404838640677596</c:v>
                </c:pt>
                <c:pt idx="708">
                  <c:v>66.386126677265139</c:v>
                </c:pt>
                <c:pt idx="709">
                  <c:v>66.367414713852696</c:v>
                </c:pt>
                <c:pt idx="710">
                  <c:v>66.348702750440253</c:v>
                </c:pt>
                <c:pt idx="711">
                  <c:v>66.32999078702781</c:v>
                </c:pt>
                <c:pt idx="712">
                  <c:v>66.311278823615353</c:v>
                </c:pt>
                <c:pt idx="713">
                  <c:v>66.292566860202911</c:v>
                </c:pt>
                <c:pt idx="714">
                  <c:v>66.273854896790468</c:v>
                </c:pt>
                <c:pt idx="715">
                  <c:v>66.255142933378025</c:v>
                </c:pt>
                <c:pt idx="716">
                  <c:v>66.236430969965568</c:v>
                </c:pt>
                <c:pt idx="717">
                  <c:v>66.217719006553125</c:v>
                </c:pt>
                <c:pt idx="718">
                  <c:v>66.199007043140682</c:v>
                </c:pt>
                <c:pt idx="719">
                  <c:v>66.180295079728239</c:v>
                </c:pt>
                <c:pt idx="720">
                  <c:v>66.161583116315782</c:v>
                </c:pt>
                <c:pt idx="721">
                  <c:v>66.142871152903339</c:v>
                </c:pt>
                <c:pt idx="722">
                  <c:v>66.124159189490896</c:v>
                </c:pt>
                <c:pt idx="723">
                  <c:v>66.105447226078439</c:v>
                </c:pt>
                <c:pt idx="724">
                  <c:v>66.086735262665997</c:v>
                </c:pt>
                <c:pt idx="725">
                  <c:v>66.068023299253554</c:v>
                </c:pt>
                <c:pt idx="726">
                  <c:v>66.049311335841111</c:v>
                </c:pt>
                <c:pt idx="727">
                  <c:v>66.030599372428654</c:v>
                </c:pt>
                <c:pt idx="728">
                  <c:v>66.011887409016211</c:v>
                </c:pt>
                <c:pt idx="729">
                  <c:v>65.993175445603768</c:v>
                </c:pt>
                <c:pt idx="730">
                  <c:v>65.974463482191311</c:v>
                </c:pt>
                <c:pt idx="731">
                  <c:v>65.955751518778868</c:v>
                </c:pt>
                <c:pt idx="732">
                  <c:v>65.937039555366425</c:v>
                </c:pt>
                <c:pt idx="733">
                  <c:v>65.918327591953982</c:v>
                </c:pt>
                <c:pt idx="734">
                  <c:v>65.89961562854154</c:v>
                </c:pt>
                <c:pt idx="735">
                  <c:v>65.880903665129082</c:v>
                </c:pt>
                <c:pt idx="736">
                  <c:v>65.86219170171664</c:v>
                </c:pt>
                <c:pt idx="737">
                  <c:v>65.843479738304197</c:v>
                </c:pt>
                <c:pt idx="738">
                  <c:v>65.82476777489174</c:v>
                </c:pt>
                <c:pt idx="739">
                  <c:v>65.806055811479297</c:v>
                </c:pt>
                <c:pt idx="740">
                  <c:v>65.787343848066854</c:v>
                </c:pt>
                <c:pt idx="741">
                  <c:v>65.768631884654411</c:v>
                </c:pt>
                <c:pt idx="742">
                  <c:v>65.749919921241954</c:v>
                </c:pt>
                <c:pt idx="743">
                  <c:v>65.731207957829511</c:v>
                </c:pt>
                <c:pt idx="744">
                  <c:v>65.712495994417068</c:v>
                </c:pt>
                <c:pt idx="745">
                  <c:v>65.693784031004611</c:v>
                </c:pt>
                <c:pt idx="746">
                  <c:v>65.675072067592168</c:v>
                </c:pt>
                <c:pt idx="747">
                  <c:v>65.656360104179726</c:v>
                </c:pt>
                <c:pt idx="748">
                  <c:v>65.637648140767283</c:v>
                </c:pt>
                <c:pt idx="749">
                  <c:v>65.618936177354826</c:v>
                </c:pt>
                <c:pt idx="750">
                  <c:v>65.600224213942383</c:v>
                </c:pt>
                <c:pt idx="751">
                  <c:v>65.58151225052994</c:v>
                </c:pt>
                <c:pt idx="752">
                  <c:v>65.562800287117497</c:v>
                </c:pt>
                <c:pt idx="753">
                  <c:v>65.54408832370504</c:v>
                </c:pt>
                <c:pt idx="754">
                  <c:v>65.525376360292597</c:v>
                </c:pt>
                <c:pt idx="755">
                  <c:v>65.506664396880154</c:v>
                </c:pt>
                <c:pt idx="756">
                  <c:v>65.487952433467711</c:v>
                </c:pt>
                <c:pt idx="757">
                  <c:v>65.469240470055254</c:v>
                </c:pt>
                <c:pt idx="758">
                  <c:v>65.450528506642812</c:v>
                </c:pt>
                <c:pt idx="759">
                  <c:v>65.431816543230369</c:v>
                </c:pt>
                <c:pt idx="760">
                  <c:v>65.413104579817912</c:v>
                </c:pt>
                <c:pt idx="761">
                  <c:v>65.394392616405469</c:v>
                </c:pt>
                <c:pt idx="762">
                  <c:v>65.375680652993026</c:v>
                </c:pt>
                <c:pt idx="763">
                  <c:v>65.356968689580583</c:v>
                </c:pt>
                <c:pt idx="764">
                  <c:v>65.338256726168126</c:v>
                </c:pt>
                <c:pt idx="765">
                  <c:v>65.319544762755683</c:v>
                </c:pt>
                <c:pt idx="766">
                  <c:v>65.30083279934324</c:v>
                </c:pt>
                <c:pt idx="767">
                  <c:v>65.282120835930783</c:v>
                </c:pt>
                <c:pt idx="768">
                  <c:v>65.26340887251834</c:v>
                </c:pt>
                <c:pt idx="769">
                  <c:v>65.244696909105897</c:v>
                </c:pt>
                <c:pt idx="770">
                  <c:v>65.225984945693455</c:v>
                </c:pt>
                <c:pt idx="771">
                  <c:v>65.207272982280998</c:v>
                </c:pt>
                <c:pt idx="772">
                  <c:v>65.188561018868555</c:v>
                </c:pt>
                <c:pt idx="773">
                  <c:v>65.169849055456112</c:v>
                </c:pt>
                <c:pt idx="774">
                  <c:v>65.151137092043669</c:v>
                </c:pt>
                <c:pt idx="775">
                  <c:v>65.132425128631212</c:v>
                </c:pt>
                <c:pt idx="776">
                  <c:v>65.113713165218769</c:v>
                </c:pt>
                <c:pt idx="777">
                  <c:v>65.095001201806326</c:v>
                </c:pt>
                <c:pt idx="778">
                  <c:v>65.076289238393883</c:v>
                </c:pt>
                <c:pt idx="779">
                  <c:v>65.057577274981426</c:v>
                </c:pt>
                <c:pt idx="780">
                  <c:v>65.038865311568983</c:v>
                </c:pt>
                <c:pt idx="781">
                  <c:v>65.020153348156541</c:v>
                </c:pt>
                <c:pt idx="782">
                  <c:v>65.001441384744084</c:v>
                </c:pt>
                <c:pt idx="783">
                  <c:v>64.982729421331641</c:v>
                </c:pt>
                <c:pt idx="784">
                  <c:v>64.964017457919198</c:v>
                </c:pt>
                <c:pt idx="785">
                  <c:v>64.945305494506755</c:v>
                </c:pt>
                <c:pt idx="786">
                  <c:v>64.926593531094298</c:v>
                </c:pt>
                <c:pt idx="787">
                  <c:v>64.907881567681855</c:v>
                </c:pt>
                <c:pt idx="788">
                  <c:v>64.889169604269412</c:v>
                </c:pt>
                <c:pt idx="789">
                  <c:v>64.870457640856955</c:v>
                </c:pt>
                <c:pt idx="790">
                  <c:v>64.851745677444512</c:v>
                </c:pt>
                <c:pt idx="791">
                  <c:v>64.833033714032069</c:v>
                </c:pt>
                <c:pt idx="792">
                  <c:v>64.814321750619627</c:v>
                </c:pt>
                <c:pt idx="793">
                  <c:v>64.795609787207184</c:v>
                </c:pt>
                <c:pt idx="794">
                  <c:v>64.776897823794727</c:v>
                </c:pt>
                <c:pt idx="795">
                  <c:v>64.758185860382284</c:v>
                </c:pt>
                <c:pt idx="796">
                  <c:v>64.739473896969841</c:v>
                </c:pt>
                <c:pt idx="797">
                  <c:v>64.720761933557384</c:v>
                </c:pt>
                <c:pt idx="798">
                  <c:v>64.702049970144941</c:v>
                </c:pt>
                <c:pt idx="799">
                  <c:v>64.683338006732498</c:v>
                </c:pt>
                <c:pt idx="800">
                  <c:v>64.664626043320055</c:v>
                </c:pt>
                <c:pt idx="801">
                  <c:v>64.645914079907598</c:v>
                </c:pt>
                <c:pt idx="802">
                  <c:v>64.627202116495155</c:v>
                </c:pt>
                <c:pt idx="803">
                  <c:v>64.608490153082712</c:v>
                </c:pt>
                <c:pt idx="804">
                  <c:v>64.589778189670255</c:v>
                </c:pt>
                <c:pt idx="805">
                  <c:v>64.571066226257813</c:v>
                </c:pt>
                <c:pt idx="806">
                  <c:v>64.55235426284537</c:v>
                </c:pt>
                <c:pt idx="807">
                  <c:v>64.533642299432927</c:v>
                </c:pt>
                <c:pt idx="808">
                  <c:v>64.51493033602047</c:v>
                </c:pt>
                <c:pt idx="809">
                  <c:v>64.496218372608027</c:v>
                </c:pt>
                <c:pt idx="810">
                  <c:v>64.477506409195584</c:v>
                </c:pt>
                <c:pt idx="811">
                  <c:v>64.458794445783127</c:v>
                </c:pt>
                <c:pt idx="812">
                  <c:v>64.440082482370684</c:v>
                </c:pt>
                <c:pt idx="813">
                  <c:v>64.421370518958241</c:v>
                </c:pt>
                <c:pt idx="814">
                  <c:v>64.402658555545798</c:v>
                </c:pt>
                <c:pt idx="815">
                  <c:v>64.383946592133356</c:v>
                </c:pt>
                <c:pt idx="816">
                  <c:v>64.365234628720899</c:v>
                </c:pt>
                <c:pt idx="817">
                  <c:v>64.346522665308456</c:v>
                </c:pt>
                <c:pt idx="818">
                  <c:v>64.327810701896013</c:v>
                </c:pt>
                <c:pt idx="819">
                  <c:v>64.309098738483556</c:v>
                </c:pt>
                <c:pt idx="820">
                  <c:v>64.290386775071113</c:v>
                </c:pt>
                <c:pt idx="821">
                  <c:v>64.27167481165867</c:v>
                </c:pt>
                <c:pt idx="822">
                  <c:v>64.252962848246227</c:v>
                </c:pt>
                <c:pt idx="823">
                  <c:v>64.23425088483377</c:v>
                </c:pt>
                <c:pt idx="824">
                  <c:v>64.215538921421327</c:v>
                </c:pt>
                <c:pt idx="825">
                  <c:v>64.196826958008884</c:v>
                </c:pt>
                <c:pt idx="826">
                  <c:v>64.178114994596427</c:v>
                </c:pt>
                <c:pt idx="827">
                  <c:v>64.159403031183984</c:v>
                </c:pt>
                <c:pt idx="828">
                  <c:v>64.140691067771542</c:v>
                </c:pt>
                <c:pt idx="829">
                  <c:v>64.121979104359099</c:v>
                </c:pt>
                <c:pt idx="830">
                  <c:v>64.103267140946642</c:v>
                </c:pt>
                <c:pt idx="831">
                  <c:v>64.084555177534199</c:v>
                </c:pt>
                <c:pt idx="832">
                  <c:v>64.065843214121756</c:v>
                </c:pt>
                <c:pt idx="833">
                  <c:v>64.047131250709313</c:v>
                </c:pt>
                <c:pt idx="834">
                  <c:v>64.028419287296856</c:v>
                </c:pt>
                <c:pt idx="835">
                  <c:v>64.009707323884413</c:v>
                </c:pt>
                <c:pt idx="836">
                  <c:v>63.99099536047197</c:v>
                </c:pt>
                <c:pt idx="837">
                  <c:v>63.972283397059527</c:v>
                </c:pt>
                <c:pt idx="838">
                  <c:v>63.95357143364707</c:v>
                </c:pt>
                <c:pt idx="839">
                  <c:v>63.934859470234628</c:v>
                </c:pt>
                <c:pt idx="840">
                  <c:v>63.916147506822185</c:v>
                </c:pt>
                <c:pt idx="841">
                  <c:v>63.897435543409728</c:v>
                </c:pt>
                <c:pt idx="842">
                  <c:v>63.878723579997285</c:v>
                </c:pt>
                <c:pt idx="843">
                  <c:v>63.860011616584842</c:v>
                </c:pt>
                <c:pt idx="844">
                  <c:v>63.841299653172399</c:v>
                </c:pt>
                <c:pt idx="845">
                  <c:v>63.822587689759942</c:v>
                </c:pt>
                <c:pt idx="846">
                  <c:v>63.803875726347499</c:v>
                </c:pt>
                <c:pt idx="847">
                  <c:v>63.785163762935056</c:v>
                </c:pt>
                <c:pt idx="848">
                  <c:v>63.766451799522599</c:v>
                </c:pt>
                <c:pt idx="849">
                  <c:v>63.747739836110156</c:v>
                </c:pt>
                <c:pt idx="850">
                  <c:v>63.729027872697714</c:v>
                </c:pt>
                <c:pt idx="851">
                  <c:v>63.710315909285271</c:v>
                </c:pt>
                <c:pt idx="852">
                  <c:v>63.691603945872814</c:v>
                </c:pt>
                <c:pt idx="853">
                  <c:v>63.672891982460371</c:v>
                </c:pt>
                <c:pt idx="854">
                  <c:v>63.654180019047928</c:v>
                </c:pt>
                <c:pt idx="855">
                  <c:v>63.635468055635471</c:v>
                </c:pt>
                <c:pt idx="856">
                  <c:v>63.616756092223028</c:v>
                </c:pt>
                <c:pt idx="857">
                  <c:v>63.598044128810585</c:v>
                </c:pt>
                <c:pt idx="858">
                  <c:v>63.579332165398142</c:v>
                </c:pt>
                <c:pt idx="859">
                  <c:v>63.560620201985699</c:v>
                </c:pt>
                <c:pt idx="860">
                  <c:v>63.541908238573242</c:v>
                </c:pt>
                <c:pt idx="861">
                  <c:v>63.523196275160799</c:v>
                </c:pt>
                <c:pt idx="862">
                  <c:v>63.504484311748357</c:v>
                </c:pt>
                <c:pt idx="863">
                  <c:v>63.4857723483359</c:v>
                </c:pt>
                <c:pt idx="864">
                  <c:v>63.467060384923457</c:v>
                </c:pt>
                <c:pt idx="865">
                  <c:v>63.448348421511014</c:v>
                </c:pt>
                <c:pt idx="866">
                  <c:v>63.429636458098571</c:v>
                </c:pt>
                <c:pt idx="867">
                  <c:v>63.410924494686114</c:v>
                </c:pt>
                <c:pt idx="868">
                  <c:v>63.392212531273671</c:v>
                </c:pt>
                <c:pt idx="869">
                  <c:v>63.373500567861228</c:v>
                </c:pt>
                <c:pt idx="870">
                  <c:v>63.354788604448771</c:v>
                </c:pt>
                <c:pt idx="871">
                  <c:v>63.336076641036328</c:v>
                </c:pt>
                <c:pt idx="872">
                  <c:v>63.317364677623885</c:v>
                </c:pt>
                <c:pt idx="873">
                  <c:v>63.298652714211443</c:v>
                </c:pt>
                <c:pt idx="874">
                  <c:v>63.279940750799</c:v>
                </c:pt>
                <c:pt idx="875">
                  <c:v>63.261228787386543</c:v>
                </c:pt>
                <c:pt idx="876">
                  <c:v>63.2425168239741</c:v>
                </c:pt>
                <c:pt idx="877">
                  <c:v>63.223804860561657</c:v>
                </c:pt>
                <c:pt idx="878">
                  <c:v>63.2050928971492</c:v>
                </c:pt>
                <c:pt idx="879">
                  <c:v>63.186380933736757</c:v>
                </c:pt>
                <c:pt idx="880">
                  <c:v>63.167668970324314</c:v>
                </c:pt>
                <c:pt idx="881">
                  <c:v>63.148957006911871</c:v>
                </c:pt>
                <c:pt idx="882">
                  <c:v>63.130245043499414</c:v>
                </c:pt>
                <c:pt idx="883">
                  <c:v>63.111533080086971</c:v>
                </c:pt>
                <c:pt idx="884">
                  <c:v>63.092821116674529</c:v>
                </c:pt>
                <c:pt idx="885">
                  <c:v>63.074109153262071</c:v>
                </c:pt>
                <c:pt idx="886">
                  <c:v>63.055397189849629</c:v>
                </c:pt>
                <c:pt idx="887">
                  <c:v>63.036685226437186</c:v>
                </c:pt>
                <c:pt idx="888">
                  <c:v>63.017973263024743</c:v>
                </c:pt>
                <c:pt idx="889">
                  <c:v>62.9992612996123</c:v>
                </c:pt>
                <c:pt idx="890">
                  <c:v>62.980549336199843</c:v>
                </c:pt>
                <c:pt idx="891">
                  <c:v>62.9618373727874</c:v>
                </c:pt>
                <c:pt idx="892">
                  <c:v>62.943125409374943</c:v>
                </c:pt>
                <c:pt idx="893">
                  <c:v>62.9244134459625</c:v>
                </c:pt>
                <c:pt idx="894">
                  <c:v>62.905701482550057</c:v>
                </c:pt>
                <c:pt idx="895">
                  <c:v>62.886989519137614</c:v>
                </c:pt>
                <c:pt idx="896">
                  <c:v>62.868277555725172</c:v>
                </c:pt>
                <c:pt idx="897">
                  <c:v>62.849565592312715</c:v>
                </c:pt>
                <c:pt idx="898">
                  <c:v>62.830853628900272</c:v>
                </c:pt>
                <c:pt idx="899">
                  <c:v>62.812141665487829</c:v>
                </c:pt>
                <c:pt idx="900">
                  <c:v>62.793429702075372</c:v>
                </c:pt>
                <c:pt idx="901">
                  <c:v>62.774717738662929</c:v>
                </c:pt>
                <c:pt idx="902">
                  <c:v>62.756005775250486</c:v>
                </c:pt>
                <c:pt idx="903">
                  <c:v>62.737293811838043</c:v>
                </c:pt>
                <c:pt idx="904">
                  <c:v>62.718581848425586</c:v>
                </c:pt>
                <c:pt idx="905">
                  <c:v>62.699869885013143</c:v>
                </c:pt>
                <c:pt idx="906">
                  <c:v>62.6811579216007</c:v>
                </c:pt>
                <c:pt idx="907">
                  <c:v>62.662445958188243</c:v>
                </c:pt>
                <c:pt idx="908">
                  <c:v>62.643733994775801</c:v>
                </c:pt>
                <c:pt idx="909">
                  <c:v>62.625022031363358</c:v>
                </c:pt>
                <c:pt idx="910">
                  <c:v>62.606310067950915</c:v>
                </c:pt>
                <c:pt idx="911">
                  <c:v>62.587598104538472</c:v>
                </c:pt>
                <c:pt idx="912">
                  <c:v>62.568886141126015</c:v>
                </c:pt>
                <c:pt idx="913">
                  <c:v>62.550174177713572</c:v>
                </c:pt>
                <c:pt idx="914">
                  <c:v>62.531462214301115</c:v>
                </c:pt>
                <c:pt idx="915">
                  <c:v>62.512750250888672</c:v>
                </c:pt>
                <c:pt idx="916">
                  <c:v>62.494038287476229</c:v>
                </c:pt>
                <c:pt idx="917">
                  <c:v>62.475326324063786</c:v>
                </c:pt>
                <c:pt idx="918">
                  <c:v>62.456614360651344</c:v>
                </c:pt>
                <c:pt idx="919">
                  <c:v>62.437902397238886</c:v>
                </c:pt>
                <c:pt idx="920">
                  <c:v>62.419190433826444</c:v>
                </c:pt>
                <c:pt idx="921">
                  <c:v>62.400478470414001</c:v>
                </c:pt>
                <c:pt idx="922">
                  <c:v>62.381766507001544</c:v>
                </c:pt>
                <c:pt idx="923">
                  <c:v>62.363054543589101</c:v>
                </c:pt>
                <c:pt idx="924">
                  <c:v>62.344342580176658</c:v>
                </c:pt>
                <c:pt idx="925">
                  <c:v>62.325630616764215</c:v>
                </c:pt>
                <c:pt idx="926">
                  <c:v>62.306918653351758</c:v>
                </c:pt>
                <c:pt idx="927">
                  <c:v>62.288206689939315</c:v>
                </c:pt>
                <c:pt idx="928">
                  <c:v>62.269494726526872</c:v>
                </c:pt>
                <c:pt idx="929">
                  <c:v>62.250782763114415</c:v>
                </c:pt>
                <c:pt idx="930">
                  <c:v>62.232070799701972</c:v>
                </c:pt>
                <c:pt idx="931">
                  <c:v>62.21335883628953</c:v>
                </c:pt>
                <c:pt idx="932">
                  <c:v>62.194646872877087</c:v>
                </c:pt>
                <c:pt idx="933">
                  <c:v>62.175934909464644</c:v>
                </c:pt>
                <c:pt idx="934">
                  <c:v>62.157222946052187</c:v>
                </c:pt>
                <c:pt idx="935">
                  <c:v>62.138510982639744</c:v>
                </c:pt>
                <c:pt idx="936">
                  <c:v>62.119799019227287</c:v>
                </c:pt>
                <c:pt idx="937">
                  <c:v>62.101087055814844</c:v>
                </c:pt>
                <c:pt idx="938">
                  <c:v>62.082375092402401</c:v>
                </c:pt>
                <c:pt idx="939">
                  <c:v>62.063663128989958</c:v>
                </c:pt>
                <c:pt idx="940">
                  <c:v>62.044951165577515</c:v>
                </c:pt>
                <c:pt idx="941">
                  <c:v>62.026239202165058</c:v>
                </c:pt>
                <c:pt idx="942">
                  <c:v>62.007527238752616</c:v>
                </c:pt>
                <c:pt idx="943">
                  <c:v>61.988815275340173</c:v>
                </c:pt>
                <c:pt idx="944">
                  <c:v>61.970103311927716</c:v>
                </c:pt>
                <c:pt idx="945">
                  <c:v>61.951391348515273</c:v>
                </c:pt>
                <c:pt idx="946">
                  <c:v>61.93267938510283</c:v>
                </c:pt>
                <c:pt idx="947">
                  <c:v>61.913967421690387</c:v>
                </c:pt>
                <c:pt idx="948">
                  <c:v>61.89525545827793</c:v>
                </c:pt>
                <c:pt idx="949">
                  <c:v>61.876543494865487</c:v>
                </c:pt>
                <c:pt idx="950">
                  <c:v>61.857831531453044</c:v>
                </c:pt>
                <c:pt idx="951">
                  <c:v>61.839119568040587</c:v>
                </c:pt>
                <c:pt idx="952">
                  <c:v>61.820407604628144</c:v>
                </c:pt>
                <c:pt idx="953">
                  <c:v>61.801695641215701</c:v>
                </c:pt>
                <c:pt idx="954">
                  <c:v>61.782983677803259</c:v>
                </c:pt>
                <c:pt idx="955">
                  <c:v>61.764271714390816</c:v>
                </c:pt>
                <c:pt idx="956">
                  <c:v>61.745559750978359</c:v>
                </c:pt>
                <c:pt idx="957">
                  <c:v>61.726847787565916</c:v>
                </c:pt>
                <c:pt idx="958">
                  <c:v>61.708135824153473</c:v>
                </c:pt>
                <c:pt idx="959">
                  <c:v>61.689423860741016</c:v>
                </c:pt>
                <c:pt idx="960">
                  <c:v>61.670711897328573</c:v>
                </c:pt>
                <c:pt idx="961">
                  <c:v>61.65199993391613</c:v>
                </c:pt>
                <c:pt idx="962">
                  <c:v>61.633287970503687</c:v>
                </c:pt>
                <c:pt idx="963">
                  <c:v>61.61457600709123</c:v>
                </c:pt>
                <c:pt idx="964">
                  <c:v>61.595864043678787</c:v>
                </c:pt>
                <c:pt idx="965">
                  <c:v>61.577152080266345</c:v>
                </c:pt>
                <c:pt idx="966">
                  <c:v>61.558440116853888</c:v>
                </c:pt>
                <c:pt idx="967">
                  <c:v>61.539728153441445</c:v>
                </c:pt>
                <c:pt idx="968">
                  <c:v>61.521016190029002</c:v>
                </c:pt>
                <c:pt idx="969">
                  <c:v>61.502304226616559</c:v>
                </c:pt>
                <c:pt idx="970">
                  <c:v>61.483592263204116</c:v>
                </c:pt>
                <c:pt idx="971">
                  <c:v>61.464880299791659</c:v>
                </c:pt>
                <c:pt idx="972">
                  <c:v>61.446168336379216</c:v>
                </c:pt>
                <c:pt idx="973">
                  <c:v>61.427456372966759</c:v>
                </c:pt>
                <c:pt idx="974">
                  <c:v>61.408744409554316</c:v>
                </c:pt>
                <c:pt idx="975">
                  <c:v>61.390032446141873</c:v>
                </c:pt>
                <c:pt idx="976">
                  <c:v>61.371320482729431</c:v>
                </c:pt>
                <c:pt idx="977">
                  <c:v>61.352608519316988</c:v>
                </c:pt>
                <c:pt idx="978">
                  <c:v>61.333896555904531</c:v>
                </c:pt>
                <c:pt idx="979">
                  <c:v>61.315184592492088</c:v>
                </c:pt>
                <c:pt idx="980">
                  <c:v>61.296472629079645</c:v>
                </c:pt>
                <c:pt idx="981">
                  <c:v>61.277760665667195</c:v>
                </c:pt>
                <c:pt idx="982">
                  <c:v>61.259048702254745</c:v>
                </c:pt>
                <c:pt idx="983">
                  <c:v>61.240336738842302</c:v>
                </c:pt>
                <c:pt idx="984">
                  <c:v>61.221624775429852</c:v>
                </c:pt>
                <c:pt idx="985">
                  <c:v>61.202912812017402</c:v>
                </c:pt>
                <c:pt idx="986">
                  <c:v>61.184200848604959</c:v>
                </c:pt>
                <c:pt idx="987">
                  <c:v>61.165488885192516</c:v>
                </c:pt>
                <c:pt idx="988">
                  <c:v>61.146776921780067</c:v>
                </c:pt>
                <c:pt idx="989">
                  <c:v>61.128064958367617</c:v>
                </c:pt>
                <c:pt idx="990">
                  <c:v>61.109352994955174</c:v>
                </c:pt>
                <c:pt idx="991">
                  <c:v>61.090641031542731</c:v>
                </c:pt>
                <c:pt idx="992">
                  <c:v>61.071929068130281</c:v>
                </c:pt>
                <c:pt idx="993">
                  <c:v>61.053217104717831</c:v>
                </c:pt>
                <c:pt idx="994">
                  <c:v>61.034505141305388</c:v>
                </c:pt>
                <c:pt idx="995">
                  <c:v>61.015793177892938</c:v>
                </c:pt>
                <c:pt idx="996">
                  <c:v>60.997081214480488</c:v>
                </c:pt>
                <c:pt idx="997">
                  <c:v>60.978369251068045</c:v>
                </c:pt>
                <c:pt idx="998">
                  <c:v>60.959657287655602</c:v>
                </c:pt>
                <c:pt idx="999">
                  <c:v>60.940945324243152</c:v>
                </c:pt>
                <c:pt idx="1000">
                  <c:v>60.922233360830703</c:v>
                </c:pt>
                <c:pt idx="1001">
                  <c:v>60.90352139741826</c:v>
                </c:pt>
                <c:pt idx="1002">
                  <c:v>60.884809434005817</c:v>
                </c:pt>
                <c:pt idx="1003">
                  <c:v>60.866097470593367</c:v>
                </c:pt>
                <c:pt idx="1004">
                  <c:v>60.847385507180917</c:v>
                </c:pt>
                <c:pt idx="1005">
                  <c:v>60.828673543768474</c:v>
                </c:pt>
                <c:pt idx="1006">
                  <c:v>60.809961580356024</c:v>
                </c:pt>
                <c:pt idx="1007">
                  <c:v>60.791249616943574</c:v>
                </c:pt>
                <c:pt idx="1008">
                  <c:v>60.772537653531131</c:v>
                </c:pt>
                <c:pt idx="1009">
                  <c:v>60.753825690118688</c:v>
                </c:pt>
                <c:pt idx="1010">
                  <c:v>60.735113726706238</c:v>
                </c:pt>
                <c:pt idx="1011">
                  <c:v>60.716401763293788</c:v>
                </c:pt>
                <c:pt idx="1012">
                  <c:v>60.697689799881346</c:v>
                </c:pt>
                <c:pt idx="1013">
                  <c:v>60.678977836468903</c:v>
                </c:pt>
                <c:pt idx="1014">
                  <c:v>60.660265873056453</c:v>
                </c:pt>
                <c:pt idx="1015">
                  <c:v>60.641553909644003</c:v>
                </c:pt>
                <c:pt idx="1016">
                  <c:v>60.62284194623156</c:v>
                </c:pt>
                <c:pt idx="1017">
                  <c:v>60.604129982819117</c:v>
                </c:pt>
                <c:pt idx="1018">
                  <c:v>60.58541801940666</c:v>
                </c:pt>
                <c:pt idx="1019">
                  <c:v>60.566706055994217</c:v>
                </c:pt>
                <c:pt idx="1020">
                  <c:v>60.547994092581774</c:v>
                </c:pt>
                <c:pt idx="1021">
                  <c:v>60.529282129169324</c:v>
                </c:pt>
                <c:pt idx="1022">
                  <c:v>60.510570165756874</c:v>
                </c:pt>
                <c:pt idx="1023">
                  <c:v>60.491858202344432</c:v>
                </c:pt>
                <c:pt idx="1024">
                  <c:v>60.473146238931989</c:v>
                </c:pt>
                <c:pt idx="1025">
                  <c:v>60.454434275519539</c:v>
                </c:pt>
                <c:pt idx="1026">
                  <c:v>60.435722312107089</c:v>
                </c:pt>
                <c:pt idx="1027">
                  <c:v>60.417010348694646</c:v>
                </c:pt>
                <c:pt idx="1028">
                  <c:v>60.398298385282203</c:v>
                </c:pt>
                <c:pt idx="1029">
                  <c:v>60.379586421869746</c:v>
                </c:pt>
                <c:pt idx="1030">
                  <c:v>60.360874458457303</c:v>
                </c:pt>
                <c:pt idx="1031">
                  <c:v>60.34216249504486</c:v>
                </c:pt>
                <c:pt idx="1032">
                  <c:v>60.32345053163241</c:v>
                </c:pt>
                <c:pt idx="1033">
                  <c:v>60.30473856821996</c:v>
                </c:pt>
                <c:pt idx="1034">
                  <c:v>60.286026604807518</c:v>
                </c:pt>
                <c:pt idx="1035">
                  <c:v>60.267314641395075</c:v>
                </c:pt>
                <c:pt idx="1036">
                  <c:v>60.248602677982625</c:v>
                </c:pt>
                <c:pt idx="1037">
                  <c:v>60.229890714570175</c:v>
                </c:pt>
                <c:pt idx="1038">
                  <c:v>60.211178751157732</c:v>
                </c:pt>
                <c:pt idx="1039">
                  <c:v>60.192466787745289</c:v>
                </c:pt>
                <c:pt idx="1040">
                  <c:v>60.173754824332839</c:v>
                </c:pt>
                <c:pt idx="1041">
                  <c:v>60.155042860920389</c:v>
                </c:pt>
                <c:pt idx="1042">
                  <c:v>60.136330897507946</c:v>
                </c:pt>
                <c:pt idx="1043">
                  <c:v>60.117618934095496</c:v>
                </c:pt>
                <c:pt idx="1044">
                  <c:v>60.098906970683046</c:v>
                </c:pt>
                <c:pt idx="1045">
                  <c:v>60.080195007270603</c:v>
                </c:pt>
                <c:pt idx="1046">
                  <c:v>60.061483043858161</c:v>
                </c:pt>
                <c:pt idx="1047">
                  <c:v>60.042771080445711</c:v>
                </c:pt>
                <c:pt idx="1048">
                  <c:v>60.024059117033261</c:v>
                </c:pt>
                <c:pt idx="1049">
                  <c:v>60.005347153620818</c:v>
                </c:pt>
                <c:pt idx="1050">
                  <c:v>59.986635190208375</c:v>
                </c:pt>
                <c:pt idx="1051">
                  <c:v>59.967923226795925</c:v>
                </c:pt>
                <c:pt idx="1052">
                  <c:v>59.949211263383475</c:v>
                </c:pt>
                <c:pt idx="1053">
                  <c:v>59.930499299971032</c:v>
                </c:pt>
                <c:pt idx="1054">
                  <c:v>59.911787336558582</c:v>
                </c:pt>
                <c:pt idx="1055">
                  <c:v>59.893075373146132</c:v>
                </c:pt>
                <c:pt idx="1056">
                  <c:v>59.874363409733689</c:v>
                </c:pt>
                <c:pt idx="1057">
                  <c:v>59.855651446321247</c:v>
                </c:pt>
                <c:pt idx="1058">
                  <c:v>59.836939482908797</c:v>
                </c:pt>
                <c:pt idx="1059">
                  <c:v>59.818227519496347</c:v>
                </c:pt>
                <c:pt idx="1060">
                  <c:v>59.799515556083904</c:v>
                </c:pt>
                <c:pt idx="1061">
                  <c:v>59.780803592671461</c:v>
                </c:pt>
                <c:pt idx="1062">
                  <c:v>59.762091629259011</c:v>
                </c:pt>
                <c:pt idx="1063">
                  <c:v>59.743379665846561</c:v>
                </c:pt>
                <c:pt idx="1064">
                  <c:v>59.724667702434118</c:v>
                </c:pt>
                <c:pt idx="1065">
                  <c:v>59.705955739021668</c:v>
                </c:pt>
                <c:pt idx="1066">
                  <c:v>59.687243775609218</c:v>
                </c:pt>
                <c:pt idx="1067">
                  <c:v>59.668531812196775</c:v>
                </c:pt>
                <c:pt idx="1068">
                  <c:v>59.649819848784333</c:v>
                </c:pt>
                <c:pt idx="1069">
                  <c:v>59.631107885371883</c:v>
                </c:pt>
                <c:pt idx="1070">
                  <c:v>59.612395921959433</c:v>
                </c:pt>
                <c:pt idx="1071">
                  <c:v>59.59368395854699</c:v>
                </c:pt>
                <c:pt idx="1072">
                  <c:v>59.574971995134547</c:v>
                </c:pt>
                <c:pt idx="1073">
                  <c:v>59.556260031722097</c:v>
                </c:pt>
                <c:pt idx="1074">
                  <c:v>59.537548068309647</c:v>
                </c:pt>
                <c:pt idx="1075">
                  <c:v>59.518836104897204</c:v>
                </c:pt>
                <c:pt idx="1076">
                  <c:v>59.500124141484754</c:v>
                </c:pt>
                <c:pt idx="1077">
                  <c:v>59.481412178072304</c:v>
                </c:pt>
                <c:pt idx="1078">
                  <c:v>59.462700214659861</c:v>
                </c:pt>
                <c:pt idx="1079">
                  <c:v>59.443988251247418</c:v>
                </c:pt>
                <c:pt idx="1080">
                  <c:v>59.425276287834969</c:v>
                </c:pt>
                <c:pt idx="1081">
                  <c:v>59.406564324422519</c:v>
                </c:pt>
                <c:pt idx="1082">
                  <c:v>59.387852361010076</c:v>
                </c:pt>
                <c:pt idx="1083">
                  <c:v>59.369140397597633</c:v>
                </c:pt>
                <c:pt idx="1084">
                  <c:v>59.350428434185183</c:v>
                </c:pt>
                <c:pt idx="1085">
                  <c:v>59.331716470772733</c:v>
                </c:pt>
                <c:pt idx="1086">
                  <c:v>59.31300450736029</c:v>
                </c:pt>
                <c:pt idx="1087">
                  <c:v>59.29429254394784</c:v>
                </c:pt>
                <c:pt idx="1088">
                  <c:v>59.27558058053539</c:v>
                </c:pt>
                <c:pt idx="1089">
                  <c:v>59.256868617122947</c:v>
                </c:pt>
                <c:pt idx="1090">
                  <c:v>59.238156653710504</c:v>
                </c:pt>
                <c:pt idx="1091">
                  <c:v>59.219444690298054</c:v>
                </c:pt>
                <c:pt idx="1092">
                  <c:v>59.200732726885605</c:v>
                </c:pt>
                <c:pt idx="1093">
                  <c:v>59.182020763473162</c:v>
                </c:pt>
                <c:pt idx="1094">
                  <c:v>59.163308800060719</c:v>
                </c:pt>
                <c:pt idx="1095">
                  <c:v>59.144596836648269</c:v>
                </c:pt>
                <c:pt idx="1096">
                  <c:v>59.125884873235819</c:v>
                </c:pt>
                <c:pt idx="1097">
                  <c:v>59.107172909823376</c:v>
                </c:pt>
                <c:pt idx="1098">
                  <c:v>59.088460946410933</c:v>
                </c:pt>
                <c:pt idx="1099">
                  <c:v>59.069748982998476</c:v>
                </c:pt>
                <c:pt idx="1100">
                  <c:v>59.051037019586033</c:v>
                </c:pt>
                <c:pt idx="1101">
                  <c:v>59.03232505617359</c:v>
                </c:pt>
                <c:pt idx="1102">
                  <c:v>59.01361309276114</c:v>
                </c:pt>
                <c:pt idx="1103">
                  <c:v>58.99490112934869</c:v>
                </c:pt>
                <c:pt idx="1104">
                  <c:v>58.976189165936248</c:v>
                </c:pt>
                <c:pt idx="1105">
                  <c:v>58.957477202523805</c:v>
                </c:pt>
                <c:pt idx="1106">
                  <c:v>58.938765239111355</c:v>
                </c:pt>
                <c:pt idx="1107">
                  <c:v>58.920053275698905</c:v>
                </c:pt>
                <c:pt idx="1108">
                  <c:v>58.901341312286462</c:v>
                </c:pt>
                <c:pt idx="1109">
                  <c:v>58.882629348874019</c:v>
                </c:pt>
                <c:pt idx="1110">
                  <c:v>58.863917385461569</c:v>
                </c:pt>
                <c:pt idx="1111">
                  <c:v>58.845205422049119</c:v>
                </c:pt>
                <c:pt idx="1112">
                  <c:v>58.826493458636676</c:v>
                </c:pt>
                <c:pt idx="1113">
                  <c:v>58.807781495224226</c:v>
                </c:pt>
                <c:pt idx="1114">
                  <c:v>58.789069531811776</c:v>
                </c:pt>
                <c:pt idx="1115">
                  <c:v>58.770357568399334</c:v>
                </c:pt>
                <c:pt idx="1116">
                  <c:v>58.751645604986891</c:v>
                </c:pt>
                <c:pt idx="1117">
                  <c:v>58.732933641574441</c:v>
                </c:pt>
                <c:pt idx="1118">
                  <c:v>58.714221678161991</c:v>
                </c:pt>
                <c:pt idx="1119">
                  <c:v>58.695509714749548</c:v>
                </c:pt>
                <c:pt idx="1120">
                  <c:v>58.676797751337105</c:v>
                </c:pt>
                <c:pt idx="1121">
                  <c:v>58.658085787924655</c:v>
                </c:pt>
                <c:pt idx="1122">
                  <c:v>58.639373824512205</c:v>
                </c:pt>
                <c:pt idx="1123">
                  <c:v>58.620661861099762</c:v>
                </c:pt>
                <c:pt idx="1124">
                  <c:v>58.601949897687312</c:v>
                </c:pt>
                <c:pt idx="1125">
                  <c:v>58.583237934274862</c:v>
                </c:pt>
                <c:pt idx="1126">
                  <c:v>58.56452597086242</c:v>
                </c:pt>
                <c:pt idx="1127">
                  <c:v>58.545814007449977</c:v>
                </c:pt>
                <c:pt idx="1128">
                  <c:v>58.527102044037527</c:v>
                </c:pt>
                <c:pt idx="1129">
                  <c:v>58.508390080625077</c:v>
                </c:pt>
                <c:pt idx="1130">
                  <c:v>58.489678117212634</c:v>
                </c:pt>
                <c:pt idx="1131">
                  <c:v>58.470966153800191</c:v>
                </c:pt>
                <c:pt idx="1132">
                  <c:v>58.452254190387741</c:v>
                </c:pt>
                <c:pt idx="1133">
                  <c:v>58.433542226975291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C2-45F6-AFEA-595AAA1F5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039023"/>
        <c:axId val="1092441567"/>
      </c:lineChart>
      <c:dateAx>
        <c:axId val="132903902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1567"/>
        <c:crosses val="autoZero"/>
        <c:auto val="0"/>
        <c:lblOffset val="100"/>
        <c:baseTimeUnit val="months"/>
        <c:majorUnit val="6"/>
        <c:majorTimeUnit val="months"/>
      </c:dateAx>
      <c:valAx>
        <c:axId val="109244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Preço À Vista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3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Preço À Vista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Análise_À_Vista!$A$3:$A$1136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Análise_À_Vista!$B$3:$B$1136</c:f>
              <c:numCache>
                <c:formatCode>#,##0.00</c:formatCode>
                <c:ptCount val="1134"/>
                <c:pt idx="0">
                  <c:v>92.01</c:v>
                </c:pt>
                <c:pt idx="1">
                  <c:v>92.72</c:v>
                </c:pt>
                <c:pt idx="2">
                  <c:v>92.81</c:v>
                </c:pt>
                <c:pt idx="3">
                  <c:v>93.28</c:v>
                </c:pt>
                <c:pt idx="4">
                  <c:v>93.52</c:v>
                </c:pt>
                <c:pt idx="5">
                  <c:v>94.43</c:v>
                </c:pt>
                <c:pt idx="6">
                  <c:v>95.13</c:v>
                </c:pt>
                <c:pt idx="7">
                  <c:v>95.27</c:v>
                </c:pt>
                <c:pt idx="8">
                  <c:v>96.5</c:v>
                </c:pt>
                <c:pt idx="9">
                  <c:v>96.77</c:v>
                </c:pt>
                <c:pt idx="10">
                  <c:v>97.16</c:v>
                </c:pt>
                <c:pt idx="11">
                  <c:v>97.39</c:v>
                </c:pt>
                <c:pt idx="12">
                  <c:v>97.7</c:v>
                </c:pt>
                <c:pt idx="13">
                  <c:v>98.13</c:v>
                </c:pt>
                <c:pt idx="14">
                  <c:v>98.33</c:v>
                </c:pt>
                <c:pt idx="15">
                  <c:v>97.93</c:v>
                </c:pt>
                <c:pt idx="16">
                  <c:v>97.76</c:v>
                </c:pt>
                <c:pt idx="17">
                  <c:v>97.9</c:v>
                </c:pt>
                <c:pt idx="18">
                  <c:v>97.37</c:v>
                </c:pt>
                <c:pt idx="19">
                  <c:v>97.4</c:v>
                </c:pt>
                <c:pt idx="20">
                  <c:v>97.42</c:v>
                </c:pt>
                <c:pt idx="21">
                  <c:v>97.4</c:v>
                </c:pt>
                <c:pt idx="22">
                  <c:v>97.14</c:v>
                </c:pt>
                <c:pt idx="23">
                  <c:v>96.82</c:v>
                </c:pt>
                <c:pt idx="24">
                  <c:v>97.13</c:v>
                </c:pt>
                <c:pt idx="25">
                  <c:v>96.97</c:v>
                </c:pt>
                <c:pt idx="26">
                  <c:v>97.14</c:v>
                </c:pt>
                <c:pt idx="27">
                  <c:v>96.93</c:v>
                </c:pt>
                <c:pt idx="28">
                  <c:v>97.08</c:v>
                </c:pt>
                <c:pt idx="29">
                  <c:v>97.05</c:v>
                </c:pt>
                <c:pt idx="30">
                  <c:v>95.98</c:v>
                </c:pt>
                <c:pt idx="31">
                  <c:v>96.55</c:v>
                </c:pt>
                <c:pt idx="32">
                  <c:v>96.53</c:v>
                </c:pt>
                <c:pt idx="33">
                  <c:v>96.51</c:v>
                </c:pt>
                <c:pt idx="34">
                  <c:v>96.49</c:v>
                </c:pt>
                <c:pt idx="35">
                  <c:v>96.52</c:v>
                </c:pt>
                <c:pt idx="36">
                  <c:v>96.8</c:v>
                </c:pt>
                <c:pt idx="37">
                  <c:v>96.85</c:v>
                </c:pt>
                <c:pt idx="38">
                  <c:v>96.89</c:v>
                </c:pt>
                <c:pt idx="39">
                  <c:v>97.34</c:v>
                </c:pt>
                <c:pt idx="40">
                  <c:v>97.2</c:v>
                </c:pt>
                <c:pt idx="41">
                  <c:v>97.72</c:v>
                </c:pt>
                <c:pt idx="42">
                  <c:v>98.15</c:v>
                </c:pt>
                <c:pt idx="43">
                  <c:v>100.19</c:v>
                </c:pt>
                <c:pt idx="44">
                  <c:v>101.36</c:v>
                </c:pt>
                <c:pt idx="45">
                  <c:v>101.25</c:v>
                </c:pt>
                <c:pt idx="46">
                  <c:v>101.42</c:v>
                </c:pt>
                <c:pt idx="47">
                  <c:v>103.57</c:v>
                </c:pt>
                <c:pt idx="48">
                  <c:v>103.9</c:v>
                </c:pt>
                <c:pt idx="49">
                  <c:v>103.87</c:v>
                </c:pt>
                <c:pt idx="50">
                  <c:v>103.74</c:v>
                </c:pt>
                <c:pt idx="51">
                  <c:v>103.57</c:v>
                </c:pt>
                <c:pt idx="52">
                  <c:v>102.59</c:v>
                </c:pt>
                <c:pt idx="53">
                  <c:v>102.63</c:v>
                </c:pt>
                <c:pt idx="54">
                  <c:v>101.29</c:v>
                </c:pt>
                <c:pt idx="55">
                  <c:v>99.93</c:v>
                </c:pt>
                <c:pt idx="56">
                  <c:v>99.2</c:v>
                </c:pt>
                <c:pt idx="57">
                  <c:v>96.98</c:v>
                </c:pt>
                <c:pt idx="58">
                  <c:v>96.16</c:v>
                </c:pt>
                <c:pt idx="59">
                  <c:v>92.77</c:v>
                </c:pt>
                <c:pt idx="60">
                  <c:v>92.7</c:v>
                </c:pt>
                <c:pt idx="61">
                  <c:v>93.09</c:v>
                </c:pt>
                <c:pt idx="62">
                  <c:v>92.04</c:v>
                </c:pt>
                <c:pt idx="63">
                  <c:v>91.55</c:v>
                </c:pt>
                <c:pt idx="64">
                  <c:v>90.19</c:v>
                </c:pt>
                <c:pt idx="65">
                  <c:v>89.46</c:v>
                </c:pt>
                <c:pt idx="66">
                  <c:v>89.06</c:v>
                </c:pt>
                <c:pt idx="67">
                  <c:v>89.02</c:v>
                </c:pt>
                <c:pt idx="68">
                  <c:v>88.9</c:v>
                </c:pt>
                <c:pt idx="69">
                  <c:v>88.17</c:v>
                </c:pt>
                <c:pt idx="70">
                  <c:v>87.56</c:v>
                </c:pt>
                <c:pt idx="71">
                  <c:v>87.3</c:v>
                </c:pt>
                <c:pt idx="72">
                  <c:v>87.63</c:v>
                </c:pt>
                <c:pt idx="73">
                  <c:v>88.03</c:v>
                </c:pt>
                <c:pt idx="74">
                  <c:v>87.87</c:v>
                </c:pt>
                <c:pt idx="75">
                  <c:v>87.93</c:v>
                </c:pt>
                <c:pt idx="76">
                  <c:v>88.71</c:v>
                </c:pt>
                <c:pt idx="77">
                  <c:v>88.51</c:v>
                </c:pt>
                <c:pt idx="78">
                  <c:v>88.21</c:v>
                </c:pt>
                <c:pt idx="79">
                  <c:v>88.38</c:v>
                </c:pt>
                <c:pt idx="80">
                  <c:v>88.25</c:v>
                </c:pt>
                <c:pt idx="81">
                  <c:v>87.87</c:v>
                </c:pt>
                <c:pt idx="82">
                  <c:v>87.6</c:v>
                </c:pt>
                <c:pt idx="83">
                  <c:v>87.55</c:v>
                </c:pt>
                <c:pt idx="84">
                  <c:v>87.41</c:v>
                </c:pt>
                <c:pt idx="85">
                  <c:v>86.63</c:v>
                </c:pt>
                <c:pt idx="86">
                  <c:v>86.15</c:v>
                </c:pt>
                <c:pt idx="87">
                  <c:v>85.83</c:v>
                </c:pt>
                <c:pt idx="88">
                  <c:v>86.08</c:v>
                </c:pt>
                <c:pt idx="89">
                  <c:v>86.4</c:v>
                </c:pt>
                <c:pt idx="90">
                  <c:v>86.54</c:v>
                </c:pt>
                <c:pt idx="91">
                  <c:v>87.97</c:v>
                </c:pt>
                <c:pt idx="92">
                  <c:v>89.09</c:v>
                </c:pt>
                <c:pt idx="93">
                  <c:v>89.28</c:v>
                </c:pt>
                <c:pt idx="94">
                  <c:v>89.23</c:v>
                </c:pt>
                <c:pt idx="95">
                  <c:v>88.48</c:v>
                </c:pt>
                <c:pt idx="96">
                  <c:v>88.03</c:v>
                </c:pt>
                <c:pt idx="97">
                  <c:v>87.43</c:v>
                </c:pt>
                <c:pt idx="98">
                  <c:v>87.33</c:v>
                </c:pt>
                <c:pt idx="99">
                  <c:v>86.99</c:v>
                </c:pt>
                <c:pt idx="100">
                  <c:v>86.9</c:v>
                </c:pt>
                <c:pt idx="101">
                  <c:v>86.84</c:v>
                </c:pt>
                <c:pt idx="102">
                  <c:v>86.25</c:v>
                </c:pt>
                <c:pt idx="103">
                  <c:v>85.8</c:v>
                </c:pt>
                <c:pt idx="104">
                  <c:v>85.52</c:v>
                </c:pt>
                <c:pt idx="105">
                  <c:v>85.07</c:v>
                </c:pt>
                <c:pt idx="106">
                  <c:v>84.8</c:v>
                </c:pt>
                <c:pt idx="107">
                  <c:v>85.56</c:v>
                </c:pt>
                <c:pt idx="108">
                  <c:v>85.86</c:v>
                </c:pt>
                <c:pt idx="109">
                  <c:v>85.85</c:v>
                </c:pt>
                <c:pt idx="110">
                  <c:v>85.42</c:v>
                </c:pt>
                <c:pt idx="111">
                  <c:v>85.41</c:v>
                </c:pt>
                <c:pt idx="112">
                  <c:v>86.42</c:v>
                </c:pt>
                <c:pt idx="113">
                  <c:v>86.25</c:v>
                </c:pt>
                <c:pt idx="114">
                  <c:v>86.32</c:v>
                </c:pt>
                <c:pt idx="115">
                  <c:v>87.42</c:v>
                </c:pt>
                <c:pt idx="116">
                  <c:v>87.15</c:v>
                </c:pt>
                <c:pt idx="117">
                  <c:v>87.04</c:v>
                </c:pt>
                <c:pt idx="118">
                  <c:v>85.92</c:v>
                </c:pt>
                <c:pt idx="119">
                  <c:v>85.65</c:v>
                </c:pt>
                <c:pt idx="120">
                  <c:v>84.75</c:v>
                </c:pt>
                <c:pt idx="121">
                  <c:v>83.9</c:v>
                </c:pt>
                <c:pt idx="122">
                  <c:v>84.85</c:v>
                </c:pt>
                <c:pt idx="123">
                  <c:v>83.55</c:v>
                </c:pt>
                <c:pt idx="124">
                  <c:v>83.16</c:v>
                </c:pt>
                <c:pt idx="125">
                  <c:v>83.24</c:v>
                </c:pt>
                <c:pt idx="126">
                  <c:v>82.6</c:v>
                </c:pt>
                <c:pt idx="127">
                  <c:v>82.19</c:v>
                </c:pt>
                <c:pt idx="128">
                  <c:v>81.680000000000007</c:v>
                </c:pt>
                <c:pt idx="129">
                  <c:v>81.5</c:v>
                </c:pt>
                <c:pt idx="130">
                  <c:v>82.36</c:v>
                </c:pt>
                <c:pt idx="131">
                  <c:v>83.12</c:v>
                </c:pt>
                <c:pt idx="132">
                  <c:v>82.73</c:v>
                </c:pt>
                <c:pt idx="133">
                  <c:v>82.58</c:v>
                </c:pt>
                <c:pt idx="134">
                  <c:v>82.46</c:v>
                </c:pt>
                <c:pt idx="135">
                  <c:v>82.36</c:v>
                </c:pt>
                <c:pt idx="136">
                  <c:v>81.67</c:v>
                </c:pt>
                <c:pt idx="137">
                  <c:v>81.41</c:v>
                </c:pt>
                <c:pt idx="138">
                  <c:v>80.849999999999994</c:v>
                </c:pt>
                <c:pt idx="139">
                  <c:v>80.06</c:v>
                </c:pt>
                <c:pt idx="140">
                  <c:v>80.2</c:v>
                </c:pt>
                <c:pt idx="141">
                  <c:v>81.27</c:v>
                </c:pt>
                <c:pt idx="142">
                  <c:v>81.400000000000006</c:v>
                </c:pt>
                <c:pt idx="143">
                  <c:v>81.78</c:v>
                </c:pt>
                <c:pt idx="144">
                  <c:v>82.93</c:v>
                </c:pt>
                <c:pt idx="145">
                  <c:v>82.64</c:v>
                </c:pt>
                <c:pt idx="146">
                  <c:v>82.58</c:v>
                </c:pt>
                <c:pt idx="147">
                  <c:v>82.41</c:v>
                </c:pt>
                <c:pt idx="148">
                  <c:v>82.24</c:v>
                </c:pt>
                <c:pt idx="149">
                  <c:v>81.91</c:v>
                </c:pt>
                <c:pt idx="150">
                  <c:v>82.05</c:v>
                </c:pt>
                <c:pt idx="151">
                  <c:v>81.63</c:v>
                </c:pt>
                <c:pt idx="152">
                  <c:v>82.76</c:v>
                </c:pt>
                <c:pt idx="153">
                  <c:v>81.94</c:v>
                </c:pt>
                <c:pt idx="154">
                  <c:v>81.55</c:v>
                </c:pt>
                <c:pt idx="155">
                  <c:v>81.41</c:v>
                </c:pt>
                <c:pt idx="156">
                  <c:v>82.11</c:v>
                </c:pt>
                <c:pt idx="157">
                  <c:v>82.77</c:v>
                </c:pt>
                <c:pt idx="158">
                  <c:v>82.1</c:v>
                </c:pt>
                <c:pt idx="159">
                  <c:v>82.16</c:v>
                </c:pt>
                <c:pt idx="160">
                  <c:v>81.900000000000006</c:v>
                </c:pt>
                <c:pt idx="161">
                  <c:v>82.69</c:v>
                </c:pt>
                <c:pt idx="162">
                  <c:v>82.77</c:v>
                </c:pt>
                <c:pt idx="163">
                  <c:v>83.31</c:v>
                </c:pt>
                <c:pt idx="164">
                  <c:v>83.6</c:v>
                </c:pt>
                <c:pt idx="165">
                  <c:v>83.8</c:v>
                </c:pt>
                <c:pt idx="166">
                  <c:v>83.73</c:v>
                </c:pt>
                <c:pt idx="167">
                  <c:v>83.94</c:v>
                </c:pt>
                <c:pt idx="168">
                  <c:v>83.66</c:v>
                </c:pt>
                <c:pt idx="169">
                  <c:v>83.39</c:v>
                </c:pt>
                <c:pt idx="170">
                  <c:v>83.26</c:v>
                </c:pt>
                <c:pt idx="171">
                  <c:v>83.54</c:v>
                </c:pt>
                <c:pt idx="172">
                  <c:v>83.25</c:v>
                </c:pt>
                <c:pt idx="173">
                  <c:v>83.43</c:v>
                </c:pt>
                <c:pt idx="174">
                  <c:v>83.95</c:v>
                </c:pt>
                <c:pt idx="175">
                  <c:v>83.72</c:v>
                </c:pt>
                <c:pt idx="176">
                  <c:v>84.28</c:v>
                </c:pt>
                <c:pt idx="177">
                  <c:v>84.55</c:v>
                </c:pt>
                <c:pt idx="178">
                  <c:v>84.35</c:v>
                </c:pt>
                <c:pt idx="179">
                  <c:v>84.02</c:v>
                </c:pt>
                <c:pt idx="180">
                  <c:v>84.21</c:v>
                </c:pt>
                <c:pt idx="181">
                  <c:v>84.24</c:v>
                </c:pt>
                <c:pt idx="182">
                  <c:v>84.56</c:v>
                </c:pt>
                <c:pt idx="183">
                  <c:v>84.54</c:v>
                </c:pt>
                <c:pt idx="184">
                  <c:v>84.58</c:v>
                </c:pt>
                <c:pt idx="185">
                  <c:v>84.72</c:v>
                </c:pt>
                <c:pt idx="186">
                  <c:v>84.25</c:v>
                </c:pt>
                <c:pt idx="187">
                  <c:v>84.24</c:v>
                </c:pt>
                <c:pt idx="188">
                  <c:v>84.42</c:v>
                </c:pt>
                <c:pt idx="189">
                  <c:v>84.14</c:v>
                </c:pt>
                <c:pt idx="190">
                  <c:v>83.27</c:v>
                </c:pt>
                <c:pt idx="191">
                  <c:v>82.91</c:v>
                </c:pt>
                <c:pt idx="192">
                  <c:v>83.04</c:v>
                </c:pt>
                <c:pt idx="193">
                  <c:v>83.05</c:v>
                </c:pt>
                <c:pt idx="194">
                  <c:v>83.5</c:v>
                </c:pt>
                <c:pt idx="195">
                  <c:v>83.86</c:v>
                </c:pt>
                <c:pt idx="196">
                  <c:v>84.42</c:v>
                </c:pt>
                <c:pt idx="197">
                  <c:v>84.67</c:v>
                </c:pt>
                <c:pt idx="198">
                  <c:v>84.86</c:v>
                </c:pt>
                <c:pt idx="199">
                  <c:v>85.38</c:v>
                </c:pt>
                <c:pt idx="200">
                  <c:v>85.41</c:v>
                </c:pt>
                <c:pt idx="201">
                  <c:v>85.21</c:v>
                </c:pt>
                <c:pt idx="202">
                  <c:v>85.28</c:v>
                </c:pt>
                <c:pt idx="203">
                  <c:v>85.08</c:v>
                </c:pt>
                <c:pt idx="204">
                  <c:v>84.91</c:v>
                </c:pt>
                <c:pt idx="205">
                  <c:v>85.12</c:v>
                </c:pt>
                <c:pt idx="206">
                  <c:v>85.35</c:v>
                </c:pt>
                <c:pt idx="207">
                  <c:v>85.69</c:v>
                </c:pt>
                <c:pt idx="208">
                  <c:v>85.35</c:v>
                </c:pt>
                <c:pt idx="209">
                  <c:v>85.11</c:v>
                </c:pt>
                <c:pt idx="210">
                  <c:v>84.76</c:v>
                </c:pt>
                <c:pt idx="211">
                  <c:v>84.95</c:v>
                </c:pt>
                <c:pt idx="212">
                  <c:v>85.19</c:v>
                </c:pt>
                <c:pt idx="213">
                  <c:v>85.3</c:v>
                </c:pt>
                <c:pt idx="214">
                  <c:v>84.76</c:v>
                </c:pt>
                <c:pt idx="215">
                  <c:v>84.48</c:v>
                </c:pt>
                <c:pt idx="216">
                  <c:v>83.74</c:v>
                </c:pt>
                <c:pt idx="217">
                  <c:v>84</c:v>
                </c:pt>
                <c:pt idx="218">
                  <c:v>83.69</c:v>
                </c:pt>
                <c:pt idx="219">
                  <c:v>84.06</c:v>
                </c:pt>
                <c:pt idx="220">
                  <c:v>84.77</c:v>
                </c:pt>
                <c:pt idx="221">
                  <c:v>85.08</c:v>
                </c:pt>
                <c:pt idx="222">
                  <c:v>85.19</c:v>
                </c:pt>
                <c:pt idx="223">
                  <c:v>85.51</c:v>
                </c:pt>
                <c:pt idx="224">
                  <c:v>85.87</c:v>
                </c:pt>
                <c:pt idx="225">
                  <c:v>85.48</c:v>
                </c:pt>
                <c:pt idx="226">
                  <c:v>85.96</c:v>
                </c:pt>
                <c:pt idx="227">
                  <c:v>85.76</c:v>
                </c:pt>
                <c:pt idx="228">
                  <c:v>86.2</c:v>
                </c:pt>
                <c:pt idx="229">
                  <c:v>86</c:v>
                </c:pt>
                <c:pt idx="230">
                  <c:v>86.03</c:v>
                </c:pt>
                <c:pt idx="231">
                  <c:v>85.54</c:v>
                </c:pt>
                <c:pt idx="232">
                  <c:v>86.1</c:v>
                </c:pt>
                <c:pt idx="233">
                  <c:v>86.19</c:v>
                </c:pt>
                <c:pt idx="234">
                  <c:v>85.9</c:v>
                </c:pt>
                <c:pt idx="235">
                  <c:v>86.08</c:v>
                </c:pt>
                <c:pt idx="236">
                  <c:v>86.15</c:v>
                </c:pt>
                <c:pt idx="237">
                  <c:v>86</c:v>
                </c:pt>
                <c:pt idx="238">
                  <c:v>85.79</c:v>
                </c:pt>
                <c:pt idx="239">
                  <c:v>85.91</c:v>
                </c:pt>
                <c:pt idx="240">
                  <c:v>86.44</c:v>
                </c:pt>
                <c:pt idx="241">
                  <c:v>86.05</c:v>
                </c:pt>
                <c:pt idx="242">
                  <c:v>85.98</c:v>
                </c:pt>
                <c:pt idx="243">
                  <c:v>85.82</c:v>
                </c:pt>
                <c:pt idx="244">
                  <c:v>85.58</c:v>
                </c:pt>
                <c:pt idx="245">
                  <c:v>85.8</c:v>
                </c:pt>
                <c:pt idx="246">
                  <c:v>85.79</c:v>
                </c:pt>
                <c:pt idx="247">
                  <c:v>86.61</c:v>
                </c:pt>
                <c:pt idx="248">
                  <c:v>86.42</c:v>
                </c:pt>
                <c:pt idx="249">
                  <c:v>86.07</c:v>
                </c:pt>
                <c:pt idx="250">
                  <c:v>86.09</c:v>
                </c:pt>
                <c:pt idx="251">
                  <c:v>86.07</c:v>
                </c:pt>
                <c:pt idx="252">
                  <c:v>86.35</c:v>
                </c:pt>
                <c:pt idx="253">
                  <c:v>87.72</c:v>
                </c:pt>
                <c:pt idx="254">
                  <c:v>87.5</c:v>
                </c:pt>
                <c:pt idx="255">
                  <c:v>87.27</c:v>
                </c:pt>
                <c:pt idx="256">
                  <c:v>87.33</c:v>
                </c:pt>
                <c:pt idx="257">
                  <c:v>87.19</c:v>
                </c:pt>
                <c:pt idx="258">
                  <c:v>86.86</c:v>
                </c:pt>
                <c:pt idx="259">
                  <c:v>86.87</c:v>
                </c:pt>
                <c:pt idx="260">
                  <c:v>86.39</c:v>
                </c:pt>
                <c:pt idx="261">
                  <c:v>86.19</c:v>
                </c:pt>
                <c:pt idx="262">
                  <c:v>85.9</c:v>
                </c:pt>
                <c:pt idx="263">
                  <c:v>85.38</c:v>
                </c:pt>
                <c:pt idx="264">
                  <c:v>85.33</c:v>
                </c:pt>
                <c:pt idx="265">
                  <c:v>85.43</c:v>
                </c:pt>
                <c:pt idx="266">
                  <c:v>85.17</c:v>
                </c:pt>
                <c:pt idx="267">
                  <c:v>85.22</c:v>
                </c:pt>
                <c:pt idx="268">
                  <c:v>84.88</c:v>
                </c:pt>
                <c:pt idx="269">
                  <c:v>84.74</c:v>
                </c:pt>
                <c:pt idx="270">
                  <c:v>84.95</c:v>
                </c:pt>
                <c:pt idx="271">
                  <c:v>85.49</c:v>
                </c:pt>
                <c:pt idx="272">
                  <c:v>85.76</c:v>
                </c:pt>
                <c:pt idx="273">
                  <c:v>85.04</c:v>
                </c:pt>
                <c:pt idx="274">
                  <c:v>84.98</c:v>
                </c:pt>
                <c:pt idx="275">
                  <c:v>85.12</c:v>
                </c:pt>
                <c:pt idx="276">
                  <c:v>84.87</c:v>
                </c:pt>
                <c:pt idx="277">
                  <c:v>84.9</c:v>
                </c:pt>
                <c:pt idx="278">
                  <c:v>85.96</c:v>
                </c:pt>
                <c:pt idx="279">
                  <c:v>86.03</c:v>
                </c:pt>
                <c:pt idx="280">
                  <c:v>85.86</c:v>
                </c:pt>
                <c:pt idx="281">
                  <c:v>86.26</c:v>
                </c:pt>
                <c:pt idx="282">
                  <c:v>86.06</c:v>
                </c:pt>
                <c:pt idx="283">
                  <c:v>86.24</c:v>
                </c:pt>
                <c:pt idx="284">
                  <c:v>85.73</c:v>
                </c:pt>
                <c:pt idx="285">
                  <c:v>86.06</c:v>
                </c:pt>
                <c:pt idx="286">
                  <c:v>86.22</c:v>
                </c:pt>
                <c:pt idx="287">
                  <c:v>85.83</c:v>
                </c:pt>
                <c:pt idx="288">
                  <c:v>86.4</c:v>
                </c:pt>
                <c:pt idx="289">
                  <c:v>86.08</c:v>
                </c:pt>
                <c:pt idx="290">
                  <c:v>86.11</c:v>
                </c:pt>
                <c:pt idx="291">
                  <c:v>86.36</c:v>
                </c:pt>
                <c:pt idx="292">
                  <c:v>86.22</c:v>
                </c:pt>
                <c:pt idx="293">
                  <c:v>86.15</c:v>
                </c:pt>
                <c:pt idx="294">
                  <c:v>85.84</c:v>
                </c:pt>
                <c:pt idx="295">
                  <c:v>86.03</c:v>
                </c:pt>
                <c:pt idx="296">
                  <c:v>85.47</c:v>
                </c:pt>
                <c:pt idx="297">
                  <c:v>85.32</c:v>
                </c:pt>
                <c:pt idx="298">
                  <c:v>85.61</c:v>
                </c:pt>
                <c:pt idx="299">
                  <c:v>85.42</c:v>
                </c:pt>
                <c:pt idx="300">
                  <c:v>85.49</c:v>
                </c:pt>
                <c:pt idx="301">
                  <c:v>85.37</c:v>
                </c:pt>
                <c:pt idx="302">
                  <c:v>85.24</c:v>
                </c:pt>
                <c:pt idx="303">
                  <c:v>84.66</c:v>
                </c:pt>
                <c:pt idx="304">
                  <c:v>84.46</c:v>
                </c:pt>
                <c:pt idx="305">
                  <c:v>84.36</c:v>
                </c:pt>
                <c:pt idx="306">
                  <c:v>83.91</c:v>
                </c:pt>
                <c:pt idx="307">
                  <c:v>84.18</c:v>
                </c:pt>
                <c:pt idx="308">
                  <c:v>84</c:v>
                </c:pt>
                <c:pt idx="309">
                  <c:v>83.39</c:v>
                </c:pt>
                <c:pt idx="310">
                  <c:v>83.17</c:v>
                </c:pt>
                <c:pt idx="311">
                  <c:v>82.9</c:v>
                </c:pt>
                <c:pt idx="312">
                  <c:v>82.6</c:v>
                </c:pt>
                <c:pt idx="313">
                  <c:v>82.4</c:v>
                </c:pt>
                <c:pt idx="314">
                  <c:v>81.12</c:v>
                </c:pt>
                <c:pt idx="315">
                  <c:v>80.89</c:v>
                </c:pt>
                <c:pt idx="316">
                  <c:v>80.239999999999995</c:v>
                </c:pt>
                <c:pt idx="317">
                  <c:v>79.39</c:v>
                </c:pt>
                <c:pt idx="318">
                  <c:v>78.34</c:v>
                </c:pt>
                <c:pt idx="319">
                  <c:v>77.66</c:v>
                </c:pt>
                <c:pt idx="320">
                  <c:v>76.88</c:v>
                </c:pt>
                <c:pt idx="321">
                  <c:v>75.989999999999995</c:v>
                </c:pt>
                <c:pt idx="322">
                  <c:v>75.290000000000006</c:v>
                </c:pt>
                <c:pt idx="323">
                  <c:v>73.92</c:v>
                </c:pt>
                <c:pt idx="324">
                  <c:v>72.760000000000005</c:v>
                </c:pt>
                <c:pt idx="325">
                  <c:v>70.599999999999994</c:v>
                </c:pt>
                <c:pt idx="326">
                  <c:v>70.11</c:v>
                </c:pt>
                <c:pt idx="327">
                  <c:v>69.75</c:v>
                </c:pt>
                <c:pt idx="328">
                  <c:v>68.680000000000007</c:v>
                </c:pt>
                <c:pt idx="329">
                  <c:v>67.709999999999994</c:v>
                </c:pt>
                <c:pt idx="330">
                  <c:v>65.61</c:v>
                </c:pt>
                <c:pt idx="331">
                  <c:v>64.5</c:v>
                </c:pt>
                <c:pt idx="332">
                  <c:v>64.150000000000006</c:v>
                </c:pt>
                <c:pt idx="333">
                  <c:v>62.85</c:v>
                </c:pt>
                <c:pt idx="334">
                  <c:v>62.32</c:v>
                </c:pt>
                <c:pt idx="335">
                  <c:v>61.75</c:v>
                </c:pt>
                <c:pt idx="336">
                  <c:v>60.46</c:v>
                </c:pt>
                <c:pt idx="337">
                  <c:v>60.13</c:v>
                </c:pt>
                <c:pt idx="338">
                  <c:v>58.69</c:v>
                </c:pt>
                <c:pt idx="339">
                  <c:v>58.79</c:v>
                </c:pt>
                <c:pt idx="340">
                  <c:v>58.83</c:v>
                </c:pt>
                <c:pt idx="341">
                  <c:v>58.84</c:v>
                </c:pt>
                <c:pt idx="342">
                  <c:v>57.43</c:v>
                </c:pt>
                <c:pt idx="343">
                  <c:v>56.51</c:v>
                </c:pt>
                <c:pt idx="344">
                  <c:v>56.04</c:v>
                </c:pt>
                <c:pt idx="345">
                  <c:v>55.83</c:v>
                </c:pt>
                <c:pt idx="346">
                  <c:v>55.16</c:v>
                </c:pt>
                <c:pt idx="347">
                  <c:v>54.56</c:v>
                </c:pt>
                <c:pt idx="348">
                  <c:v>55</c:v>
                </c:pt>
                <c:pt idx="349">
                  <c:v>54.82</c:v>
                </c:pt>
                <c:pt idx="350">
                  <c:v>54.83</c:v>
                </c:pt>
                <c:pt idx="351">
                  <c:v>54.27</c:v>
                </c:pt>
                <c:pt idx="352">
                  <c:v>53.77</c:v>
                </c:pt>
                <c:pt idx="353">
                  <c:v>53.9</c:v>
                </c:pt>
                <c:pt idx="354">
                  <c:v>53.72</c:v>
                </c:pt>
                <c:pt idx="355">
                  <c:v>53.63</c:v>
                </c:pt>
                <c:pt idx="356">
                  <c:v>54.07</c:v>
                </c:pt>
                <c:pt idx="357">
                  <c:v>53.72</c:v>
                </c:pt>
                <c:pt idx="358">
                  <c:v>53.73</c:v>
                </c:pt>
                <c:pt idx="359">
                  <c:v>53.77</c:v>
                </c:pt>
                <c:pt idx="360">
                  <c:v>54.07</c:v>
                </c:pt>
                <c:pt idx="361">
                  <c:v>54.33</c:v>
                </c:pt>
                <c:pt idx="362">
                  <c:v>54.35</c:v>
                </c:pt>
                <c:pt idx="363">
                  <c:v>54.36</c:v>
                </c:pt>
                <c:pt idx="364">
                  <c:v>54.47</c:v>
                </c:pt>
                <c:pt idx="365">
                  <c:v>54.83</c:v>
                </c:pt>
                <c:pt idx="366">
                  <c:v>55.52</c:v>
                </c:pt>
                <c:pt idx="367">
                  <c:v>57.07</c:v>
                </c:pt>
                <c:pt idx="368">
                  <c:v>57.36</c:v>
                </c:pt>
                <c:pt idx="369">
                  <c:v>57.41</c:v>
                </c:pt>
                <c:pt idx="370">
                  <c:v>57.67</c:v>
                </c:pt>
                <c:pt idx="371">
                  <c:v>56.36</c:v>
                </c:pt>
                <c:pt idx="372">
                  <c:v>56.12</c:v>
                </c:pt>
                <c:pt idx="373">
                  <c:v>55.36</c:v>
                </c:pt>
                <c:pt idx="374">
                  <c:v>55.53</c:v>
                </c:pt>
                <c:pt idx="375">
                  <c:v>55.68</c:v>
                </c:pt>
                <c:pt idx="376">
                  <c:v>56.12</c:v>
                </c:pt>
                <c:pt idx="377">
                  <c:v>55.35</c:v>
                </c:pt>
                <c:pt idx="378">
                  <c:v>55.88</c:v>
                </c:pt>
                <c:pt idx="379">
                  <c:v>55.79</c:v>
                </c:pt>
                <c:pt idx="380">
                  <c:v>55.24</c:v>
                </c:pt>
                <c:pt idx="381">
                  <c:v>55.29</c:v>
                </c:pt>
                <c:pt idx="382">
                  <c:v>54.06</c:v>
                </c:pt>
                <c:pt idx="383">
                  <c:v>54.28</c:v>
                </c:pt>
                <c:pt idx="384">
                  <c:v>54.52</c:v>
                </c:pt>
                <c:pt idx="385">
                  <c:v>54.57</c:v>
                </c:pt>
                <c:pt idx="386">
                  <c:v>55.04</c:v>
                </c:pt>
                <c:pt idx="387">
                  <c:v>54.68</c:v>
                </c:pt>
                <c:pt idx="388">
                  <c:v>53.74</c:v>
                </c:pt>
                <c:pt idx="389">
                  <c:v>55.06</c:v>
                </c:pt>
                <c:pt idx="390">
                  <c:v>55.28</c:v>
                </c:pt>
                <c:pt idx="391">
                  <c:v>55.12</c:v>
                </c:pt>
                <c:pt idx="392">
                  <c:v>54.71</c:v>
                </c:pt>
                <c:pt idx="393">
                  <c:v>54.92</c:v>
                </c:pt>
                <c:pt idx="394">
                  <c:v>53.62</c:v>
                </c:pt>
                <c:pt idx="395">
                  <c:v>53.75</c:v>
                </c:pt>
                <c:pt idx="396">
                  <c:v>53.22</c:v>
                </c:pt>
                <c:pt idx="397">
                  <c:v>53.47</c:v>
                </c:pt>
                <c:pt idx="398">
                  <c:v>53.19</c:v>
                </c:pt>
                <c:pt idx="399">
                  <c:v>53.13</c:v>
                </c:pt>
                <c:pt idx="400">
                  <c:v>52.96</c:v>
                </c:pt>
                <c:pt idx="401">
                  <c:v>52.97</c:v>
                </c:pt>
                <c:pt idx="402">
                  <c:v>52.65</c:v>
                </c:pt>
                <c:pt idx="403">
                  <c:v>52.84</c:v>
                </c:pt>
                <c:pt idx="404">
                  <c:v>53.26</c:v>
                </c:pt>
                <c:pt idx="405">
                  <c:v>53.33</c:v>
                </c:pt>
                <c:pt idx="406">
                  <c:v>53.19</c:v>
                </c:pt>
                <c:pt idx="407">
                  <c:v>53.22</c:v>
                </c:pt>
                <c:pt idx="408">
                  <c:v>53.55</c:v>
                </c:pt>
                <c:pt idx="409">
                  <c:v>53.65</c:v>
                </c:pt>
                <c:pt idx="410">
                  <c:v>53.47</c:v>
                </c:pt>
                <c:pt idx="411">
                  <c:v>53.96</c:v>
                </c:pt>
                <c:pt idx="412">
                  <c:v>53.56</c:v>
                </c:pt>
                <c:pt idx="413">
                  <c:v>53.38</c:v>
                </c:pt>
                <c:pt idx="414">
                  <c:v>53.44</c:v>
                </c:pt>
                <c:pt idx="415">
                  <c:v>53.5</c:v>
                </c:pt>
                <c:pt idx="416">
                  <c:v>53.7</c:v>
                </c:pt>
                <c:pt idx="417">
                  <c:v>53.54</c:v>
                </c:pt>
                <c:pt idx="418">
                  <c:v>53.88</c:v>
                </c:pt>
                <c:pt idx="419">
                  <c:v>53.82</c:v>
                </c:pt>
                <c:pt idx="420">
                  <c:v>54</c:v>
                </c:pt>
                <c:pt idx="421">
                  <c:v>53.86</c:v>
                </c:pt>
                <c:pt idx="422">
                  <c:v>54.56</c:v>
                </c:pt>
                <c:pt idx="423">
                  <c:v>53.82</c:v>
                </c:pt>
                <c:pt idx="424">
                  <c:v>53.28</c:v>
                </c:pt>
                <c:pt idx="425">
                  <c:v>53.06</c:v>
                </c:pt>
                <c:pt idx="426">
                  <c:v>53.99</c:v>
                </c:pt>
                <c:pt idx="427">
                  <c:v>53.87</c:v>
                </c:pt>
                <c:pt idx="428">
                  <c:v>53.82</c:v>
                </c:pt>
                <c:pt idx="429">
                  <c:v>54.29</c:v>
                </c:pt>
                <c:pt idx="430">
                  <c:v>54.34</c:v>
                </c:pt>
                <c:pt idx="431">
                  <c:v>54.43</c:v>
                </c:pt>
                <c:pt idx="432">
                  <c:v>54.9</c:v>
                </c:pt>
                <c:pt idx="433">
                  <c:v>55.73</c:v>
                </c:pt>
                <c:pt idx="434">
                  <c:v>55.97</c:v>
                </c:pt>
                <c:pt idx="435">
                  <c:v>56.39</c:v>
                </c:pt>
                <c:pt idx="436">
                  <c:v>57.02</c:v>
                </c:pt>
                <c:pt idx="437">
                  <c:v>57.47</c:v>
                </c:pt>
                <c:pt idx="438">
                  <c:v>58.08</c:v>
                </c:pt>
                <c:pt idx="439">
                  <c:v>57.81</c:v>
                </c:pt>
                <c:pt idx="440">
                  <c:v>58.47</c:v>
                </c:pt>
                <c:pt idx="441">
                  <c:v>59.19</c:v>
                </c:pt>
                <c:pt idx="442">
                  <c:v>59.72</c:v>
                </c:pt>
                <c:pt idx="443">
                  <c:v>59.96</c:v>
                </c:pt>
                <c:pt idx="444">
                  <c:v>60.52</c:v>
                </c:pt>
                <c:pt idx="445">
                  <c:v>60.34</c:v>
                </c:pt>
                <c:pt idx="446">
                  <c:v>59.74</c:v>
                </c:pt>
                <c:pt idx="447">
                  <c:v>59.42</c:v>
                </c:pt>
                <c:pt idx="448">
                  <c:v>58.81</c:v>
                </c:pt>
                <c:pt idx="449">
                  <c:v>58.48</c:v>
                </c:pt>
                <c:pt idx="450">
                  <c:v>58.53</c:v>
                </c:pt>
                <c:pt idx="451">
                  <c:v>58.84</c:v>
                </c:pt>
                <c:pt idx="452">
                  <c:v>59</c:v>
                </c:pt>
                <c:pt idx="453">
                  <c:v>58.92</c:v>
                </c:pt>
                <c:pt idx="454">
                  <c:v>58.91</c:v>
                </c:pt>
                <c:pt idx="455">
                  <c:v>58.81</c:v>
                </c:pt>
                <c:pt idx="456">
                  <c:v>58.98</c:v>
                </c:pt>
                <c:pt idx="457">
                  <c:v>59.25</c:v>
                </c:pt>
                <c:pt idx="458">
                  <c:v>60.02</c:v>
                </c:pt>
                <c:pt idx="459">
                  <c:v>60.03</c:v>
                </c:pt>
                <c:pt idx="460">
                  <c:v>59.99</c:v>
                </c:pt>
                <c:pt idx="461">
                  <c:v>60.05</c:v>
                </c:pt>
                <c:pt idx="462">
                  <c:v>59.46</c:v>
                </c:pt>
                <c:pt idx="463">
                  <c:v>59.36</c:v>
                </c:pt>
                <c:pt idx="464">
                  <c:v>59.51</c:v>
                </c:pt>
                <c:pt idx="465">
                  <c:v>59.87</c:v>
                </c:pt>
                <c:pt idx="466">
                  <c:v>59.67</c:v>
                </c:pt>
                <c:pt idx="467">
                  <c:v>60.15</c:v>
                </c:pt>
                <c:pt idx="468">
                  <c:v>61.14</c:v>
                </c:pt>
                <c:pt idx="469">
                  <c:v>60.74</c:v>
                </c:pt>
                <c:pt idx="470">
                  <c:v>60.76</c:v>
                </c:pt>
                <c:pt idx="471">
                  <c:v>61.11</c:v>
                </c:pt>
                <c:pt idx="472">
                  <c:v>61.16</c:v>
                </c:pt>
                <c:pt idx="473">
                  <c:v>61.18</c:v>
                </c:pt>
                <c:pt idx="474">
                  <c:v>60.96</c:v>
                </c:pt>
                <c:pt idx="475">
                  <c:v>61.51</c:v>
                </c:pt>
                <c:pt idx="476">
                  <c:v>61.92</c:v>
                </c:pt>
                <c:pt idx="477">
                  <c:v>61.63</c:v>
                </c:pt>
                <c:pt idx="478">
                  <c:v>62.74</c:v>
                </c:pt>
                <c:pt idx="479">
                  <c:v>62.63</c:v>
                </c:pt>
                <c:pt idx="480">
                  <c:v>63.29</c:v>
                </c:pt>
                <c:pt idx="481">
                  <c:v>64.67</c:v>
                </c:pt>
                <c:pt idx="482">
                  <c:v>64.91</c:v>
                </c:pt>
                <c:pt idx="483">
                  <c:v>65.790000000000006</c:v>
                </c:pt>
                <c:pt idx="484">
                  <c:v>65.94</c:v>
                </c:pt>
                <c:pt idx="485">
                  <c:v>67.260000000000005</c:v>
                </c:pt>
                <c:pt idx="486">
                  <c:v>67.5</c:v>
                </c:pt>
                <c:pt idx="487">
                  <c:v>68.13</c:v>
                </c:pt>
                <c:pt idx="488">
                  <c:v>68.209999999999994</c:v>
                </c:pt>
                <c:pt idx="489">
                  <c:v>67.569999999999993</c:v>
                </c:pt>
                <c:pt idx="490">
                  <c:v>67.56</c:v>
                </c:pt>
                <c:pt idx="491">
                  <c:v>67.42</c:v>
                </c:pt>
                <c:pt idx="492">
                  <c:v>67.55</c:v>
                </c:pt>
                <c:pt idx="493">
                  <c:v>67.59</c:v>
                </c:pt>
                <c:pt idx="494">
                  <c:v>67.56</c:v>
                </c:pt>
                <c:pt idx="495">
                  <c:v>67.84</c:v>
                </c:pt>
                <c:pt idx="496">
                  <c:v>68.02</c:v>
                </c:pt>
                <c:pt idx="497">
                  <c:v>69.209999999999994</c:v>
                </c:pt>
                <c:pt idx="498">
                  <c:v>69.75</c:v>
                </c:pt>
                <c:pt idx="499">
                  <c:v>69.77</c:v>
                </c:pt>
                <c:pt idx="500">
                  <c:v>71.319999999999993</c:v>
                </c:pt>
                <c:pt idx="501">
                  <c:v>70.47</c:v>
                </c:pt>
                <c:pt idx="502">
                  <c:v>70.12</c:v>
                </c:pt>
                <c:pt idx="503">
                  <c:v>70.239999999999995</c:v>
                </c:pt>
                <c:pt idx="504">
                  <c:v>69.3</c:v>
                </c:pt>
                <c:pt idx="505">
                  <c:v>68</c:v>
                </c:pt>
                <c:pt idx="506">
                  <c:v>67.239999999999995</c:v>
                </c:pt>
                <c:pt idx="507">
                  <c:v>66.08</c:v>
                </c:pt>
                <c:pt idx="508">
                  <c:v>65.53</c:v>
                </c:pt>
                <c:pt idx="509">
                  <c:v>64.8</c:v>
                </c:pt>
                <c:pt idx="510">
                  <c:v>64.09</c:v>
                </c:pt>
                <c:pt idx="511">
                  <c:v>63</c:v>
                </c:pt>
                <c:pt idx="512">
                  <c:v>62.28</c:v>
                </c:pt>
                <c:pt idx="513">
                  <c:v>62.11</c:v>
                </c:pt>
                <c:pt idx="514">
                  <c:v>62.64</c:v>
                </c:pt>
                <c:pt idx="515">
                  <c:v>62.24</c:v>
                </c:pt>
                <c:pt idx="516">
                  <c:v>61.95</c:v>
                </c:pt>
                <c:pt idx="517">
                  <c:v>62.15</c:v>
                </c:pt>
                <c:pt idx="518">
                  <c:v>62.81</c:v>
                </c:pt>
                <c:pt idx="519">
                  <c:v>62.34</c:v>
                </c:pt>
                <c:pt idx="520">
                  <c:v>61.45</c:v>
                </c:pt>
                <c:pt idx="521">
                  <c:v>62.13</c:v>
                </c:pt>
                <c:pt idx="522">
                  <c:v>62.72</c:v>
                </c:pt>
                <c:pt idx="523">
                  <c:v>62.82</c:v>
                </c:pt>
                <c:pt idx="524">
                  <c:v>63.28</c:v>
                </c:pt>
                <c:pt idx="525">
                  <c:v>62.71</c:v>
                </c:pt>
                <c:pt idx="526">
                  <c:v>62.17</c:v>
                </c:pt>
                <c:pt idx="527">
                  <c:v>62.13</c:v>
                </c:pt>
                <c:pt idx="528">
                  <c:v>62.12</c:v>
                </c:pt>
                <c:pt idx="529">
                  <c:v>62.47</c:v>
                </c:pt>
                <c:pt idx="530">
                  <c:v>62.57</c:v>
                </c:pt>
                <c:pt idx="531">
                  <c:v>62.85</c:v>
                </c:pt>
                <c:pt idx="532">
                  <c:v>63.11</c:v>
                </c:pt>
                <c:pt idx="533">
                  <c:v>62.87</c:v>
                </c:pt>
                <c:pt idx="534">
                  <c:v>63.06</c:v>
                </c:pt>
                <c:pt idx="535">
                  <c:v>63.11</c:v>
                </c:pt>
                <c:pt idx="536">
                  <c:v>62.91</c:v>
                </c:pt>
                <c:pt idx="537">
                  <c:v>62.3</c:v>
                </c:pt>
                <c:pt idx="538">
                  <c:v>62.23</c:v>
                </c:pt>
                <c:pt idx="539">
                  <c:v>62.72</c:v>
                </c:pt>
                <c:pt idx="540">
                  <c:v>63.01</c:v>
                </c:pt>
                <c:pt idx="541">
                  <c:v>62.77</c:v>
                </c:pt>
                <c:pt idx="542">
                  <c:v>62.75</c:v>
                </c:pt>
                <c:pt idx="543">
                  <c:v>62.84</c:v>
                </c:pt>
                <c:pt idx="544">
                  <c:v>62.87</c:v>
                </c:pt>
                <c:pt idx="545">
                  <c:v>62.9</c:v>
                </c:pt>
                <c:pt idx="546">
                  <c:v>63.07</c:v>
                </c:pt>
                <c:pt idx="547">
                  <c:v>63</c:v>
                </c:pt>
                <c:pt idx="548">
                  <c:v>63.24</c:v>
                </c:pt>
                <c:pt idx="549">
                  <c:v>63.17</c:v>
                </c:pt>
                <c:pt idx="550">
                  <c:v>62.87</c:v>
                </c:pt>
                <c:pt idx="551">
                  <c:v>62.86</c:v>
                </c:pt>
                <c:pt idx="552">
                  <c:v>62.75</c:v>
                </c:pt>
                <c:pt idx="553">
                  <c:v>62.62</c:v>
                </c:pt>
                <c:pt idx="554">
                  <c:v>62.45</c:v>
                </c:pt>
                <c:pt idx="555">
                  <c:v>62.6</c:v>
                </c:pt>
                <c:pt idx="556">
                  <c:v>62.3</c:v>
                </c:pt>
                <c:pt idx="557">
                  <c:v>61.82</c:v>
                </c:pt>
                <c:pt idx="558">
                  <c:v>61.78</c:v>
                </c:pt>
                <c:pt idx="559">
                  <c:v>61.71</c:v>
                </c:pt>
                <c:pt idx="560">
                  <c:v>61.57</c:v>
                </c:pt>
                <c:pt idx="561">
                  <c:v>61.49</c:v>
                </c:pt>
                <c:pt idx="562">
                  <c:v>61.48</c:v>
                </c:pt>
                <c:pt idx="563">
                  <c:v>60.99</c:v>
                </c:pt>
                <c:pt idx="564">
                  <c:v>60.62</c:v>
                </c:pt>
                <c:pt idx="565">
                  <c:v>60.14</c:v>
                </c:pt>
                <c:pt idx="566">
                  <c:v>59.83</c:v>
                </c:pt>
                <c:pt idx="567">
                  <c:v>59.53</c:v>
                </c:pt>
                <c:pt idx="568">
                  <c:v>59.62</c:v>
                </c:pt>
                <c:pt idx="569">
                  <c:v>59.7</c:v>
                </c:pt>
                <c:pt idx="570">
                  <c:v>59.74</c:v>
                </c:pt>
                <c:pt idx="571">
                  <c:v>59.41</c:v>
                </c:pt>
                <c:pt idx="572">
                  <c:v>59.29</c:v>
                </c:pt>
                <c:pt idx="573">
                  <c:v>59.11</c:v>
                </c:pt>
                <c:pt idx="574">
                  <c:v>58.76</c:v>
                </c:pt>
                <c:pt idx="575">
                  <c:v>58.49</c:v>
                </c:pt>
                <c:pt idx="576">
                  <c:v>58.27</c:v>
                </c:pt>
                <c:pt idx="577">
                  <c:v>58.01</c:v>
                </c:pt>
                <c:pt idx="578">
                  <c:v>58.09</c:v>
                </c:pt>
                <c:pt idx="579">
                  <c:v>58.11</c:v>
                </c:pt>
                <c:pt idx="580">
                  <c:v>57.93</c:v>
                </c:pt>
                <c:pt idx="581">
                  <c:v>57.56</c:v>
                </c:pt>
                <c:pt idx="582">
                  <c:v>58.1</c:v>
                </c:pt>
                <c:pt idx="583">
                  <c:v>58.2</c:v>
                </c:pt>
                <c:pt idx="584">
                  <c:v>58.16</c:v>
                </c:pt>
                <c:pt idx="585">
                  <c:v>58.1</c:v>
                </c:pt>
                <c:pt idx="586">
                  <c:v>58.19</c:v>
                </c:pt>
                <c:pt idx="587">
                  <c:v>58.88</c:v>
                </c:pt>
                <c:pt idx="588">
                  <c:v>58.83</c:v>
                </c:pt>
                <c:pt idx="589">
                  <c:v>58.67</c:v>
                </c:pt>
                <c:pt idx="590">
                  <c:v>58.96</c:v>
                </c:pt>
                <c:pt idx="591">
                  <c:v>58.85</c:v>
                </c:pt>
                <c:pt idx="592">
                  <c:v>59.13</c:v>
                </c:pt>
                <c:pt idx="593">
                  <c:v>59.68</c:v>
                </c:pt>
                <c:pt idx="594">
                  <c:v>59.48</c:v>
                </c:pt>
                <c:pt idx="595">
                  <c:v>59.36</c:v>
                </c:pt>
                <c:pt idx="596">
                  <c:v>59.77</c:v>
                </c:pt>
                <c:pt idx="597">
                  <c:v>59.74</c:v>
                </c:pt>
                <c:pt idx="598">
                  <c:v>59.67</c:v>
                </c:pt>
                <c:pt idx="599">
                  <c:v>59.43</c:v>
                </c:pt>
                <c:pt idx="600">
                  <c:v>59.29</c:v>
                </c:pt>
                <c:pt idx="601">
                  <c:v>59.36</c:v>
                </c:pt>
                <c:pt idx="602">
                  <c:v>58.95</c:v>
                </c:pt>
                <c:pt idx="603">
                  <c:v>58.58</c:v>
                </c:pt>
                <c:pt idx="604">
                  <c:v>58.55</c:v>
                </c:pt>
                <c:pt idx="605">
                  <c:v>58.27</c:v>
                </c:pt>
                <c:pt idx="606">
                  <c:v>57.85</c:v>
                </c:pt>
                <c:pt idx="607">
                  <c:v>58.22</c:v>
                </c:pt>
                <c:pt idx="608">
                  <c:v>57.94</c:v>
                </c:pt>
                <c:pt idx="609">
                  <c:v>57.51</c:v>
                </c:pt>
                <c:pt idx="610">
                  <c:v>57.53</c:v>
                </c:pt>
                <c:pt idx="611">
                  <c:v>57.77</c:v>
                </c:pt>
                <c:pt idx="612">
                  <c:v>57.72</c:v>
                </c:pt>
                <c:pt idx="613">
                  <c:v>57.71</c:v>
                </c:pt>
                <c:pt idx="614">
                  <c:v>58.06</c:v>
                </c:pt>
                <c:pt idx="615">
                  <c:v>58.15</c:v>
                </c:pt>
                <c:pt idx="616">
                  <c:v>58.13</c:v>
                </c:pt>
                <c:pt idx="617">
                  <c:v>57.26</c:v>
                </c:pt>
                <c:pt idx="618">
                  <c:v>56.88</c:v>
                </c:pt>
                <c:pt idx="619">
                  <c:v>57.37</c:v>
                </c:pt>
                <c:pt idx="620">
                  <c:v>57.54</c:v>
                </c:pt>
                <c:pt idx="621">
                  <c:v>57.22</c:v>
                </c:pt>
                <c:pt idx="622">
                  <c:v>57.32</c:v>
                </c:pt>
                <c:pt idx="623">
                  <c:v>56.87</c:v>
                </c:pt>
                <c:pt idx="624">
                  <c:v>56.4</c:v>
                </c:pt>
                <c:pt idx="625">
                  <c:v>56.12</c:v>
                </c:pt>
                <c:pt idx="626">
                  <c:v>56.11</c:v>
                </c:pt>
                <c:pt idx="627">
                  <c:v>56.14</c:v>
                </c:pt>
                <c:pt idx="628">
                  <c:v>56.21</c:v>
                </c:pt>
                <c:pt idx="629">
                  <c:v>55.84</c:v>
                </c:pt>
                <c:pt idx="630">
                  <c:v>56.49</c:v>
                </c:pt>
                <c:pt idx="631">
                  <c:v>56.7</c:v>
                </c:pt>
                <c:pt idx="632">
                  <c:v>56.35</c:v>
                </c:pt>
                <c:pt idx="633">
                  <c:v>56.33</c:v>
                </c:pt>
                <c:pt idx="634">
                  <c:v>56.17</c:v>
                </c:pt>
                <c:pt idx="635">
                  <c:v>57.24</c:v>
                </c:pt>
                <c:pt idx="636">
                  <c:v>57.48</c:v>
                </c:pt>
                <c:pt idx="637">
                  <c:v>57.56</c:v>
                </c:pt>
                <c:pt idx="638">
                  <c:v>58.41</c:v>
                </c:pt>
                <c:pt idx="639">
                  <c:v>58.56</c:v>
                </c:pt>
                <c:pt idx="640">
                  <c:v>58.91</c:v>
                </c:pt>
                <c:pt idx="641">
                  <c:v>58.81</c:v>
                </c:pt>
                <c:pt idx="642">
                  <c:v>58.45</c:v>
                </c:pt>
                <c:pt idx="643">
                  <c:v>58.35</c:v>
                </c:pt>
                <c:pt idx="644">
                  <c:v>59.2</c:v>
                </c:pt>
                <c:pt idx="645">
                  <c:v>59.44</c:v>
                </c:pt>
                <c:pt idx="646">
                  <c:v>59.34</c:v>
                </c:pt>
                <c:pt idx="647">
                  <c:v>59.14</c:v>
                </c:pt>
                <c:pt idx="648">
                  <c:v>59.19</c:v>
                </c:pt>
                <c:pt idx="649">
                  <c:v>59.2</c:v>
                </c:pt>
                <c:pt idx="650">
                  <c:v>59.02</c:v>
                </c:pt>
                <c:pt idx="651">
                  <c:v>58.86</c:v>
                </c:pt>
                <c:pt idx="652">
                  <c:v>59.07</c:v>
                </c:pt>
                <c:pt idx="653">
                  <c:v>59.22</c:v>
                </c:pt>
                <c:pt idx="654">
                  <c:v>59.39</c:v>
                </c:pt>
                <c:pt idx="655">
                  <c:v>59.01</c:v>
                </c:pt>
                <c:pt idx="656">
                  <c:v>59.75</c:v>
                </c:pt>
                <c:pt idx="657">
                  <c:v>59.83</c:v>
                </c:pt>
                <c:pt idx="658">
                  <c:v>59.69</c:v>
                </c:pt>
                <c:pt idx="659">
                  <c:v>59.89</c:v>
                </c:pt>
                <c:pt idx="660">
                  <c:v>60.12</c:v>
                </c:pt>
                <c:pt idx="661">
                  <c:v>60.02</c:v>
                </c:pt>
                <c:pt idx="662">
                  <c:v>59.74</c:v>
                </c:pt>
                <c:pt idx="663">
                  <c:v>59.98</c:v>
                </c:pt>
                <c:pt idx="664">
                  <c:v>59.92</c:v>
                </c:pt>
                <c:pt idx="665">
                  <c:v>60.27</c:v>
                </c:pt>
                <c:pt idx="666">
                  <c:v>60.59</c:v>
                </c:pt>
                <c:pt idx="667">
                  <c:v>60.7</c:v>
                </c:pt>
                <c:pt idx="668">
                  <c:v>61.14</c:v>
                </c:pt>
                <c:pt idx="669">
                  <c:v>61.57</c:v>
                </c:pt>
                <c:pt idx="670">
                  <c:v>61.89</c:v>
                </c:pt>
                <c:pt idx="671">
                  <c:v>62.17</c:v>
                </c:pt>
                <c:pt idx="672">
                  <c:v>62.33</c:v>
                </c:pt>
                <c:pt idx="673">
                  <c:v>62.82</c:v>
                </c:pt>
                <c:pt idx="674">
                  <c:v>63.42</c:v>
                </c:pt>
                <c:pt idx="675">
                  <c:v>63.5</c:v>
                </c:pt>
                <c:pt idx="676">
                  <c:v>62.74</c:v>
                </c:pt>
                <c:pt idx="677">
                  <c:v>62.42</c:v>
                </c:pt>
                <c:pt idx="678">
                  <c:v>62.02</c:v>
                </c:pt>
                <c:pt idx="679">
                  <c:v>62.34</c:v>
                </c:pt>
                <c:pt idx="680">
                  <c:v>62.31</c:v>
                </c:pt>
                <c:pt idx="681">
                  <c:v>62.2</c:v>
                </c:pt>
                <c:pt idx="682">
                  <c:v>62.69</c:v>
                </c:pt>
                <c:pt idx="683">
                  <c:v>63.24</c:v>
                </c:pt>
                <c:pt idx="684">
                  <c:v>63.34</c:v>
                </c:pt>
                <c:pt idx="685">
                  <c:v>63.57</c:v>
                </c:pt>
                <c:pt idx="686">
                  <c:v>63.88</c:v>
                </c:pt>
                <c:pt idx="687">
                  <c:v>64.3</c:v>
                </c:pt>
                <c:pt idx="688">
                  <c:v>65.040000000000006</c:v>
                </c:pt>
                <c:pt idx="689">
                  <c:v>65.52</c:v>
                </c:pt>
                <c:pt idx="690">
                  <c:v>65.709999999999994</c:v>
                </c:pt>
                <c:pt idx="691">
                  <c:v>66.209999999999994</c:v>
                </c:pt>
                <c:pt idx="692">
                  <c:v>66.05</c:v>
                </c:pt>
                <c:pt idx="693">
                  <c:v>66.209999999999994</c:v>
                </c:pt>
                <c:pt idx="694">
                  <c:v>67.069999999999993</c:v>
                </c:pt>
                <c:pt idx="695">
                  <c:v>67.69</c:v>
                </c:pt>
                <c:pt idx="696">
                  <c:v>67.75</c:v>
                </c:pt>
                <c:pt idx="697">
                  <c:v>67.81</c:v>
                </c:pt>
                <c:pt idx="698">
                  <c:v>67.959999999999994</c:v>
                </c:pt>
                <c:pt idx="699">
                  <c:v>68.44</c:v>
                </c:pt>
                <c:pt idx="700">
                  <c:v>68.42</c:v>
                </c:pt>
                <c:pt idx="701">
                  <c:v>68.77</c:v>
                </c:pt>
                <c:pt idx="702">
                  <c:v>69.760000000000005</c:v>
                </c:pt>
                <c:pt idx="703">
                  <c:v>69.94</c:v>
                </c:pt>
                <c:pt idx="704">
                  <c:v>70.59</c:v>
                </c:pt>
                <c:pt idx="705">
                  <c:v>71.36</c:v>
                </c:pt>
                <c:pt idx="706">
                  <c:v>71.67</c:v>
                </c:pt>
                <c:pt idx="707">
                  <c:v>72.17</c:v>
                </c:pt>
                <c:pt idx="708">
                  <c:v>72.37</c:v>
                </c:pt>
                <c:pt idx="709">
                  <c:v>72.67</c:v>
                </c:pt>
                <c:pt idx="710">
                  <c:v>72.94</c:v>
                </c:pt>
                <c:pt idx="711">
                  <c:v>73.11</c:v>
                </c:pt>
                <c:pt idx="712">
                  <c:v>72.930000000000007</c:v>
                </c:pt>
                <c:pt idx="713">
                  <c:v>73.069999999999993</c:v>
                </c:pt>
                <c:pt idx="714">
                  <c:v>74.209999999999994</c:v>
                </c:pt>
                <c:pt idx="715">
                  <c:v>74.41</c:v>
                </c:pt>
                <c:pt idx="716">
                  <c:v>74.64</c:v>
                </c:pt>
                <c:pt idx="717">
                  <c:v>74.55</c:v>
                </c:pt>
                <c:pt idx="718">
                  <c:v>74.37</c:v>
                </c:pt>
                <c:pt idx="719">
                  <c:v>74.45</c:v>
                </c:pt>
                <c:pt idx="720">
                  <c:v>74.67</c:v>
                </c:pt>
                <c:pt idx="721">
                  <c:v>74.66</c:v>
                </c:pt>
                <c:pt idx="722">
                  <c:v>73.55</c:v>
                </c:pt>
                <c:pt idx="723">
                  <c:v>73.459999999999994</c:v>
                </c:pt>
                <c:pt idx="724">
                  <c:v>73.41</c:v>
                </c:pt>
                <c:pt idx="725">
                  <c:v>73.48</c:v>
                </c:pt>
                <c:pt idx="726">
                  <c:v>73.12</c:v>
                </c:pt>
                <c:pt idx="727">
                  <c:v>72.510000000000005</c:v>
                </c:pt>
                <c:pt idx="728">
                  <c:v>72.459999999999994</c:v>
                </c:pt>
                <c:pt idx="729">
                  <c:v>72.77</c:v>
                </c:pt>
                <c:pt idx="730">
                  <c:v>72.69</c:v>
                </c:pt>
                <c:pt idx="731">
                  <c:v>72.569999999999993</c:v>
                </c:pt>
                <c:pt idx="732">
                  <c:v>72.47</c:v>
                </c:pt>
                <c:pt idx="733">
                  <c:v>73.09</c:v>
                </c:pt>
                <c:pt idx="734">
                  <c:v>73.2</c:v>
                </c:pt>
                <c:pt idx="735">
                  <c:v>73.540000000000006</c:v>
                </c:pt>
                <c:pt idx="736">
                  <c:v>73.62</c:v>
                </c:pt>
                <c:pt idx="737">
                  <c:v>73.67</c:v>
                </c:pt>
                <c:pt idx="738">
                  <c:v>73.25</c:v>
                </c:pt>
                <c:pt idx="739">
                  <c:v>72.930000000000007</c:v>
                </c:pt>
                <c:pt idx="740">
                  <c:v>72.89</c:v>
                </c:pt>
                <c:pt idx="741">
                  <c:v>72.73</c:v>
                </c:pt>
                <c:pt idx="742">
                  <c:v>72.739999999999995</c:v>
                </c:pt>
                <c:pt idx="743">
                  <c:v>72.45</c:v>
                </c:pt>
                <c:pt idx="744">
                  <c:v>72.73</c:v>
                </c:pt>
                <c:pt idx="745">
                  <c:v>72.84</c:v>
                </c:pt>
                <c:pt idx="746">
                  <c:v>72.69</c:v>
                </c:pt>
                <c:pt idx="747">
                  <c:v>72.650000000000006</c:v>
                </c:pt>
                <c:pt idx="748">
                  <c:v>72.69</c:v>
                </c:pt>
                <c:pt idx="749">
                  <c:v>72.94</c:v>
                </c:pt>
                <c:pt idx="750">
                  <c:v>72.989999999999995</c:v>
                </c:pt>
                <c:pt idx="751">
                  <c:v>73.14</c:v>
                </c:pt>
                <c:pt idx="752">
                  <c:v>73.98</c:v>
                </c:pt>
                <c:pt idx="753">
                  <c:v>74.23</c:v>
                </c:pt>
                <c:pt idx="754">
                  <c:v>74.319999999999993</c:v>
                </c:pt>
                <c:pt idx="755">
                  <c:v>74.91</c:v>
                </c:pt>
                <c:pt idx="756">
                  <c:v>74.92</c:v>
                </c:pt>
                <c:pt idx="757">
                  <c:v>74.69</c:v>
                </c:pt>
                <c:pt idx="758">
                  <c:v>74.97</c:v>
                </c:pt>
                <c:pt idx="759">
                  <c:v>74.42</c:v>
                </c:pt>
                <c:pt idx="760">
                  <c:v>74.25</c:v>
                </c:pt>
                <c:pt idx="761">
                  <c:v>73.849999999999994</c:v>
                </c:pt>
                <c:pt idx="762">
                  <c:v>74.02</c:v>
                </c:pt>
                <c:pt idx="763">
                  <c:v>74.099999999999994</c:v>
                </c:pt>
                <c:pt idx="764">
                  <c:v>73.88</c:v>
                </c:pt>
                <c:pt idx="765">
                  <c:v>73.86</c:v>
                </c:pt>
                <c:pt idx="766">
                  <c:v>74.040000000000006</c:v>
                </c:pt>
                <c:pt idx="767">
                  <c:v>74.05</c:v>
                </c:pt>
                <c:pt idx="768">
                  <c:v>74.489999999999995</c:v>
                </c:pt>
                <c:pt idx="769">
                  <c:v>74.790000000000006</c:v>
                </c:pt>
                <c:pt idx="770">
                  <c:v>74.989999999999995</c:v>
                </c:pt>
                <c:pt idx="771">
                  <c:v>75.319999999999993</c:v>
                </c:pt>
                <c:pt idx="772">
                  <c:v>75.599999999999994</c:v>
                </c:pt>
                <c:pt idx="773">
                  <c:v>76.040000000000006</c:v>
                </c:pt>
                <c:pt idx="774">
                  <c:v>76.42</c:v>
                </c:pt>
                <c:pt idx="775">
                  <c:v>77.239999999999995</c:v>
                </c:pt>
                <c:pt idx="776">
                  <c:v>77.260000000000005</c:v>
                </c:pt>
                <c:pt idx="777">
                  <c:v>77.959999999999994</c:v>
                </c:pt>
                <c:pt idx="778">
                  <c:v>79</c:v>
                </c:pt>
                <c:pt idx="779">
                  <c:v>79.12</c:v>
                </c:pt>
                <c:pt idx="780">
                  <c:v>79.86</c:v>
                </c:pt>
                <c:pt idx="781">
                  <c:v>79.62</c:v>
                </c:pt>
                <c:pt idx="782">
                  <c:v>78.91</c:v>
                </c:pt>
                <c:pt idx="783">
                  <c:v>81.260000000000005</c:v>
                </c:pt>
                <c:pt idx="784">
                  <c:v>83.62</c:v>
                </c:pt>
                <c:pt idx="785">
                  <c:v>84.19</c:v>
                </c:pt>
                <c:pt idx="786">
                  <c:v>84.85</c:v>
                </c:pt>
                <c:pt idx="787">
                  <c:v>86.67</c:v>
                </c:pt>
                <c:pt idx="788">
                  <c:v>87.18</c:v>
                </c:pt>
                <c:pt idx="789">
                  <c:v>87.68</c:v>
                </c:pt>
                <c:pt idx="790">
                  <c:v>87.49</c:v>
                </c:pt>
                <c:pt idx="791">
                  <c:v>87.67</c:v>
                </c:pt>
                <c:pt idx="792">
                  <c:v>87.85</c:v>
                </c:pt>
                <c:pt idx="793">
                  <c:v>88.71</c:v>
                </c:pt>
                <c:pt idx="794">
                  <c:v>88.52</c:v>
                </c:pt>
                <c:pt idx="795">
                  <c:v>89.08</c:v>
                </c:pt>
                <c:pt idx="796">
                  <c:v>89.39</c:v>
                </c:pt>
                <c:pt idx="797">
                  <c:v>89.88</c:v>
                </c:pt>
                <c:pt idx="798">
                  <c:v>89.83</c:v>
                </c:pt>
                <c:pt idx="799">
                  <c:v>90.26</c:v>
                </c:pt>
                <c:pt idx="800">
                  <c:v>90.33</c:v>
                </c:pt>
                <c:pt idx="801">
                  <c:v>90.18</c:v>
                </c:pt>
                <c:pt idx="802">
                  <c:v>90.08</c:v>
                </c:pt>
                <c:pt idx="803">
                  <c:v>90.14</c:v>
                </c:pt>
                <c:pt idx="804">
                  <c:v>89.74</c:v>
                </c:pt>
                <c:pt idx="805">
                  <c:v>89.12</c:v>
                </c:pt>
                <c:pt idx="806">
                  <c:v>88.94</c:v>
                </c:pt>
                <c:pt idx="807">
                  <c:v>87.92</c:v>
                </c:pt>
                <c:pt idx="808">
                  <c:v>87.87</c:v>
                </c:pt>
                <c:pt idx="809">
                  <c:v>87.71</c:v>
                </c:pt>
                <c:pt idx="810">
                  <c:v>86.62</c:v>
                </c:pt>
                <c:pt idx="811">
                  <c:v>85.97</c:v>
                </c:pt>
                <c:pt idx="812">
                  <c:v>84.82</c:v>
                </c:pt>
                <c:pt idx="813">
                  <c:v>84.63</c:v>
                </c:pt>
                <c:pt idx="814">
                  <c:v>84.83</c:v>
                </c:pt>
                <c:pt idx="815">
                  <c:v>85.25</c:v>
                </c:pt>
                <c:pt idx="816">
                  <c:v>85.72</c:v>
                </c:pt>
                <c:pt idx="817">
                  <c:v>85.57</c:v>
                </c:pt>
                <c:pt idx="818">
                  <c:v>84.98</c:v>
                </c:pt>
                <c:pt idx="819">
                  <c:v>85.3</c:v>
                </c:pt>
                <c:pt idx="820">
                  <c:v>84.71</c:v>
                </c:pt>
                <c:pt idx="821">
                  <c:v>83.78</c:v>
                </c:pt>
                <c:pt idx="822">
                  <c:v>83.49</c:v>
                </c:pt>
                <c:pt idx="823">
                  <c:v>82.57</c:v>
                </c:pt>
                <c:pt idx="824">
                  <c:v>81.97</c:v>
                </c:pt>
                <c:pt idx="825">
                  <c:v>81.599999999999994</c:v>
                </c:pt>
                <c:pt idx="826">
                  <c:v>80.540000000000006</c:v>
                </c:pt>
                <c:pt idx="827">
                  <c:v>80.489999999999995</c:v>
                </c:pt>
                <c:pt idx="828">
                  <c:v>80.37</c:v>
                </c:pt>
                <c:pt idx="829">
                  <c:v>80.13</c:v>
                </c:pt>
                <c:pt idx="830">
                  <c:v>79.069999999999993</c:v>
                </c:pt>
                <c:pt idx="831">
                  <c:v>79.05</c:v>
                </c:pt>
                <c:pt idx="832">
                  <c:v>77.61</c:v>
                </c:pt>
                <c:pt idx="833">
                  <c:v>76.38</c:v>
                </c:pt>
                <c:pt idx="834">
                  <c:v>75.930000000000007</c:v>
                </c:pt>
                <c:pt idx="835">
                  <c:v>75.069999999999993</c:v>
                </c:pt>
                <c:pt idx="836">
                  <c:v>74.34</c:v>
                </c:pt>
                <c:pt idx="837">
                  <c:v>73.569999999999993</c:v>
                </c:pt>
                <c:pt idx="838">
                  <c:v>73.12</c:v>
                </c:pt>
                <c:pt idx="839">
                  <c:v>73.069999999999993</c:v>
                </c:pt>
                <c:pt idx="840">
                  <c:v>72.930000000000007</c:v>
                </c:pt>
                <c:pt idx="841">
                  <c:v>72.680000000000007</c:v>
                </c:pt>
                <c:pt idx="842">
                  <c:v>72.59</c:v>
                </c:pt>
                <c:pt idx="843">
                  <c:v>72.03</c:v>
                </c:pt>
                <c:pt idx="844">
                  <c:v>71.22</c:v>
                </c:pt>
                <c:pt idx="845">
                  <c:v>71.13</c:v>
                </c:pt>
                <c:pt idx="846">
                  <c:v>71.239999999999995</c:v>
                </c:pt>
                <c:pt idx="847">
                  <c:v>70.819999999999993</c:v>
                </c:pt>
                <c:pt idx="848">
                  <c:v>69.42</c:v>
                </c:pt>
                <c:pt idx="849">
                  <c:v>69.17</c:v>
                </c:pt>
                <c:pt idx="850">
                  <c:v>68.95</c:v>
                </c:pt>
                <c:pt idx="851">
                  <c:v>68.849999999999994</c:v>
                </c:pt>
                <c:pt idx="852">
                  <c:v>68.89</c:v>
                </c:pt>
                <c:pt idx="853">
                  <c:v>69.02</c:v>
                </c:pt>
                <c:pt idx="854">
                  <c:v>68.959999999999994</c:v>
                </c:pt>
                <c:pt idx="855">
                  <c:v>69.53</c:v>
                </c:pt>
                <c:pt idx="856">
                  <c:v>68.790000000000006</c:v>
                </c:pt>
                <c:pt idx="857">
                  <c:v>67.73</c:v>
                </c:pt>
                <c:pt idx="858">
                  <c:v>67.97</c:v>
                </c:pt>
                <c:pt idx="859">
                  <c:v>67.64</c:v>
                </c:pt>
                <c:pt idx="860">
                  <c:v>67.61</c:v>
                </c:pt>
                <c:pt idx="861">
                  <c:v>67.5</c:v>
                </c:pt>
                <c:pt idx="862">
                  <c:v>67.36</c:v>
                </c:pt>
                <c:pt idx="863">
                  <c:v>68.069999999999993</c:v>
                </c:pt>
                <c:pt idx="864">
                  <c:v>68.11</c:v>
                </c:pt>
                <c:pt idx="865">
                  <c:v>68.430000000000007</c:v>
                </c:pt>
                <c:pt idx="866">
                  <c:v>68.27</c:v>
                </c:pt>
                <c:pt idx="867">
                  <c:v>68.040000000000006</c:v>
                </c:pt>
                <c:pt idx="868">
                  <c:v>67.58</c:v>
                </c:pt>
                <c:pt idx="869">
                  <c:v>67.650000000000006</c:v>
                </c:pt>
                <c:pt idx="870">
                  <c:v>67.02</c:v>
                </c:pt>
                <c:pt idx="871">
                  <c:v>65.680000000000007</c:v>
                </c:pt>
                <c:pt idx="872">
                  <c:v>65.25</c:v>
                </c:pt>
                <c:pt idx="873">
                  <c:v>64.150000000000006</c:v>
                </c:pt>
                <c:pt idx="874">
                  <c:v>64.05</c:v>
                </c:pt>
                <c:pt idx="875">
                  <c:v>63.44</c:v>
                </c:pt>
                <c:pt idx="876">
                  <c:v>63.35</c:v>
                </c:pt>
                <c:pt idx="877">
                  <c:v>63.19</c:v>
                </c:pt>
                <c:pt idx="878">
                  <c:v>62.98</c:v>
                </c:pt>
                <c:pt idx="879">
                  <c:v>62.91</c:v>
                </c:pt>
                <c:pt idx="880">
                  <c:v>62.73</c:v>
                </c:pt>
                <c:pt idx="881">
                  <c:v>62.78</c:v>
                </c:pt>
                <c:pt idx="882">
                  <c:v>62.84</c:v>
                </c:pt>
                <c:pt idx="883">
                  <c:v>62.93</c:v>
                </c:pt>
                <c:pt idx="884">
                  <c:v>63.39</c:v>
                </c:pt>
                <c:pt idx="885">
                  <c:v>63.56</c:v>
                </c:pt>
                <c:pt idx="886">
                  <c:v>64.02</c:v>
                </c:pt>
                <c:pt idx="887">
                  <c:v>64</c:v>
                </c:pt>
                <c:pt idx="888">
                  <c:v>64.11</c:v>
                </c:pt>
                <c:pt idx="889">
                  <c:v>63.74</c:v>
                </c:pt>
                <c:pt idx="890">
                  <c:v>63.7</c:v>
                </c:pt>
                <c:pt idx="891">
                  <c:v>63.64</c:v>
                </c:pt>
                <c:pt idx="892">
                  <c:v>63.51</c:v>
                </c:pt>
                <c:pt idx="893">
                  <c:v>63.54</c:v>
                </c:pt>
                <c:pt idx="894">
                  <c:v>63.71</c:v>
                </c:pt>
                <c:pt idx="895">
                  <c:v>64</c:v>
                </c:pt>
                <c:pt idx="896">
                  <c:v>64.010000000000005</c:v>
                </c:pt>
                <c:pt idx="897">
                  <c:v>63.67</c:v>
                </c:pt>
                <c:pt idx="898">
                  <c:v>63.58</c:v>
                </c:pt>
                <c:pt idx="899">
                  <c:v>63.61</c:v>
                </c:pt>
                <c:pt idx="900">
                  <c:v>63.65</c:v>
                </c:pt>
                <c:pt idx="901">
                  <c:v>63.89</c:v>
                </c:pt>
                <c:pt idx="902">
                  <c:v>63.7</c:v>
                </c:pt>
                <c:pt idx="903">
                  <c:v>63.37</c:v>
                </c:pt>
                <c:pt idx="904">
                  <c:v>63.26</c:v>
                </c:pt>
                <c:pt idx="905">
                  <c:v>63.33</c:v>
                </c:pt>
                <c:pt idx="906">
                  <c:v>63.83</c:v>
                </c:pt>
                <c:pt idx="907">
                  <c:v>63.87</c:v>
                </c:pt>
                <c:pt idx="908">
                  <c:v>64.03</c:v>
                </c:pt>
                <c:pt idx="909">
                  <c:v>64.05</c:v>
                </c:pt>
                <c:pt idx="910">
                  <c:v>64.319999999999993</c:v>
                </c:pt>
                <c:pt idx="911">
                  <c:v>64.34</c:v>
                </c:pt>
                <c:pt idx="912">
                  <c:v>64.489999999999995</c:v>
                </c:pt>
                <c:pt idx="913">
                  <c:v>64.260000000000005</c:v>
                </c:pt>
                <c:pt idx="914">
                  <c:v>64.290000000000006</c:v>
                </c:pt>
                <c:pt idx="915">
                  <c:v>64.34</c:v>
                </c:pt>
                <c:pt idx="916">
                  <c:v>64.53</c:v>
                </c:pt>
                <c:pt idx="917">
                  <c:v>64.58</c:v>
                </c:pt>
                <c:pt idx="918">
                  <c:v>64.7</c:v>
                </c:pt>
                <c:pt idx="919">
                  <c:v>64.78</c:v>
                </c:pt>
                <c:pt idx="920">
                  <c:v>64.819999999999993</c:v>
                </c:pt>
                <c:pt idx="921">
                  <c:v>65.150000000000006</c:v>
                </c:pt>
                <c:pt idx="922">
                  <c:v>65.069999999999993</c:v>
                </c:pt>
                <c:pt idx="923">
                  <c:v>64.97</c:v>
                </c:pt>
                <c:pt idx="924">
                  <c:v>65.03</c:v>
                </c:pt>
                <c:pt idx="925">
                  <c:v>65.08</c:v>
                </c:pt>
                <c:pt idx="926">
                  <c:v>65.19</c:v>
                </c:pt>
                <c:pt idx="927">
                  <c:v>65.36</c:v>
                </c:pt>
                <c:pt idx="928">
                  <c:v>65.33</c:v>
                </c:pt>
                <c:pt idx="929">
                  <c:v>65.319999999999993</c:v>
                </c:pt>
                <c:pt idx="930">
                  <c:v>64.75</c:v>
                </c:pt>
                <c:pt idx="931">
                  <c:v>64.319999999999993</c:v>
                </c:pt>
                <c:pt idx="932">
                  <c:v>64.33</c:v>
                </c:pt>
                <c:pt idx="933">
                  <c:v>64.36</c:v>
                </c:pt>
                <c:pt idx="934">
                  <c:v>64.34</c:v>
                </c:pt>
                <c:pt idx="935">
                  <c:v>64.36</c:v>
                </c:pt>
                <c:pt idx="936">
                  <c:v>64.260000000000005</c:v>
                </c:pt>
                <c:pt idx="937">
                  <c:v>64.31</c:v>
                </c:pt>
                <c:pt idx="938">
                  <c:v>64.569999999999993</c:v>
                </c:pt>
                <c:pt idx="939">
                  <c:v>64.77</c:v>
                </c:pt>
                <c:pt idx="940">
                  <c:v>64.930000000000007</c:v>
                </c:pt>
                <c:pt idx="941">
                  <c:v>65.09</c:v>
                </c:pt>
                <c:pt idx="942">
                  <c:v>65.3</c:v>
                </c:pt>
                <c:pt idx="943">
                  <c:v>65.19</c:v>
                </c:pt>
                <c:pt idx="944">
                  <c:v>65.209999999999994</c:v>
                </c:pt>
                <c:pt idx="945">
                  <c:v>65.150000000000006</c:v>
                </c:pt>
                <c:pt idx="946">
                  <c:v>64.98</c:v>
                </c:pt>
                <c:pt idx="947">
                  <c:v>64.959999999999994</c:v>
                </c:pt>
                <c:pt idx="948">
                  <c:v>65.12</c:v>
                </c:pt>
                <c:pt idx="949">
                  <c:v>65.53</c:v>
                </c:pt>
                <c:pt idx="950">
                  <c:v>65.489999999999995</c:v>
                </c:pt>
                <c:pt idx="951">
                  <c:v>65.61</c:v>
                </c:pt>
                <c:pt idx="952">
                  <c:v>65.47</c:v>
                </c:pt>
                <c:pt idx="953">
                  <c:v>65.63</c:v>
                </c:pt>
                <c:pt idx="954">
                  <c:v>65.66</c:v>
                </c:pt>
                <c:pt idx="955">
                  <c:v>65.709999999999994</c:v>
                </c:pt>
                <c:pt idx="956">
                  <c:v>65.84</c:v>
                </c:pt>
                <c:pt idx="957">
                  <c:v>66.03</c:v>
                </c:pt>
                <c:pt idx="958">
                  <c:v>66.239999999999995</c:v>
                </c:pt>
                <c:pt idx="959">
                  <c:v>66.150000000000006</c:v>
                </c:pt>
                <c:pt idx="960">
                  <c:v>66.430000000000007</c:v>
                </c:pt>
                <c:pt idx="961">
                  <c:v>66.69</c:v>
                </c:pt>
                <c:pt idx="962">
                  <c:v>66.8</c:v>
                </c:pt>
                <c:pt idx="963">
                  <c:v>66.849999999999994</c:v>
                </c:pt>
                <c:pt idx="964">
                  <c:v>67.08</c:v>
                </c:pt>
                <c:pt idx="965">
                  <c:v>67.31</c:v>
                </c:pt>
                <c:pt idx="966">
                  <c:v>67.34</c:v>
                </c:pt>
                <c:pt idx="967">
                  <c:v>67.36</c:v>
                </c:pt>
                <c:pt idx="968">
                  <c:v>67.459999999999994</c:v>
                </c:pt>
                <c:pt idx="969">
                  <c:v>67.52</c:v>
                </c:pt>
                <c:pt idx="970">
                  <c:v>67.62</c:v>
                </c:pt>
                <c:pt idx="971">
                  <c:v>67.61</c:v>
                </c:pt>
                <c:pt idx="972">
                  <c:v>67.64</c:v>
                </c:pt>
                <c:pt idx="973">
                  <c:v>67.67</c:v>
                </c:pt>
                <c:pt idx="974">
                  <c:v>67.819999999999993</c:v>
                </c:pt>
                <c:pt idx="975">
                  <c:v>68.239999999999995</c:v>
                </c:pt>
                <c:pt idx="976">
                  <c:v>68.400000000000006</c:v>
                </c:pt>
                <c:pt idx="977">
                  <c:v>68.62</c:v>
                </c:pt>
                <c:pt idx="978">
                  <c:v>68.760000000000005</c:v>
                </c:pt>
                <c:pt idx="979">
                  <c:v>69.040000000000006</c:v>
                </c:pt>
                <c:pt idx="980">
                  <c:v>69.540000000000006</c:v>
                </c:pt>
                <c:pt idx="981">
                  <c:v>69.91</c:v>
                </c:pt>
                <c:pt idx="982">
                  <c:v>69.97</c:v>
                </c:pt>
                <c:pt idx="983">
                  <c:v>70.3</c:v>
                </c:pt>
                <c:pt idx="984">
                  <c:v>70.150000000000006</c:v>
                </c:pt>
                <c:pt idx="985">
                  <c:v>69.989999999999995</c:v>
                </c:pt>
                <c:pt idx="986">
                  <c:v>69.760000000000005</c:v>
                </c:pt>
                <c:pt idx="987">
                  <c:v>69.62</c:v>
                </c:pt>
                <c:pt idx="988">
                  <c:v>69.459999999999994</c:v>
                </c:pt>
                <c:pt idx="989">
                  <c:v>69.709999999999994</c:v>
                </c:pt>
                <c:pt idx="990">
                  <c:v>69.56</c:v>
                </c:pt>
                <c:pt idx="991">
                  <c:v>69.19</c:v>
                </c:pt>
                <c:pt idx="992">
                  <c:v>69.27</c:v>
                </c:pt>
                <c:pt idx="993">
                  <c:v>69.42</c:v>
                </c:pt>
                <c:pt idx="994">
                  <c:v>69.47</c:v>
                </c:pt>
                <c:pt idx="995">
                  <c:v>69.5</c:v>
                </c:pt>
                <c:pt idx="996">
                  <c:v>69.48</c:v>
                </c:pt>
                <c:pt idx="997">
                  <c:v>69.459999999999994</c:v>
                </c:pt>
                <c:pt idx="998">
                  <c:v>69.5</c:v>
                </c:pt>
                <c:pt idx="999">
                  <c:v>69.45</c:v>
                </c:pt>
                <c:pt idx="1000">
                  <c:v>69.38</c:v>
                </c:pt>
                <c:pt idx="1001">
                  <c:v>69.13</c:v>
                </c:pt>
                <c:pt idx="1002">
                  <c:v>69</c:v>
                </c:pt>
                <c:pt idx="1003">
                  <c:v>68.94</c:v>
                </c:pt>
                <c:pt idx="1004">
                  <c:v>69.02</c:v>
                </c:pt>
                <c:pt idx="1005">
                  <c:v>68.84</c:v>
                </c:pt>
                <c:pt idx="1006">
                  <c:v>68.790000000000006</c:v>
                </c:pt>
                <c:pt idx="1007">
                  <c:v>68.430000000000007</c:v>
                </c:pt>
                <c:pt idx="1008">
                  <c:v>68.37</c:v>
                </c:pt>
                <c:pt idx="1009">
                  <c:v>68.41</c:v>
                </c:pt>
                <c:pt idx="1010">
                  <c:v>68.12</c:v>
                </c:pt>
                <c:pt idx="1011">
                  <c:v>67.459999999999994</c:v>
                </c:pt>
                <c:pt idx="1012">
                  <c:v>67.040000000000006</c:v>
                </c:pt>
                <c:pt idx="1013">
                  <c:v>66.72</c:v>
                </c:pt>
                <c:pt idx="1014">
                  <c:v>66.63</c:v>
                </c:pt>
                <c:pt idx="1015">
                  <c:v>66.69</c:v>
                </c:pt>
                <c:pt idx="1016">
                  <c:v>66.22</c:v>
                </c:pt>
                <c:pt idx="1017">
                  <c:v>65.87</c:v>
                </c:pt>
                <c:pt idx="1018">
                  <c:v>65.959999999999994</c:v>
                </c:pt>
                <c:pt idx="1019">
                  <c:v>66.099999999999994</c:v>
                </c:pt>
                <c:pt idx="1020">
                  <c:v>66.17</c:v>
                </c:pt>
                <c:pt idx="1021">
                  <c:v>66.28</c:v>
                </c:pt>
                <c:pt idx="1022">
                  <c:v>66.44</c:v>
                </c:pt>
                <c:pt idx="1023">
                  <c:v>66.489999999999995</c:v>
                </c:pt>
                <c:pt idx="1024">
                  <c:v>66.78</c:v>
                </c:pt>
                <c:pt idx="1025">
                  <c:v>67.09</c:v>
                </c:pt>
                <c:pt idx="1026">
                  <c:v>67.06</c:v>
                </c:pt>
                <c:pt idx="1027">
                  <c:v>67.209999999999994</c:v>
                </c:pt>
                <c:pt idx="1028">
                  <c:v>67.67</c:v>
                </c:pt>
                <c:pt idx="1029">
                  <c:v>68.14</c:v>
                </c:pt>
                <c:pt idx="1030">
                  <c:v>68.39</c:v>
                </c:pt>
                <c:pt idx="1031">
                  <c:v>68.8</c:v>
                </c:pt>
                <c:pt idx="1032">
                  <c:v>68.739999999999995</c:v>
                </c:pt>
                <c:pt idx="1033">
                  <c:v>69.02</c:v>
                </c:pt>
                <c:pt idx="1034">
                  <c:v>69.14</c:v>
                </c:pt>
                <c:pt idx="1035">
                  <c:v>69.28</c:v>
                </c:pt>
                <c:pt idx="1036">
                  <c:v>69.28</c:v>
                </c:pt>
                <c:pt idx="1037">
                  <c:v>69.53</c:v>
                </c:pt>
                <c:pt idx="1038">
                  <c:v>69.75</c:v>
                </c:pt>
                <c:pt idx="1039">
                  <c:v>69.98</c:v>
                </c:pt>
                <c:pt idx="1040">
                  <c:v>70.23</c:v>
                </c:pt>
                <c:pt idx="1041">
                  <c:v>70.239999999999995</c:v>
                </c:pt>
                <c:pt idx="1042">
                  <c:v>70.56</c:v>
                </c:pt>
                <c:pt idx="1043">
                  <c:v>70.63</c:v>
                </c:pt>
                <c:pt idx="1044">
                  <c:v>71.09</c:v>
                </c:pt>
                <c:pt idx="1045">
                  <c:v>71.319999999999993</c:v>
                </c:pt>
                <c:pt idx="1046">
                  <c:v>71.56</c:v>
                </c:pt>
                <c:pt idx="1047">
                  <c:v>71.98</c:v>
                </c:pt>
                <c:pt idx="1048">
                  <c:v>72.099999999999994</c:v>
                </c:pt>
                <c:pt idx="1049">
                  <c:v>72.02</c:v>
                </c:pt>
                <c:pt idx="1050">
                  <c:v>71.2</c:v>
                </c:pt>
                <c:pt idx="1051">
                  <c:v>71.63</c:v>
                </c:pt>
                <c:pt idx="1052">
                  <c:v>71.37</c:v>
                </c:pt>
                <c:pt idx="1053">
                  <c:v>71.25</c:v>
                </c:pt>
                <c:pt idx="1054">
                  <c:v>71.010000000000005</c:v>
                </c:pt>
                <c:pt idx="1055">
                  <c:v>70.45</c:v>
                </c:pt>
                <c:pt idx="1056">
                  <c:v>70.33</c:v>
                </c:pt>
                <c:pt idx="1057">
                  <c:v>70.34</c:v>
                </c:pt>
                <c:pt idx="1058">
                  <c:v>70.290000000000006</c:v>
                </c:pt>
                <c:pt idx="1059">
                  <c:v>70.37</c:v>
                </c:pt>
                <c:pt idx="1060">
                  <c:v>70.319999999999993</c:v>
                </c:pt>
                <c:pt idx="1061">
                  <c:v>69.959999999999994</c:v>
                </c:pt>
                <c:pt idx="1062">
                  <c:v>69.88</c:v>
                </c:pt>
                <c:pt idx="1063">
                  <c:v>69.58</c:v>
                </c:pt>
                <c:pt idx="1064">
                  <c:v>69.790000000000006</c:v>
                </c:pt>
                <c:pt idx="1065">
                  <c:v>69.59</c:v>
                </c:pt>
                <c:pt idx="1066">
                  <c:v>69.069999999999993</c:v>
                </c:pt>
                <c:pt idx="1067">
                  <c:v>68.78</c:v>
                </c:pt>
                <c:pt idx="1068">
                  <c:v>67.73</c:v>
                </c:pt>
                <c:pt idx="1069">
                  <c:v>67.48</c:v>
                </c:pt>
                <c:pt idx="1070">
                  <c:v>67.010000000000005</c:v>
                </c:pt>
                <c:pt idx="1071">
                  <c:v>66.81</c:v>
                </c:pt>
                <c:pt idx="1072">
                  <c:v>66.45</c:v>
                </c:pt>
                <c:pt idx="1073">
                  <c:v>66.34</c:v>
                </c:pt>
                <c:pt idx="1074">
                  <c:v>66.36</c:v>
                </c:pt>
                <c:pt idx="1075">
                  <c:v>66.63</c:v>
                </c:pt>
                <c:pt idx="1076">
                  <c:v>66.67</c:v>
                </c:pt>
                <c:pt idx="1077">
                  <c:v>66.67</c:v>
                </c:pt>
                <c:pt idx="1078">
                  <c:v>66.91</c:v>
                </c:pt>
                <c:pt idx="1079">
                  <c:v>66.91</c:v>
                </c:pt>
                <c:pt idx="1080">
                  <c:v>67.05</c:v>
                </c:pt>
                <c:pt idx="1081">
                  <c:v>66.73</c:v>
                </c:pt>
                <c:pt idx="1082">
                  <c:v>66.41</c:v>
                </c:pt>
                <c:pt idx="1083">
                  <c:v>66.069999999999993</c:v>
                </c:pt>
                <c:pt idx="1084">
                  <c:v>65.98</c:v>
                </c:pt>
                <c:pt idx="1085">
                  <c:v>65.92</c:v>
                </c:pt>
                <c:pt idx="1086">
                  <c:v>65.510000000000005</c:v>
                </c:pt>
                <c:pt idx="1087">
                  <c:v>65.349999999999994</c:v>
                </c:pt>
                <c:pt idx="1088">
                  <c:v>65.42</c:v>
                </c:pt>
                <c:pt idx="1089">
                  <c:v>65.36</c:v>
                </c:pt>
                <c:pt idx="1090">
                  <c:v>65.319999999999993</c:v>
                </c:pt>
                <c:pt idx="1091">
                  <c:v>65.28</c:v>
                </c:pt>
                <c:pt idx="1092">
                  <c:v>65.34</c:v>
                </c:pt>
                <c:pt idx="1093">
                  <c:v>65.41</c:v>
                </c:pt>
                <c:pt idx="1094">
                  <c:v>65.47</c:v>
                </c:pt>
                <c:pt idx="1095">
                  <c:v>65.39</c:v>
                </c:pt>
                <c:pt idx="1096">
                  <c:v>64.989999999999995</c:v>
                </c:pt>
                <c:pt idx="1097">
                  <c:v>65.13</c:v>
                </c:pt>
                <c:pt idx="1098">
                  <c:v>64.900000000000006</c:v>
                </c:pt>
                <c:pt idx="1099">
                  <c:v>64.91</c:v>
                </c:pt>
                <c:pt idx="1100">
                  <c:v>64.760000000000005</c:v>
                </c:pt>
                <c:pt idx="1101">
                  <c:v>64.540000000000006</c:v>
                </c:pt>
                <c:pt idx="1102">
                  <c:v>64.510000000000005</c:v>
                </c:pt>
                <c:pt idx="1103">
                  <c:v>64.5</c:v>
                </c:pt>
                <c:pt idx="1104">
                  <c:v>64.540000000000006</c:v>
                </c:pt>
                <c:pt idx="1105">
                  <c:v>64.260000000000005</c:v>
                </c:pt>
                <c:pt idx="1106">
                  <c:v>64.09</c:v>
                </c:pt>
                <c:pt idx="1107">
                  <c:v>64.03</c:v>
                </c:pt>
                <c:pt idx="1108">
                  <c:v>64.209999999999994</c:v>
                </c:pt>
                <c:pt idx="1109">
                  <c:v>62.97</c:v>
                </c:pt>
                <c:pt idx="1110">
                  <c:v>63.05</c:v>
                </c:pt>
                <c:pt idx="1111">
                  <c:v>62.99</c:v>
                </c:pt>
                <c:pt idx="1112">
                  <c:v>62.89</c:v>
                </c:pt>
                <c:pt idx="1113">
                  <c:v>62.97</c:v>
                </c:pt>
                <c:pt idx="1114">
                  <c:v>63.04</c:v>
                </c:pt>
                <c:pt idx="1115">
                  <c:v>63.12</c:v>
                </c:pt>
                <c:pt idx="1116">
                  <c:v>63.09</c:v>
                </c:pt>
                <c:pt idx="1117">
                  <c:v>63.27</c:v>
                </c:pt>
                <c:pt idx="1118">
                  <c:v>63.45</c:v>
                </c:pt>
                <c:pt idx="1119">
                  <c:v>63.4</c:v>
                </c:pt>
                <c:pt idx="1120">
                  <c:v>63.58</c:v>
                </c:pt>
                <c:pt idx="1121">
                  <c:v>64.02</c:v>
                </c:pt>
                <c:pt idx="1122">
                  <c:v>64.13</c:v>
                </c:pt>
                <c:pt idx="1123">
                  <c:v>64.05</c:v>
                </c:pt>
                <c:pt idx="1124">
                  <c:v>64</c:v>
                </c:pt>
                <c:pt idx="1125">
                  <c:v>64.31</c:v>
                </c:pt>
                <c:pt idx="1126">
                  <c:v>64.37</c:v>
                </c:pt>
                <c:pt idx="1127">
                  <c:v>64.37</c:v>
                </c:pt>
                <c:pt idx="1128">
                  <c:v>64.510000000000005</c:v>
                </c:pt>
                <c:pt idx="1129">
                  <c:v>64.62</c:v>
                </c:pt>
                <c:pt idx="1130">
                  <c:v>64.64</c:v>
                </c:pt>
                <c:pt idx="1131">
                  <c:v>64.77</c:v>
                </c:pt>
                <c:pt idx="1132">
                  <c:v>64.87</c:v>
                </c:pt>
                <c:pt idx="1133">
                  <c:v>64.94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96-42EA-A1E2-9BC6BD3CF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692415"/>
        <c:axId val="1679790623"/>
      </c:lineChart>
      <c:dateAx>
        <c:axId val="13266924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790623"/>
        <c:crosses val="autoZero"/>
        <c:auto val="0"/>
        <c:lblOffset val="100"/>
        <c:baseTimeUnit val="days"/>
        <c:majorUnit val="6"/>
        <c:majorTimeUnit val="months"/>
      </c:dateAx>
      <c:valAx>
        <c:axId val="167979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9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% Diária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numRef>
              <c:f>Análise_À_Vista!$A$3:$A$1136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Análise_À_Vista!$C$3:$C$1136</c:f>
              <c:numCache>
                <c:formatCode>0.00%</c:formatCode>
                <c:ptCount val="1134"/>
                <c:pt idx="0">
                  <c:v>0</c:v>
                </c:pt>
                <c:pt idx="1">
                  <c:v>7.7165525486359498E-3</c:v>
                </c:pt>
                <c:pt idx="2">
                  <c:v>9.7066436583265116E-4</c:v>
                </c:pt>
                <c:pt idx="3">
                  <c:v>5.0641094709621684E-3</c:v>
                </c:pt>
                <c:pt idx="4">
                  <c:v>2.5728987993138388E-3</c:v>
                </c:pt>
                <c:pt idx="5">
                  <c:v>9.7305389221558052E-3</c:v>
                </c:pt>
                <c:pt idx="6">
                  <c:v>7.4128984432912061E-3</c:v>
                </c:pt>
                <c:pt idx="7">
                  <c:v>1.4716703458425373E-3</c:v>
                </c:pt>
                <c:pt idx="8">
                  <c:v>1.2910674923900536E-2</c:v>
                </c:pt>
                <c:pt idx="9">
                  <c:v>2.797927461139855E-3</c:v>
                </c:pt>
                <c:pt idx="10">
                  <c:v>4.0301746409011118E-3</c:v>
                </c:pt>
                <c:pt idx="11">
                  <c:v>2.3672293124743101E-3</c:v>
                </c:pt>
                <c:pt idx="12">
                  <c:v>3.183078344799284E-3</c:v>
                </c:pt>
                <c:pt idx="13">
                  <c:v>4.4012282497440389E-3</c:v>
                </c:pt>
                <c:pt idx="14">
                  <c:v>2.0381127076327613E-3</c:v>
                </c:pt>
                <c:pt idx="15">
                  <c:v>-4.0679345062543627E-3</c:v>
                </c:pt>
                <c:pt idx="16">
                  <c:v>-1.7359338302869569E-3</c:v>
                </c:pt>
                <c:pt idx="17">
                  <c:v>1.43207855973814E-3</c:v>
                </c:pt>
                <c:pt idx="18">
                  <c:v>-5.4136874361593573E-3</c:v>
                </c:pt>
                <c:pt idx="19">
                  <c:v>3.0810311184144127E-4</c:v>
                </c:pt>
                <c:pt idx="20">
                  <c:v>2.0533880903486672E-4</c:v>
                </c:pt>
                <c:pt idx="21">
                  <c:v>-2.0529665366450441E-4</c:v>
                </c:pt>
                <c:pt idx="22">
                  <c:v>-2.6694045174538513E-3</c:v>
                </c:pt>
                <c:pt idx="23">
                  <c:v>-3.294214535721715E-3</c:v>
                </c:pt>
                <c:pt idx="24">
                  <c:v>3.2018178062384042E-3</c:v>
                </c:pt>
                <c:pt idx="25">
                  <c:v>-1.6472768454648058E-3</c:v>
                </c:pt>
                <c:pt idx="26">
                  <c:v>1.753119521501513E-3</c:v>
                </c:pt>
                <c:pt idx="27">
                  <c:v>-2.1618282890672612E-3</c:v>
                </c:pt>
                <c:pt idx="28">
                  <c:v>1.5475085112967241E-3</c:v>
                </c:pt>
                <c:pt idx="29">
                  <c:v>-3.0902348578493139E-4</c:v>
                </c:pt>
                <c:pt idx="30">
                  <c:v>-1.1025244719216828E-2</c:v>
                </c:pt>
                <c:pt idx="31">
                  <c:v>5.9387372369242878E-3</c:v>
                </c:pt>
                <c:pt idx="32">
                  <c:v>-2.0714655618846216E-4</c:v>
                </c:pt>
                <c:pt idx="33">
                  <c:v>-2.0718947477464021E-4</c:v>
                </c:pt>
                <c:pt idx="34">
                  <c:v>-2.0723241114920971E-4</c:v>
                </c:pt>
                <c:pt idx="35">
                  <c:v>3.1091304798425888E-4</c:v>
                </c:pt>
                <c:pt idx="36">
                  <c:v>2.9009531703274053E-3</c:v>
                </c:pt>
                <c:pt idx="37">
                  <c:v>5.1652892561980534E-4</c:v>
                </c:pt>
                <c:pt idx="38">
                  <c:v>4.1300980898302791E-4</c:v>
                </c:pt>
                <c:pt idx="39">
                  <c:v>4.6444421508927943E-3</c:v>
                </c:pt>
                <c:pt idx="40">
                  <c:v>-1.4382576535853767E-3</c:v>
                </c:pt>
                <c:pt idx="41">
                  <c:v>5.349794238683086E-3</c:v>
                </c:pt>
                <c:pt idx="42">
                  <c:v>4.4003274662301152E-3</c:v>
                </c:pt>
                <c:pt idx="43">
                  <c:v>2.0784513499745205E-2</c:v>
                </c:pt>
                <c:pt idx="44">
                  <c:v>1.1677812156901904E-2</c:v>
                </c:pt>
                <c:pt idx="45">
                  <c:v>-1.0852407261246985E-3</c:v>
                </c:pt>
                <c:pt idx="46">
                  <c:v>1.6790123456790291E-3</c:v>
                </c:pt>
                <c:pt idx="47">
                  <c:v>2.1198974561230443E-2</c:v>
                </c:pt>
                <c:pt idx="48">
                  <c:v>3.1862508448393602E-3</c:v>
                </c:pt>
                <c:pt idx="49">
                  <c:v>-2.8873917228105036E-4</c:v>
                </c:pt>
                <c:pt idx="50">
                  <c:v>-1.2515644555695549E-3</c:v>
                </c:pt>
                <c:pt idx="51">
                  <c:v>-1.638712165027971E-3</c:v>
                </c:pt>
                <c:pt idx="52">
                  <c:v>-9.4621994786133999E-3</c:v>
                </c:pt>
                <c:pt idx="53">
                  <c:v>3.899015498585831E-4</c:v>
                </c:pt>
                <c:pt idx="54">
                  <c:v>-1.3056611127350572E-2</c:v>
                </c:pt>
                <c:pt idx="55">
                  <c:v>-1.3426794352848251E-2</c:v>
                </c:pt>
                <c:pt idx="56">
                  <c:v>-7.3051135795056937E-3</c:v>
                </c:pt>
                <c:pt idx="57">
                  <c:v>-2.2379032258064504E-2</c:v>
                </c:pt>
                <c:pt idx="58">
                  <c:v>-8.4553516188905688E-3</c:v>
                </c:pt>
                <c:pt idx="59">
                  <c:v>-3.5253743760399345E-2</c:v>
                </c:pt>
                <c:pt idx="60">
                  <c:v>-7.5455427401092143E-4</c:v>
                </c:pt>
                <c:pt idx="61">
                  <c:v>4.20711974110033E-3</c:v>
                </c:pt>
                <c:pt idx="62">
                  <c:v>-1.1279407025459202E-2</c:v>
                </c:pt>
                <c:pt idx="63">
                  <c:v>-5.3237722729249136E-3</c:v>
                </c:pt>
                <c:pt idx="64">
                  <c:v>-1.4855270344074271E-2</c:v>
                </c:pt>
                <c:pt idx="65">
                  <c:v>-8.0940237276860404E-3</c:v>
                </c:pt>
                <c:pt idx="66">
                  <c:v>-4.4712720769057848E-3</c:v>
                </c:pt>
                <c:pt idx="67">
                  <c:v>-4.4913541432748994E-4</c:v>
                </c:pt>
                <c:pt idx="68">
                  <c:v>-1.3480116827678087E-3</c:v>
                </c:pt>
                <c:pt idx="69">
                  <c:v>-8.2114735658043187E-3</c:v>
                </c:pt>
                <c:pt idx="70">
                  <c:v>-6.9184529885448496E-3</c:v>
                </c:pt>
                <c:pt idx="71">
                  <c:v>-2.969392416628656E-3</c:v>
                </c:pt>
                <c:pt idx="72">
                  <c:v>3.7800687285223173E-3</c:v>
                </c:pt>
                <c:pt idx="73">
                  <c:v>4.564646810453106E-3</c:v>
                </c:pt>
                <c:pt idx="74">
                  <c:v>-1.8175621947063114E-3</c:v>
                </c:pt>
                <c:pt idx="75">
                  <c:v>6.82826903380019E-4</c:v>
                </c:pt>
                <c:pt idx="76">
                  <c:v>8.870692596383338E-3</c:v>
                </c:pt>
                <c:pt idx="77">
                  <c:v>-2.254537256228031E-3</c:v>
                </c:pt>
                <c:pt idx="78">
                  <c:v>-3.3894475200543592E-3</c:v>
                </c:pt>
                <c:pt idx="79">
                  <c:v>1.9272191361523832E-3</c:v>
                </c:pt>
                <c:pt idx="80">
                  <c:v>-1.4709210228557985E-3</c:v>
                </c:pt>
                <c:pt idx="81">
                  <c:v>-4.3059490084985316E-3</c:v>
                </c:pt>
                <c:pt idx="82">
                  <c:v>-3.0727210652100856E-3</c:v>
                </c:pt>
                <c:pt idx="83">
                  <c:v>-5.7077625570773011E-4</c:v>
                </c:pt>
                <c:pt idx="84">
                  <c:v>-1.5990862364363286E-3</c:v>
                </c:pt>
                <c:pt idx="85">
                  <c:v>-8.9234641345383951E-3</c:v>
                </c:pt>
                <c:pt idx="86">
                  <c:v>-5.5408057254991315E-3</c:v>
                </c:pt>
                <c:pt idx="87">
                  <c:v>-3.7144515380151755E-3</c:v>
                </c:pt>
                <c:pt idx="88">
                  <c:v>2.9127344751252475E-3</c:v>
                </c:pt>
                <c:pt idx="89">
                  <c:v>3.7174721189591939E-3</c:v>
                </c:pt>
                <c:pt idx="90">
                  <c:v>1.6203703703703768E-3</c:v>
                </c:pt>
                <c:pt idx="91">
                  <c:v>1.6524150681765572E-2</c:v>
                </c:pt>
                <c:pt idx="92">
                  <c:v>1.2731613049903428E-2</c:v>
                </c:pt>
                <c:pt idx="93">
                  <c:v>2.1326748232124563E-3</c:v>
                </c:pt>
                <c:pt idx="94">
                  <c:v>-5.6003584229387502E-4</c:v>
                </c:pt>
                <c:pt idx="95">
                  <c:v>-8.4052448728006279E-3</c:v>
                </c:pt>
                <c:pt idx="96">
                  <c:v>-5.0858951175407193E-3</c:v>
                </c:pt>
                <c:pt idx="97">
                  <c:v>-6.8158582301487483E-3</c:v>
                </c:pt>
                <c:pt idx="98">
                  <c:v>-1.1437721605857087E-3</c:v>
                </c:pt>
                <c:pt idx="99">
                  <c:v>-3.8932783694034514E-3</c:v>
                </c:pt>
                <c:pt idx="100">
                  <c:v>-1.0346016783537096E-3</c:v>
                </c:pt>
                <c:pt idx="101">
                  <c:v>-6.9044879171464065E-4</c:v>
                </c:pt>
                <c:pt idx="102">
                  <c:v>-6.7941040994933602E-3</c:v>
                </c:pt>
                <c:pt idx="103">
                  <c:v>-5.2173913043478595E-3</c:v>
                </c:pt>
                <c:pt idx="104">
                  <c:v>-3.2634032634032768E-3</c:v>
                </c:pt>
                <c:pt idx="105">
                  <c:v>-5.2619270346118199E-3</c:v>
                </c:pt>
                <c:pt idx="106">
                  <c:v>-3.1738568237921244E-3</c:v>
                </c:pt>
                <c:pt idx="107">
                  <c:v>8.9622641509434567E-3</c:v>
                </c:pt>
                <c:pt idx="108">
                  <c:v>3.5063113604487744E-3</c:v>
                </c:pt>
                <c:pt idx="109">
                  <c:v>-1.16468669927849E-4</c:v>
                </c:pt>
                <c:pt idx="110">
                  <c:v>-5.0087361677343348E-3</c:v>
                </c:pt>
                <c:pt idx="111">
                  <c:v>-1.1706860220094961E-4</c:v>
                </c:pt>
                <c:pt idx="112">
                  <c:v>1.182531319517627E-2</c:v>
                </c:pt>
                <c:pt idx="113">
                  <c:v>-1.9671372367507716E-3</c:v>
                </c:pt>
                <c:pt idx="114">
                  <c:v>8.1159420289847169E-4</c:v>
                </c:pt>
                <c:pt idx="115">
                  <c:v>1.2743280815570072E-2</c:v>
                </c:pt>
                <c:pt idx="116">
                  <c:v>-3.0885380919697552E-3</c:v>
                </c:pt>
                <c:pt idx="117">
                  <c:v>-1.2621916236374001E-3</c:v>
                </c:pt>
                <c:pt idx="118">
                  <c:v>-1.2867647058823581E-2</c:v>
                </c:pt>
                <c:pt idx="119">
                  <c:v>-3.142458100558613E-3</c:v>
                </c:pt>
                <c:pt idx="120">
                  <c:v>-1.0507880910683078E-2</c:v>
                </c:pt>
                <c:pt idx="121">
                  <c:v>-1.0029498525073679E-2</c:v>
                </c:pt>
                <c:pt idx="122">
                  <c:v>1.1323003575685204E-2</c:v>
                </c:pt>
                <c:pt idx="123">
                  <c:v>-1.5321154979375336E-2</c:v>
                </c:pt>
                <c:pt idx="124">
                  <c:v>-4.6678635547576369E-3</c:v>
                </c:pt>
                <c:pt idx="125">
                  <c:v>9.6200096200094154E-4</c:v>
                </c:pt>
                <c:pt idx="126">
                  <c:v>-7.6886112445939524E-3</c:v>
                </c:pt>
                <c:pt idx="127">
                  <c:v>-4.9636803874091601E-3</c:v>
                </c:pt>
                <c:pt idx="128">
                  <c:v>-6.2051344445795218E-3</c:v>
                </c:pt>
                <c:pt idx="129">
                  <c:v>-2.2037218413321108E-3</c:v>
                </c:pt>
                <c:pt idx="130">
                  <c:v>1.0552147239263796E-2</c:v>
                </c:pt>
                <c:pt idx="131">
                  <c:v>9.2277804759592665E-3</c:v>
                </c:pt>
                <c:pt idx="132">
                  <c:v>-4.6920115495668975E-3</c:v>
                </c:pt>
                <c:pt idx="133">
                  <c:v>-1.8131270397679883E-3</c:v>
                </c:pt>
                <c:pt idx="134">
                  <c:v>-1.45313635262781E-3</c:v>
                </c:pt>
                <c:pt idx="135">
                  <c:v>-1.212709192335609E-3</c:v>
                </c:pt>
                <c:pt idx="136">
                  <c:v>-8.3778533268576705E-3</c:v>
                </c:pt>
                <c:pt idx="137">
                  <c:v>-3.1835435288356203E-3</c:v>
                </c:pt>
                <c:pt idx="138">
                  <c:v>-6.878761822871911E-3</c:v>
                </c:pt>
                <c:pt idx="139">
                  <c:v>-9.7711811997525308E-3</c:v>
                </c:pt>
                <c:pt idx="140">
                  <c:v>1.7486884836372791E-3</c:v>
                </c:pt>
                <c:pt idx="141">
                  <c:v>1.3341645885286697E-2</c:v>
                </c:pt>
                <c:pt idx="142">
                  <c:v>1.5996062507691604E-3</c:v>
                </c:pt>
                <c:pt idx="143">
                  <c:v>4.668304668304612E-3</c:v>
                </c:pt>
                <c:pt idx="144">
                  <c:v>1.4062117877231666E-2</c:v>
                </c:pt>
                <c:pt idx="145">
                  <c:v>-3.4969251175691091E-3</c:v>
                </c:pt>
                <c:pt idx="146">
                  <c:v>-7.2604065827689107E-4</c:v>
                </c:pt>
                <c:pt idx="147">
                  <c:v>-2.0586098328893403E-3</c:v>
                </c:pt>
                <c:pt idx="148">
                  <c:v>-2.0628564494600378E-3</c:v>
                </c:pt>
                <c:pt idx="149">
                  <c:v>-4.0126459143968668E-3</c:v>
                </c:pt>
                <c:pt idx="150">
                  <c:v>1.7091930167256815E-3</c:v>
                </c:pt>
                <c:pt idx="151">
                  <c:v>-5.1188299817184852E-3</c:v>
                </c:pt>
                <c:pt idx="152">
                  <c:v>1.3842949895871735E-2</c:v>
                </c:pt>
                <c:pt idx="153">
                  <c:v>-9.9081681971968025E-3</c:v>
                </c:pt>
                <c:pt idx="154">
                  <c:v>-4.7595801806199732E-3</c:v>
                </c:pt>
                <c:pt idx="155">
                  <c:v>-1.7167381974248998E-3</c:v>
                </c:pt>
                <c:pt idx="156">
                  <c:v>8.5984522785898885E-3</c:v>
                </c:pt>
                <c:pt idx="157">
                  <c:v>8.0379978078187388E-3</c:v>
                </c:pt>
                <c:pt idx="158">
                  <c:v>-8.094720309290827E-3</c:v>
                </c:pt>
                <c:pt idx="159">
                  <c:v>7.3081607795374276E-4</c:v>
                </c:pt>
                <c:pt idx="160">
                  <c:v>-3.1645569620252058E-3</c:v>
                </c:pt>
                <c:pt idx="161">
                  <c:v>9.6459096459095475E-3</c:v>
                </c:pt>
                <c:pt idx="162">
                  <c:v>9.6746885959606119E-4</c:v>
                </c:pt>
                <c:pt idx="163">
                  <c:v>6.5241029358463973E-3</c:v>
                </c:pt>
                <c:pt idx="164">
                  <c:v>3.4809746729083189E-3</c:v>
                </c:pt>
                <c:pt idx="165">
                  <c:v>2.3923444976076897E-3</c:v>
                </c:pt>
                <c:pt idx="166">
                  <c:v>-8.3532219570397592E-4</c:v>
                </c:pt>
                <c:pt idx="167">
                  <c:v>2.5080616266570373E-3</c:v>
                </c:pt>
                <c:pt idx="168">
                  <c:v>-3.3357159876102114E-3</c:v>
                </c:pt>
                <c:pt idx="169">
                  <c:v>-3.227348792732441E-3</c:v>
                </c:pt>
                <c:pt idx="170">
                  <c:v>-1.5589399208537648E-3</c:v>
                </c:pt>
                <c:pt idx="171">
                  <c:v>3.3629594042757761E-3</c:v>
                </c:pt>
                <c:pt idx="172">
                  <c:v>-3.471390950442976E-3</c:v>
                </c:pt>
                <c:pt idx="173">
                  <c:v>2.1621621621622442E-3</c:v>
                </c:pt>
                <c:pt idx="174">
                  <c:v>6.2327699868152458E-3</c:v>
                </c:pt>
                <c:pt idx="175">
                  <c:v>-2.7397260273973076E-3</c:v>
                </c:pt>
                <c:pt idx="176">
                  <c:v>6.6889632107023688E-3</c:v>
                </c:pt>
                <c:pt idx="177">
                  <c:v>3.2036070242049837E-3</c:v>
                </c:pt>
                <c:pt idx="178">
                  <c:v>-2.3654642223536705E-3</c:v>
                </c:pt>
                <c:pt idx="179">
                  <c:v>-3.9122703023117761E-3</c:v>
                </c:pt>
                <c:pt idx="180">
                  <c:v>2.2613663413472711E-3</c:v>
                </c:pt>
                <c:pt idx="181">
                  <c:v>3.5625222657642965E-4</c:v>
                </c:pt>
                <c:pt idx="182">
                  <c:v>3.7986704653372198E-3</c:v>
                </c:pt>
                <c:pt idx="183">
                  <c:v>-2.3651844843893119E-4</c:v>
                </c:pt>
                <c:pt idx="184">
                  <c:v>4.7314880529917246E-4</c:v>
                </c:pt>
                <c:pt idx="185">
                  <c:v>1.6552376448333006E-3</c:v>
                </c:pt>
                <c:pt idx="186">
                  <c:v>-5.5476864966949816E-3</c:v>
                </c:pt>
                <c:pt idx="187">
                  <c:v>-1.1869436201786488E-4</c:v>
                </c:pt>
                <c:pt idx="188">
                  <c:v>2.1367521367522181E-3</c:v>
                </c:pt>
                <c:pt idx="189">
                  <c:v>-3.3167495854063153E-3</c:v>
                </c:pt>
                <c:pt idx="190">
                  <c:v>-1.0339909674352324E-2</c:v>
                </c:pt>
                <c:pt idx="191">
                  <c:v>-4.3232856971298118E-3</c:v>
                </c:pt>
                <c:pt idx="192">
                  <c:v>1.5679652635388936E-3</c:v>
                </c:pt>
                <c:pt idx="193">
                  <c:v>1.2042389210008315E-4</c:v>
                </c:pt>
                <c:pt idx="194">
                  <c:v>5.418422636965718E-3</c:v>
                </c:pt>
                <c:pt idx="195">
                  <c:v>4.311377245508975E-3</c:v>
                </c:pt>
                <c:pt idx="196">
                  <c:v>6.6777963272120471E-3</c:v>
                </c:pt>
                <c:pt idx="197">
                  <c:v>2.9613835583984839E-3</c:v>
                </c:pt>
                <c:pt idx="198">
                  <c:v>2.2440061414904654E-3</c:v>
                </c:pt>
                <c:pt idx="199">
                  <c:v>6.1277398067404671E-3</c:v>
                </c:pt>
                <c:pt idx="200">
                  <c:v>3.5137034434295079E-4</c:v>
                </c:pt>
                <c:pt idx="201">
                  <c:v>-2.3416461772626492E-3</c:v>
                </c:pt>
                <c:pt idx="202">
                  <c:v>8.2149982396441021E-4</c:v>
                </c:pt>
                <c:pt idx="203">
                  <c:v>-2.3452157598499394E-3</c:v>
                </c:pt>
                <c:pt idx="204">
                  <c:v>-1.9981194170192959E-3</c:v>
                </c:pt>
                <c:pt idx="205">
                  <c:v>2.4732069249794836E-3</c:v>
                </c:pt>
                <c:pt idx="206">
                  <c:v>2.7020676691728121E-3</c:v>
                </c:pt>
                <c:pt idx="207">
                  <c:v>3.9835969537200169E-3</c:v>
                </c:pt>
                <c:pt idx="208">
                  <c:v>-3.9677908740810295E-3</c:v>
                </c:pt>
                <c:pt idx="209">
                  <c:v>-2.8119507908611003E-3</c:v>
                </c:pt>
                <c:pt idx="210">
                  <c:v>-4.1123252261778204E-3</c:v>
                </c:pt>
                <c:pt idx="211">
                  <c:v>2.241623407267552E-3</c:v>
                </c:pt>
                <c:pt idx="212">
                  <c:v>2.8251912889934653E-3</c:v>
                </c:pt>
                <c:pt idx="213">
                  <c:v>1.2912313651837004E-3</c:v>
                </c:pt>
                <c:pt idx="214">
                  <c:v>-6.3305978898006102E-3</c:v>
                </c:pt>
                <c:pt idx="215">
                  <c:v>-3.3034450212364457E-3</c:v>
                </c:pt>
                <c:pt idx="216">
                  <c:v>-8.7594696969698037E-3</c:v>
                </c:pt>
                <c:pt idx="217">
                  <c:v>3.1048483401003718E-3</c:v>
                </c:pt>
                <c:pt idx="218">
                  <c:v>-3.6904761904762175E-3</c:v>
                </c:pt>
                <c:pt idx="219">
                  <c:v>4.4210777870713888E-3</c:v>
                </c:pt>
                <c:pt idx="220">
                  <c:v>8.4463478467760381E-3</c:v>
                </c:pt>
                <c:pt idx="221">
                  <c:v>3.6569541111242457E-3</c:v>
                </c:pt>
                <c:pt idx="222">
                  <c:v>1.2929007992477602E-3</c:v>
                </c:pt>
                <c:pt idx="223">
                  <c:v>3.7563094259890528E-3</c:v>
                </c:pt>
                <c:pt idx="224">
                  <c:v>4.2100339141620795E-3</c:v>
                </c:pt>
                <c:pt idx="225">
                  <c:v>-4.5417491557004841E-3</c:v>
                </c:pt>
                <c:pt idx="226">
                  <c:v>5.615348619560011E-3</c:v>
                </c:pt>
                <c:pt idx="227">
                  <c:v>-2.3266635644484486E-3</c:v>
                </c:pt>
                <c:pt idx="228">
                  <c:v>5.1305970149253463E-3</c:v>
                </c:pt>
                <c:pt idx="229">
                  <c:v>-2.3201856148492208E-3</c:v>
                </c:pt>
                <c:pt idx="230">
                  <c:v>3.4883720930233881E-4</c:v>
                </c:pt>
                <c:pt idx="231">
                  <c:v>-5.6956875508542932E-3</c:v>
                </c:pt>
                <c:pt idx="232">
                  <c:v>6.5466448445170447E-3</c:v>
                </c:pt>
                <c:pt idx="233">
                  <c:v>1.0452961672474264E-3</c:v>
                </c:pt>
                <c:pt idx="234">
                  <c:v>-3.3646594732566659E-3</c:v>
                </c:pt>
                <c:pt idx="235">
                  <c:v>2.0954598370197045E-3</c:v>
                </c:pt>
                <c:pt idx="236">
                  <c:v>8.1319702602239072E-4</c:v>
                </c:pt>
                <c:pt idx="237">
                  <c:v>-1.7411491584446393E-3</c:v>
                </c:pt>
                <c:pt idx="238">
                  <c:v>-2.4418604651162065E-3</c:v>
                </c:pt>
                <c:pt idx="239">
                  <c:v>1.3987644247580176E-3</c:v>
                </c:pt>
                <c:pt idx="240">
                  <c:v>6.1692468862763489E-3</c:v>
                </c:pt>
                <c:pt idx="241">
                  <c:v>-4.5118000925497524E-3</c:v>
                </c:pt>
                <c:pt idx="242">
                  <c:v>-8.1348053457284345E-4</c:v>
                </c:pt>
                <c:pt idx="243">
                  <c:v>-1.8608978832287833E-3</c:v>
                </c:pt>
                <c:pt idx="244">
                  <c:v>-2.7965509205312854E-3</c:v>
                </c:pt>
                <c:pt idx="245">
                  <c:v>2.5706940874035858E-3</c:v>
                </c:pt>
                <c:pt idx="246">
                  <c:v>-1.1655011655001056E-4</c:v>
                </c:pt>
                <c:pt idx="247">
                  <c:v>9.5582235691804764E-3</c:v>
                </c:pt>
                <c:pt idx="248">
                  <c:v>-2.1937420621175124E-3</c:v>
                </c:pt>
                <c:pt idx="249">
                  <c:v>-4.0499884286045885E-3</c:v>
                </c:pt>
                <c:pt idx="250">
                  <c:v>2.3236900197525542E-4</c:v>
                </c:pt>
                <c:pt idx="251">
                  <c:v>-2.3231501916610791E-4</c:v>
                </c:pt>
                <c:pt idx="252">
                  <c:v>3.2531660276519246E-3</c:v>
                </c:pt>
                <c:pt idx="253">
                  <c:v>1.5865662999421014E-2</c:v>
                </c:pt>
                <c:pt idx="254">
                  <c:v>-2.5079799361604977E-3</c:v>
                </c:pt>
                <c:pt idx="255">
                  <c:v>-2.628571428571474E-3</c:v>
                </c:pt>
                <c:pt idx="256">
                  <c:v>6.8752148504643376E-4</c:v>
                </c:pt>
                <c:pt idx="257">
                  <c:v>-1.6031146226955294E-3</c:v>
                </c:pt>
                <c:pt idx="258">
                  <c:v>-3.7848377107466257E-3</c:v>
                </c:pt>
                <c:pt idx="259">
                  <c:v>1.1512779184901123E-4</c:v>
                </c:pt>
                <c:pt idx="260">
                  <c:v>-5.5254978703810744E-3</c:v>
                </c:pt>
                <c:pt idx="261">
                  <c:v>-2.3150827642088533E-3</c:v>
                </c:pt>
                <c:pt idx="262">
                  <c:v>-3.3646594732566659E-3</c:v>
                </c:pt>
                <c:pt idx="263">
                  <c:v>-6.053550640279513E-3</c:v>
                </c:pt>
                <c:pt idx="264">
                  <c:v>-5.8561724057152914E-4</c:v>
                </c:pt>
                <c:pt idx="265">
                  <c:v>1.1719207781554965E-3</c:v>
                </c:pt>
                <c:pt idx="266">
                  <c:v>-3.0434273674353868E-3</c:v>
                </c:pt>
                <c:pt idx="267">
                  <c:v>5.8706117177406551E-4</c:v>
                </c:pt>
                <c:pt idx="268">
                  <c:v>-3.9896737854964023E-3</c:v>
                </c:pt>
                <c:pt idx="269">
                  <c:v>-1.6493873704052848E-3</c:v>
                </c:pt>
                <c:pt idx="270">
                  <c:v>2.4781685154591452E-3</c:v>
                </c:pt>
                <c:pt idx="271">
                  <c:v>6.3566804002353388E-3</c:v>
                </c:pt>
                <c:pt idx="272">
                  <c:v>3.158264124459121E-3</c:v>
                </c:pt>
                <c:pt idx="273">
                  <c:v>-8.3955223880596876E-3</c:v>
                </c:pt>
                <c:pt idx="274">
                  <c:v>-7.0555032925684704E-4</c:v>
                </c:pt>
                <c:pt idx="275">
                  <c:v>1.6474464579901218E-3</c:v>
                </c:pt>
                <c:pt idx="276">
                  <c:v>-2.9370300751879698E-3</c:v>
                </c:pt>
                <c:pt idx="277">
                  <c:v>3.5348179568753544E-4</c:v>
                </c:pt>
                <c:pt idx="278">
                  <c:v>1.2485276796230719E-2</c:v>
                </c:pt>
                <c:pt idx="279">
                  <c:v>8.1433224755708927E-4</c:v>
                </c:pt>
                <c:pt idx="280">
                  <c:v>-1.9760548645821425E-3</c:v>
                </c:pt>
                <c:pt idx="281">
                  <c:v>4.6587467971116433E-3</c:v>
                </c:pt>
                <c:pt idx="282">
                  <c:v>-2.3185717597959984E-3</c:v>
                </c:pt>
                <c:pt idx="283">
                  <c:v>2.0915640250986824E-3</c:v>
                </c:pt>
                <c:pt idx="284">
                  <c:v>-5.9137291280147372E-3</c:v>
                </c:pt>
                <c:pt idx="285">
                  <c:v>3.8492942960457049E-3</c:v>
                </c:pt>
                <c:pt idx="286">
                  <c:v>1.8591680223099766E-3</c:v>
                </c:pt>
                <c:pt idx="287">
                  <c:v>-4.5233124565066179E-3</c:v>
                </c:pt>
                <c:pt idx="288">
                  <c:v>6.6410346032856511E-3</c:v>
                </c:pt>
                <c:pt idx="289">
                  <c:v>-3.7037037037037888E-3</c:v>
                </c:pt>
                <c:pt idx="290">
                  <c:v>3.4851301115242957E-4</c:v>
                </c:pt>
                <c:pt idx="291">
                  <c:v>2.9032632679131345E-3</c:v>
                </c:pt>
                <c:pt idx="292">
                  <c:v>-1.6211208893006088E-3</c:v>
                </c:pt>
                <c:pt idx="293">
                  <c:v>-8.1187659475751776E-4</c:v>
                </c:pt>
                <c:pt idx="294">
                  <c:v>-3.5983749274521447E-3</c:v>
                </c:pt>
                <c:pt idx="295">
                  <c:v>2.2134203168685663E-3</c:v>
                </c:pt>
                <c:pt idx="296">
                  <c:v>-6.5093572009764303E-3</c:v>
                </c:pt>
                <c:pt idx="297">
                  <c:v>-1.7550017550018214E-3</c:v>
                </c:pt>
                <c:pt idx="298">
                  <c:v>3.3989685888420802E-3</c:v>
                </c:pt>
                <c:pt idx="299">
                  <c:v>-2.2193668963905819E-3</c:v>
                </c:pt>
                <c:pt idx="300">
                  <c:v>8.1948021540614814E-4</c:v>
                </c:pt>
                <c:pt idx="301">
                  <c:v>-1.4036729442038875E-3</c:v>
                </c:pt>
                <c:pt idx="302">
                  <c:v>-1.5227831791028424E-3</c:v>
                </c:pt>
                <c:pt idx="303">
                  <c:v>-6.8043172219615011E-3</c:v>
                </c:pt>
                <c:pt idx="304">
                  <c:v>-2.3623907394283352E-3</c:v>
                </c:pt>
                <c:pt idx="305">
                  <c:v>-1.1839924224484291E-3</c:v>
                </c:pt>
                <c:pt idx="306">
                  <c:v>-5.3342816500711572E-3</c:v>
                </c:pt>
                <c:pt idx="307">
                  <c:v>3.2177332856633328E-3</c:v>
                </c:pt>
                <c:pt idx="308">
                  <c:v>-2.1382751247327964E-3</c:v>
                </c:pt>
                <c:pt idx="309">
                  <c:v>-7.261904761904755E-3</c:v>
                </c:pt>
                <c:pt idx="310">
                  <c:v>-2.6382060199064499E-3</c:v>
                </c:pt>
                <c:pt idx="311">
                  <c:v>-3.246362871227558E-3</c:v>
                </c:pt>
                <c:pt idx="312">
                  <c:v>-3.6188178528348777E-3</c:v>
                </c:pt>
                <c:pt idx="313">
                  <c:v>-2.4213075060531314E-3</c:v>
                </c:pt>
                <c:pt idx="314">
                  <c:v>-1.5533980582524285E-2</c:v>
                </c:pt>
                <c:pt idx="315">
                  <c:v>-2.8353057199211533E-3</c:v>
                </c:pt>
                <c:pt idx="316">
                  <c:v>-8.035603906539816E-3</c:v>
                </c:pt>
                <c:pt idx="317">
                  <c:v>-1.0593220338982981E-2</c:v>
                </c:pt>
                <c:pt idx="318">
                  <c:v>-1.3225847084015583E-2</c:v>
                </c:pt>
                <c:pt idx="319">
                  <c:v>-8.6801123308655453E-3</c:v>
                </c:pt>
                <c:pt idx="320">
                  <c:v>-1.0043780582024223E-2</c:v>
                </c:pt>
                <c:pt idx="321">
                  <c:v>-1.1576482830385024E-2</c:v>
                </c:pt>
                <c:pt idx="322">
                  <c:v>-9.2117383866296716E-3</c:v>
                </c:pt>
                <c:pt idx="323">
                  <c:v>-1.8196307610572511E-2</c:v>
                </c:pt>
                <c:pt idx="324">
                  <c:v>-1.5692640692640647E-2</c:v>
                </c:pt>
                <c:pt idx="325">
                  <c:v>-2.9686641011544952E-2</c:v>
                </c:pt>
                <c:pt idx="326">
                  <c:v>-6.9405099150140924E-3</c:v>
                </c:pt>
                <c:pt idx="327">
                  <c:v>-5.1347881899871549E-3</c:v>
                </c:pt>
                <c:pt idx="328">
                  <c:v>-1.5340501792114597E-2</c:v>
                </c:pt>
                <c:pt idx="329">
                  <c:v>-1.4123471170646665E-2</c:v>
                </c:pt>
                <c:pt idx="330">
                  <c:v>-3.1014621178555524E-2</c:v>
                </c:pt>
                <c:pt idx="331">
                  <c:v>-1.6918152720621849E-2</c:v>
                </c:pt>
                <c:pt idx="332">
                  <c:v>-5.4263565891471983E-3</c:v>
                </c:pt>
                <c:pt idx="333">
                  <c:v>-2.0265003897116197E-2</c:v>
                </c:pt>
                <c:pt idx="334">
                  <c:v>-8.4327764518695482E-3</c:v>
                </c:pt>
                <c:pt idx="335">
                  <c:v>-9.1463414634146388E-3</c:v>
                </c:pt>
                <c:pt idx="336">
                  <c:v>-2.0890688259109298E-2</c:v>
                </c:pt>
                <c:pt idx="337">
                  <c:v>-5.458154151505099E-3</c:v>
                </c:pt>
                <c:pt idx="338">
                  <c:v>-2.3948112423083399E-2</c:v>
                </c:pt>
                <c:pt idx="339">
                  <c:v>1.7038677798603072E-3</c:v>
                </c:pt>
                <c:pt idx="340">
                  <c:v>6.803878210579886E-4</c:v>
                </c:pt>
                <c:pt idx="341">
                  <c:v>1.6998130205686071E-4</c:v>
                </c:pt>
                <c:pt idx="342">
                  <c:v>-2.3963290278722019E-2</c:v>
                </c:pt>
                <c:pt idx="343">
                  <c:v>-1.6019502002437781E-2</c:v>
                </c:pt>
                <c:pt idx="344">
                  <c:v>-8.3171120155724459E-3</c:v>
                </c:pt>
                <c:pt idx="345">
                  <c:v>-3.7473233404711074E-3</c:v>
                </c:pt>
                <c:pt idx="346">
                  <c:v>-1.2000716460684251E-2</c:v>
                </c:pt>
                <c:pt idx="347">
                  <c:v>-1.0877447425670674E-2</c:v>
                </c:pt>
                <c:pt idx="348">
                  <c:v>8.0645161290322162E-3</c:v>
                </c:pt>
                <c:pt idx="349">
                  <c:v>-3.2727272727272674E-3</c:v>
                </c:pt>
                <c:pt idx="350">
                  <c:v>1.8241517694268534E-4</c:v>
                </c:pt>
                <c:pt idx="351">
                  <c:v>-1.0213386832026175E-2</c:v>
                </c:pt>
                <c:pt idx="352">
                  <c:v>-9.2131932927952825E-3</c:v>
                </c:pt>
                <c:pt idx="353">
                  <c:v>2.417705039985037E-3</c:v>
                </c:pt>
                <c:pt idx="354">
                  <c:v>-3.3395176252319059E-3</c:v>
                </c:pt>
                <c:pt idx="355">
                  <c:v>-1.6753536857780399E-3</c:v>
                </c:pt>
                <c:pt idx="356">
                  <c:v>8.204363229535664E-3</c:v>
                </c:pt>
                <c:pt idx="357">
                  <c:v>-6.4730904383207217E-3</c:v>
                </c:pt>
                <c:pt idx="358">
                  <c:v>1.8615040953086394E-4</c:v>
                </c:pt>
                <c:pt idx="359">
                  <c:v>7.4446305602096142E-4</c:v>
                </c:pt>
                <c:pt idx="360">
                  <c:v>5.5793193230425355E-3</c:v>
                </c:pt>
                <c:pt idx="361">
                  <c:v>4.8085814684667655E-3</c:v>
                </c:pt>
                <c:pt idx="362">
                  <c:v>3.6812074360395965E-4</c:v>
                </c:pt>
                <c:pt idx="363">
                  <c:v>1.8399264029435162E-4</c:v>
                </c:pt>
                <c:pt idx="364">
                  <c:v>2.0235467255334699E-3</c:v>
                </c:pt>
                <c:pt idx="365">
                  <c:v>6.6091426473287949E-3</c:v>
                </c:pt>
                <c:pt idx="366">
                  <c:v>1.2584351632318162E-2</c:v>
                </c:pt>
                <c:pt idx="367">
                  <c:v>2.791786743515845E-2</c:v>
                </c:pt>
                <c:pt idx="368">
                  <c:v>5.0814788855790983E-3</c:v>
                </c:pt>
                <c:pt idx="369">
                  <c:v>8.7168758716870917E-4</c:v>
                </c:pt>
                <c:pt idx="370">
                  <c:v>4.5288277303606539E-3</c:v>
                </c:pt>
                <c:pt idx="371">
                  <c:v>-2.2715449973989981E-2</c:v>
                </c:pt>
                <c:pt idx="372">
                  <c:v>-4.2583392476934351E-3</c:v>
                </c:pt>
                <c:pt idx="373">
                  <c:v>-1.3542409123307165E-2</c:v>
                </c:pt>
                <c:pt idx="374">
                  <c:v>3.0708092485549443E-3</c:v>
                </c:pt>
                <c:pt idx="375">
                  <c:v>2.7012425715829025E-3</c:v>
                </c:pt>
                <c:pt idx="376">
                  <c:v>7.9022988505746718E-3</c:v>
                </c:pt>
                <c:pt idx="377">
                  <c:v>-1.3720598717034856E-2</c:v>
                </c:pt>
                <c:pt idx="378">
                  <c:v>9.5754290876242307E-3</c:v>
                </c:pt>
                <c:pt idx="379">
                  <c:v>-1.6105941302792307E-3</c:v>
                </c:pt>
                <c:pt idx="380">
                  <c:v>-9.8583975622870967E-3</c:v>
                </c:pt>
                <c:pt idx="381">
                  <c:v>9.0514120202746478E-4</c:v>
                </c:pt>
                <c:pt idx="382">
                  <c:v>-2.2246337493217524E-2</c:v>
                </c:pt>
                <c:pt idx="383">
                  <c:v>4.0695523492415625E-3</c:v>
                </c:pt>
                <c:pt idx="384">
                  <c:v>4.4215180545320925E-3</c:v>
                </c:pt>
                <c:pt idx="385">
                  <c:v>9.1709464416722588E-4</c:v>
                </c:pt>
                <c:pt idx="386">
                  <c:v>8.6127909107568054E-3</c:v>
                </c:pt>
                <c:pt idx="387">
                  <c:v>-6.5406976744185946E-3</c:v>
                </c:pt>
                <c:pt idx="388">
                  <c:v>-1.7190929041697105E-2</c:v>
                </c:pt>
                <c:pt idx="389">
                  <c:v>2.45627093412728E-2</c:v>
                </c:pt>
                <c:pt idx="390">
                  <c:v>3.9956411187794926E-3</c:v>
                </c:pt>
                <c:pt idx="391">
                  <c:v>-2.8943560057887786E-3</c:v>
                </c:pt>
                <c:pt idx="392">
                  <c:v>-7.4383164005804902E-3</c:v>
                </c:pt>
                <c:pt idx="393">
                  <c:v>3.8384207640285296E-3</c:v>
                </c:pt>
                <c:pt idx="394">
                  <c:v>-2.3670793882010273E-2</c:v>
                </c:pt>
                <c:pt idx="395">
                  <c:v>2.4244684819097828E-3</c:v>
                </c:pt>
                <c:pt idx="396">
                  <c:v>-9.8604651162790911E-3</c:v>
                </c:pt>
                <c:pt idx="397">
                  <c:v>4.6974821495678314E-3</c:v>
                </c:pt>
                <c:pt idx="398">
                  <c:v>-5.2365812605199387E-3</c:v>
                </c:pt>
                <c:pt idx="399">
                  <c:v>-1.128031584884286E-3</c:v>
                </c:pt>
                <c:pt idx="400">
                  <c:v>-3.1996988518727966E-3</c:v>
                </c:pt>
                <c:pt idx="401">
                  <c:v>1.8882175226582346E-4</c:v>
                </c:pt>
                <c:pt idx="402">
                  <c:v>-6.0411553709647028E-3</c:v>
                </c:pt>
                <c:pt idx="403">
                  <c:v>3.6087369420703674E-3</c:v>
                </c:pt>
                <c:pt idx="404">
                  <c:v>7.9485238455714348E-3</c:v>
                </c:pt>
                <c:pt idx="405">
                  <c:v>1.3143071723620032E-3</c:v>
                </c:pt>
                <c:pt idx="406">
                  <c:v>-2.6251640727545577E-3</c:v>
                </c:pt>
                <c:pt idx="407">
                  <c:v>5.6401579244220979E-4</c:v>
                </c:pt>
                <c:pt idx="408">
                  <c:v>6.2006764374295063E-3</c:v>
                </c:pt>
                <c:pt idx="409">
                  <c:v>1.867413632119541E-3</c:v>
                </c:pt>
                <c:pt idx="410">
                  <c:v>-3.3550792171481774E-3</c:v>
                </c:pt>
                <c:pt idx="411">
                  <c:v>9.1640172059098933E-3</c:v>
                </c:pt>
                <c:pt idx="412">
                  <c:v>-7.4128984432913006E-3</c:v>
                </c:pt>
                <c:pt idx="413">
                  <c:v>-3.3607169529499574E-3</c:v>
                </c:pt>
                <c:pt idx="414">
                  <c:v>1.1240164855750312E-3</c:v>
                </c:pt>
                <c:pt idx="415">
                  <c:v>1.1227544910180067E-3</c:v>
                </c:pt>
                <c:pt idx="416">
                  <c:v>3.7383177570093989E-3</c:v>
                </c:pt>
                <c:pt idx="417">
                  <c:v>-2.9795158286779087E-3</c:v>
                </c:pt>
                <c:pt idx="418">
                  <c:v>6.350392230108394E-3</c:v>
                </c:pt>
                <c:pt idx="419">
                  <c:v>-1.1135857461024921E-3</c:v>
                </c:pt>
                <c:pt idx="420">
                  <c:v>3.3444816053511653E-3</c:v>
                </c:pt>
                <c:pt idx="421">
                  <c:v>-2.5925925925926029E-3</c:v>
                </c:pt>
                <c:pt idx="422">
                  <c:v>1.2996658002228052E-2</c:v>
                </c:pt>
                <c:pt idx="423">
                  <c:v>-1.3563049853372471E-2</c:v>
                </c:pt>
                <c:pt idx="424">
                  <c:v>-1.0033444816053496E-2</c:v>
                </c:pt>
                <c:pt idx="425">
                  <c:v>-4.1291291291291081E-3</c:v>
                </c:pt>
                <c:pt idx="426">
                  <c:v>1.7527327553712772E-2</c:v>
                </c:pt>
                <c:pt idx="427">
                  <c:v>-2.2226338210780613E-3</c:v>
                </c:pt>
                <c:pt idx="428">
                  <c:v>-9.2816038611466794E-4</c:v>
                </c:pt>
                <c:pt idx="429">
                  <c:v>8.7328130806391471E-3</c:v>
                </c:pt>
                <c:pt idx="430">
                  <c:v>9.2097992263776506E-4</c:v>
                </c:pt>
                <c:pt idx="431">
                  <c:v>1.6562384983436933E-3</c:v>
                </c:pt>
                <c:pt idx="432">
                  <c:v>8.6349439647253143E-3</c:v>
                </c:pt>
                <c:pt idx="433">
                  <c:v>1.511839708561017E-2</c:v>
                </c:pt>
                <c:pt idx="434">
                  <c:v>4.3064776601471743E-3</c:v>
                </c:pt>
                <c:pt idx="435">
                  <c:v>7.5040200107200595E-3</c:v>
                </c:pt>
                <c:pt idx="436">
                  <c:v>1.1172193651356669E-2</c:v>
                </c:pt>
                <c:pt idx="437">
                  <c:v>7.8919677306207598E-3</c:v>
                </c:pt>
                <c:pt idx="438">
                  <c:v>1.061423351313728E-2</c:v>
                </c:pt>
                <c:pt idx="439">
                  <c:v>-4.648760330578444E-3</c:v>
                </c:pt>
                <c:pt idx="440">
                  <c:v>1.1416709911779909E-2</c:v>
                </c:pt>
                <c:pt idx="441">
                  <c:v>1.2314007183170838E-2</c:v>
                </c:pt>
                <c:pt idx="442">
                  <c:v>8.954215239060672E-3</c:v>
                </c:pt>
                <c:pt idx="443">
                  <c:v>4.0187541862023108E-3</c:v>
                </c:pt>
                <c:pt idx="444">
                  <c:v>9.3395597064710179E-3</c:v>
                </c:pt>
                <c:pt idx="445">
                  <c:v>-2.9742233972240534E-3</c:v>
                </c:pt>
                <c:pt idx="446">
                  <c:v>-9.9436526350679712E-3</c:v>
                </c:pt>
                <c:pt idx="447">
                  <c:v>-5.3565450284566501E-3</c:v>
                </c:pt>
                <c:pt idx="448">
                  <c:v>-1.0265903736115776E-2</c:v>
                </c:pt>
                <c:pt idx="449">
                  <c:v>-5.6112905968373639E-3</c:v>
                </c:pt>
                <c:pt idx="450">
                  <c:v>8.5499316005479252E-4</c:v>
                </c:pt>
                <c:pt idx="451">
                  <c:v>5.2964291816163037E-3</c:v>
                </c:pt>
                <c:pt idx="452">
                  <c:v>2.719238613188249E-3</c:v>
                </c:pt>
                <c:pt idx="453">
                  <c:v>-1.3559322033898015E-3</c:v>
                </c:pt>
                <c:pt idx="454">
                  <c:v>-1.6972165648345409E-4</c:v>
                </c:pt>
                <c:pt idx="455">
                  <c:v>-1.697504668137741E-3</c:v>
                </c:pt>
                <c:pt idx="456">
                  <c:v>2.8906648529160787E-3</c:v>
                </c:pt>
                <c:pt idx="457">
                  <c:v>4.577822990844407E-3</c:v>
                </c:pt>
                <c:pt idx="458">
                  <c:v>1.2995780590717352E-2</c:v>
                </c:pt>
                <c:pt idx="459">
                  <c:v>1.666111296234257E-4</c:v>
                </c:pt>
                <c:pt idx="460">
                  <c:v>-6.6633349991669405E-4</c:v>
                </c:pt>
                <c:pt idx="461">
                  <c:v>1.0001666944489942E-3</c:v>
                </c:pt>
                <c:pt idx="462">
                  <c:v>-9.8251457119066833E-3</c:v>
                </c:pt>
                <c:pt idx="463">
                  <c:v>-1.6818028927009993E-3</c:v>
                </c:pt>
                <c:pt idx="464">
                  <c:v>2.5269541778975501E-3</c:v>
                </c:pt>
                <c:pt idx="465">
                  <c:v>6.0494034616030822E-3</c:v>
                </c:pt>
                <c:pt idx="466">
                  <c:v>-3.3405712376815724E-3</c:v>
                </c:pt>
                <c:pt idx="467">
                  <c:v>8.0442433383609326E-3</c:v>
                </c:pt>
                <c:pt idx="468">
                  <c:v>1.6458852867830456E-2</c:v>
                </c:pt>
                <c:pt idx="469">
                  <c:v>-6.5423617926071076E-3</c:v>
                </c:pt>
                <c:pt idx="470">
                  <c:v>3.2927230819881497E-4</c:v>
                </c:pt>
                <c:pt idx="471">
                  <c:v>5.7603686635944937E-3</c:v>
                </c:pt>
                <c:pt idx="472">
                  <c:v>8.1819669448530779E-4</c:v>
                </c:pt>
                <c:pt idx="473">
                  <c:v>3.2701111837807599E-4</c:v>
                </c:pt>
                <c:pt idx="474">
                  <c:v>-3.5959463877083828E-3</c:v>
                </c:pt>
                <c:pt idx="475">
                  <c:v>9.0223097112860431E-3</c:v>
                </c:pt>
                <c:pt idx="476">
                  <c:v>6.6655828320598878E-3</c:v>
                </c:pt>
                <c:pt idx="477">
                  <c:v>-4.6834625322997279E-3</c:v>
                </c:pt>
                <c:pt idx="478">
                  <c:v>1.801070907025798E-2</c:v>
                </c:pt>
                <c:pt idx="479">
                  <c:v>-1.7532674529805456E-3</c:v>
                </c:pt>
                <c:pt idx="480">
                  <c:v>1.0538080791952684E-2</c:v>
                </c:pt>
                <c:pt idx="481">
                  <c:v>2.1804392479064665E-2</c:v>
                </c:pt>
                <c:pt idx="482">
                  <c:v>3.7111489098499285E-3</c:v>
                </c:pt>
                <c:pt idx="483">
                  <c:v>1.3557233091973651E-2</c:v>
                </c:pt>
                <c:pt idx="484">
                  <c:v>2.2799817601457891E-3</c:v>
                </c:pt>
                <c:pt idx="485">
                  <c:v>2.0018198362147518E-2</c:v>
                </c:pt>
                <c:pt idx="486">
                  <c:v>3.5682426404994778E-3</c:v>
                </c:pt>
                <c:pt idx="487">
                  <c:v>9.3333333333332665E-3</c:v>
                </c:pt>
                <c:pt idx="488">
                  <c:v>1.1742257448994319E-3</c:v>
                </c:pt>
                <c:pt idx="489">
                  <c:v>-9.3827884474417325E-3</c:v>
                </c:pt>
                <c:pt idx="490">
                  <c:v>-1.4799467219166651E-4</c:v>
                </c:pt>
                <c:pt idx="491">
                  <c:v>-2.0722320899940875E-3</c:v>
                </c:pt>
                <c:pt idx="492">
                  <c:v>1.9282112132897574E-3</c:v>
                </c:pt>
                <c:pt idx="493">
                  <c:v>5.9215396002970026E-4</c:v>
                </c:pt>
                <c:pt idx="494">
                  <c:v>-4.4385264092323029E-4</c:v>
                </c:pt>
                <c:pt idx="495">
                  <c:v>4.144464179988175E-3</c:v>
                </c:pt>
                <c:pt idx="496">
                  <c:v>2.6533018867923438E-3</c:v>
                </c:pt>
                <c:pt idx="497">
                  <c:v>1.7494854454572151E-2</c:v>
                </c:pt>
                <c:pt idx="498">
                  <c:v>7.8023407022107544E-3</c:v>
                </c:pt>
                <c:pt idx="499">
                  <c:v>2.8673835125442326E-4</c:v>
                </c:pt>
                <c:pt idx="500">
                  <c:v>2.2215852085423496E-2</c:v>
                </c:pt>
                <c:pt idx="501">
                  <c:v>-1.1918115535614055E-2</c:v>
                </c:pt>
                <c:pt idx="502">
                  <c:v>-4.9666524762309395E-3</c:v>
                </c:pt>
                <c:pt idx="503">
                  <c:v>1.7113519680546252E-3</c:v>
                </c:pt>
                <c:pt idx="504">
                  <c:v>-1.3382687927107031E-2</c:v>
                </c:pt>
                <c:pt idx="505">
                  <c:v>-1.8759018759018718E-2</c:v>
                </c:pt>
                <c:pt idx="506">
                  <c:v>-1.1176470588235369E-2</c:v>
                </c:pt>
                <c:pt idx="507">
                  <c:v>-1.7251635930993405E-2</c:v>
                </c:pt>
                <c:pt idx="508">
                  <c:v>-8.3232445520580681E-3</c:v>
                </c:pt>
                <c:pt idx="509">
                  <c:v>-1.1139935907218129E-2</c:v>
                </c:pt>
                <c:pt idx="510">
                  <c:v>-1.0956790123456694E-2</c:v>
                </c:pt>
                <c:pt idx="511">
                  <c:v>-1.7007333437353774E-2</c:v>
                </c:pt>
                <c:pt idx="512">
                  <c:v>-1.1428571428571411E-2</c:v>
                </c:pt>
                <c:pt idx="513">
                  <c:v>-2.7296082209377279E-3</c:v>
                </c:pt>
                <c:pt idx="514">
                  <c:v>8.5332474641764793E-3</c:v>
                </c:pt>
                <c:pt idx="515">
                  <c:v>-6.3856960408684316E-3</c:v>
                </c:pt>
                <c:pt idx="516">
                  <c:v>-4.6593830334190093E-3</c:v>
                </c:pt>
                <c:pt idx="517">
                  <c:v>3.2284100080709559E-3</c:v>
                </c:pt>
                <c:pt idx="518">
                  <c:v>1.0619469026548731E-2</c:v>
                </c:pt>
                <c:pt idx="519">
                  <c:v>-7.4828848909409143E-3</c:v>
                </c:pt>
                <c:pt idx="520">
                  <c:v>-1.4276547962784738E-2</c:v>
                </c:pt>
                <c:pt idx="521">
                  <c:v>1.1065907241659881E-2</c:v>
                </c:pt>
                <c:pt idx="522">
                  <c:v>9.4962176082407264E-3</c:v>
                </c:pt>
                <c:pt idx="523">
                  <c:v>1.5943877551020634E-3</c:v>
                </c:pt>
                <c:pt idx="524">
                  <c:v>7.3225087551735254E-3</c:v>
                </c:pt>
                <c:pt idx="525">
                  <c:v>-9.0075853350189677E-3</c:v>
                </c:pt>
                <c:pt idx="526">
                  <c:v>-8.611066815499906E-3</c:v>
                </c:pt>
                <c:pt idx="527">
                  <c:v>-6.4339713688272714E-4</c:v>
                </c:pt>
                <c:pt idx="528">
                  <c:v>-1.6095284081772278E-4</c:v>
                </c:pt>
                <c:pt idx="529">
                  <c:v>5.6342562781713044E-3</c:v>
                </c:pt>
                <c:pt idx="530">
                  <c:v>1.600768368817055E-3</c:v>
                </c:pt>
                <c:pt idx="531">
                  <c:v>4.4749880134249825E-3</c:v>
                </c:pt>
                <c:pt idx="532">
                  <c:v>4.1368337311057761E-3</c:v>
                </c:pt>
                <c:pt idx="533">
                  <c:v>-3.8028838535890033E-3</c:v>
                </c:pt>
                <c:pt idx="534">
                  <c:v>3.0221091140449313E-3</c:v>
                </c:pt>
                <c:pt idx="535">
                  <c:v>7.9289565493176589E-4</c:v>
                </c:pt>
                <c:pt idx="536">
                  <c:v>-3.1690698779908546E-3</c:v>
                </c:pt>
                <c:pt idx="537">
                  <c:v>-9.6963916706405886E-3</c:v>
                </c:pt>
                <c:pt idx="538">
                  <c:v>-1.1235955056179822E-3</c:v>
                </c:pt>
                <c:pt idx="539">
                  <c:v>7.8740157480315289E-3</c:v>
                </c:pt>
                <c:pt idx="540">
                  <c:v>4.6237244897959053E-3</c:v>
                </c:pt>
                <c:pt idx="541">
                  <c:v>-3.8089192191714792E-3</c:v>
                </c:pt>
                <c:pt idx="542">
                  <c:v>-3.1862354628011991E-4</c:v>
                </c:pt>
                <c:pt idx="543">
                  <c:v>1.4342629482072256E-3</c:v>
                </c:pt>
                <c:pt idx="544">
                  <c:v>4.7740292807119718E-4</c:v>
                </c:pt>
                <c:pt idx="545">
                  <c:v>4.771751232702583E-4</c:v>
                </c:pt>
                <c:pt idx="546">
                  <c:v>2.7027027027027297E-3</c:v>
                </c:pt>
                <c:pt idx="547">
                  <c:v>-1.1098779134295273E-3</c:v>
                </c:pt>
                <c:pt idx="548">
                  <c:v>3.8095238095238412E-3</c:v>
                </c:pt>
                <c:pt idx="549">
                  <c:v>-1.1068943706514908E-3</c:v>
                </c:pt>
                <c:pt idx="550">
                  <c:v>-4.7490897577964894E-3</c:v>
                </c:pt>
                <c:pt idx="551">
                  <c:v>-1.5905837442338177E-4</c:v>
                </c:pt>
                <c:pt idx="552">
                  <c:v>-1.7499204581609836E-3</c:v>
                </c:pt>
                <c:pt idx="553">
                  <c:v>-2.0717131474103992E-3</c:v>
                </c:pt>
                <c:pt idx="554">
                  <c:v>-2.7147876077929511E-3</c:v>
                </c:pt>
                <c:pt idx="555">
                  <c:v>2.4019215372297611E-3</c:v>
                </c:pt>
                <c:pt idx="556">
                  <c:v>-4.7923322683706754E-3</c:v>
                </c:pt>
                <c:pt idx="557">
                  <c:v>-7.7046548956660821E-3</c:v>
                </c:pt>
                <c:pt idx="558">
                  <c:v>-6.4703979294725242E-4</c:v>
                </c:pt>
                <c:pt idx="559">
                  <c:v>-1.1330527678860519E-3</c:v>
                </c:pt>
                <c:pt idx="560">
                  <c:v>-2.2686760654675184E-3</c:v>
                </c:pt>
                <c:pt idx="561">
                  <c:v>-1.2993340912781921E-3</c:v>
                </c:pt>
                <c:pt idx="562">
                  <c:v>-1.6262806960489699E-4</c:v>
                </c:pt>
                <c:pt idx="563">
                  <c:v>-7.9700715679895066E-3</c:v>
                </c:pt>
                <c:pt idx="564">
                  <c:v>-6.0665682898836618E-3</c:v>
                </c:pt>
                <c:pt idx="565">
                  <c:v>-7.9181788188716091E-3</c:v>
                </c:pt>
                <c:pt idx="566">
                  <c:v>-5.15463917525777E-3</c:v>
                </c:pt>
                <c:pt idx="567">
                  <c:v>-5.0142069196055013E-3</c:v>
                </c:pt>
                <c:pt idx="568">
                  <c:v>1.5118427683520294E-3</c:v>
                </c:pt>
                <c:pt idx="569">
                  <c:v>1.3418316001342738E-3</c:v>
                </c:pt>
                <c:pt idx="570">
                  <c:v>6.7001675041874619E-4</c:v>
                </c:pt>
                <c:pt idx="571">
                  <c:v>-5.5239370605960061E-3</c:v>
                </c:pt>
                <c:pt idx="572">
                  <c:v>-2.0198619760982569E-3</c:v>
                </c:pt>
                <c:pt idx="573">
                  <c:v>-3.035925113847187E-3</c:v>
                </c:pt>
                <c:pt idx="574">
                  <c:v>-5.9211639316528748E-3</c:v>
                </c:pt>
                <c:pt idx="575">
                  <c:v>-4.5949625595642623E-3</c:v>
                </c:pt>
                <c:pt idx="576">
                  <c:v>-3.76132672251665E-3</c:v>
                </c:pt>
                <c:pt idx="577">
                  <c:v>-4.4619873004977705E-3</c:v>
                </c:pt>
                <c:pt idx="578">
                  <c:v>1.3790725736942838E-3</c:v>
                </c:pt>
                <c:pt idx="579">
                  <c:v>3.4429333792384268E-4</c:v>
                </c:pt>
                <c:pt idx="580">
                  <c:v>-3.0975735673722201E-3</c:v>
                </c:pt>
                <c:pt idx="581">
                  <c:v>-6.387018815812143E-3</c:v>
                </c:pt>
                <c:pt idx="582">
                  <c:v>9.3815149409311877E-3</c:v>
                </c:pt>
                <c:pt idx="583">
                  <c:v>1.7211703958692154E-3</c:v>
                </c:pt>
                <c:pt idx="584">
                  <c:v>-6.8728522336780498E-4</c:v>
                </c:pt>
                <c:pt idx="585">
                  <c:v>-1.031636863823851E-3</c:v>
                </c:pt>
                <c:pt idx="586">
                  <c:v>1.5490533562822083E-3</c:v>
                </c:pt>
                <c:pt idx="587">
                  <c:v>1.1857707509881507E-2</c:v>
                </c:pt>
                <c:pt idx="588">
                  <c:v>-8.4918478260876805E-4</c:v>
                </c:pt>
                <c:pt idx="589">
                  <c:v>-2.719700832908322E-3</c:v>
                </c:pt>
                <c:pt idx="590">
                  <c:v>4.9429009715356931E-3</c:v>
                </c:pt>
                <c:pt idx="591">
                  <c:v>-1.8656716417910352E-3</c:v>
                </c:pt>
                <c:pt idx="592">
                  <c:v>4.7578589634664596E-3</c:v>
                </c:pt>
                <c:pt idx="593">
                  <c:v>9.3015389819042296E-3</c:v>
                </c:pt>
                <c:pt idx="594">
                  <c:v>-3.3512064343164017E-3</c:v>
                </c:pt>
                <c:pt idx="595">
                  <c:v>-2.0174848688634408E-3</c:v>
                </c:pt>
                <c:pt idx="596">
                  <c:v>6.9070080862534316E-3</c:v>
                </c:pt>
                <c:pt idx="597">
                  <c:v>-5.0192404216163849E-4</c:v>
                </c:pt>
                <c:pt idx="598">
                  <c:v>-1.1717442249748959E-3</c:v>
                </c:pt>
                <c:pt idx="599">
                  <c:v>-4.0221216691805261E-3</c:v>
                </c:pt>
                <c:pt idx="600">
                  <c:v>-2.3557126030624357E-3</c:v>
                </c:pt>
                <c:pt idx="601">
                  <c:v>1.1806375442739126E-3</c:v>
                </c:pt>
                <c:pt idx="602">
                  <c:v>-6.9070080862533119E-3</c:v>
                </c:pt>
                <c:pt idx="603">
                  <c:v>-6.2765055131468114E-3</c:v>
                </c:pt>
                <c:pt idx="604">
                  <c:v>-5.1212017753501427E-4</c:v>
                </c:pt>
                <c:pt idx="605">
                  <c:v>-4.7822374039281643E-3</c:v>
                </c:pt>
                <c:pt idx="606">
                  <c:v>-7.2078256392655174E-3</c:v>
                </c:pt>
                <c:pt idx="607">
                  <c:v>6.3958513396715202E-3</c:v>
                </c:pt>
                <c:pt idx="608">
                  <c:v>-4.8093438680865876E-3</c:v>
                </c:pt>
                <c:pt idx="609">
                  <c:v>-7.4214704867103859E-3</c:v>
                </c:pt>
                <c:pt idx="610">
                  <c:v>3.4776560598162278E-4</c:v>
                </c:pt>
                <c:pt idx="611">
                  <c:v>4.1717364853120454E-3</c:v>
                </c:pt>
                <c:pt idx="612">
                  <c:v>-8.6550112515153645E-4</c:v>
                </c:pt>
                <c:pt idx="613">
                  <c:v>-1.7325017325013877E-4</c:v>
                </c:pt>
                <c:pt idx="614">
                  <c:v>6.0648067925836322E-3</c:v>
                </c:pt>
                <c:pt idx="615">
                  <c:v>1.5501205649327645E-3</c:v>
                </c:pt>
                <c:pt idx="616">
                  <c:v>-3.4393809114352574E-4</c:v>
                </c:pt>
                <c:pt idx="617">
                  <c:v>-1.4966454498537838E-2</c:v>
                </c:pt>
                <c:pt idx="618">
                  <c:v>-6.6363953894515446E-3</c:v>
                </c:pt>
                <c:pt idx="619">
                  <c:v>8.6146272855132707E-3</c:v>
                </c:pt>
                <c:pt idx="620">
                  <c:v>2.9632211957469358E-3</c:v>
                </c:pt>
                <c:pt idx="621">
                  <c:v>-5.5613486270420631E-3</c:v>
                </c:pt>
                <c:pt idx="622">
                  <c:v>1.7476406850751734E-3</c:v>
                </c:pt>
                <c:pt idx="623">
                  <c:v>-7.8506629448709501E-3</c:v>
                </c:pt>
                <c:pt idx="624">
                  <c:v>-8.2644628099173365E-3</c:v>
                </c:pt>
                <c:pt idx="625">
                  <c:v>-4.9645390070922188E-3</c:v>
                </c:pt>
                <c:pt idx="626">
                  <c:v>-1.7818959372769086E-4</c:v>
                </c:pt>
                <c:pt idx="627">
                  <c:v>5.3466405275354016E-4</c:v>
                </c:pt>
                <c:pt idx="628">
                  <c:v>1.2468827930174613E-3</c:v>
                </c:pt>
                <c:pt idx="629">
                  <c:v>-6.5824586372531125E-3</c:v>
                </c:pt>
                <c:pt idx="630">
                  <c:v>1.1640401146131778E-2</c:v>
                </c:pt>
                <c:pt idx="631">
                  <c:v>3.7174721189591228E-3</c:v>
                </c:pt>
                <c:pt idx="632">
                  <c:v>-6.1728395061728643E-3</c:v>
                </c:pt>
                <c:pt idx="633">
                  <c:v>-3.5492457852711847E-4</c:v>
                </c:pt>
                <c:pt idx="634">
                  <c:v>-2.8404047576779086E-3</c:v>
                </c:pt>
                <c:pt idx="635">
                  <c:v>1.9049314580737053E-2</c:v>
                </c:pt>
                <c:pt idx="636">
                  <c:v>4.1928721174003302E-3</c:v>
                </c:pt>
                <c:pt idx="637">
                  <c:v>1.3917884481559743E-3</c:v>
                </c:pt>
                <c:pt idx="638">
                  <c:v>1.4767199444058274E-2</c:v>
                </c:pt>
                <c:pt idx="639">
                  <c:v>2.5680534155111401E-3</c:v>
                </c:pt>
                <c:pt idx="640">
                  <c:v>5.9767759562840556E-3</c:v>
                </c:pt>
                <c:pt idx="641">
                  <c:v>-1.697504668137741E-3</c:v>
                </c:pt>
                <c:pt idx="642">
                  <c:v>-6.1214079238224696E-3</c:v>
                </c:pt>
                <c:pt idx="643">
                  <c:v>-1.7108639863131123E-3</c:v>
                </c:pt>
                <c:pt idx="644">
                  <c:v>1.4567266495287085E-2</c:v>
                </c:pt>
                <c:pt idx="645">
                  <c:v>4.0540540540539675E-3</c:v>
                </c:pt>
                <c:pt idx="646">
                  <c:v>-1.682368775235436E-3</c:v>
                </c:pt>
                <c:pt idx="647">
                  <c:v>-3.3704078193461887E-3</c:v>
                </c:pt>
                <c:pt idx="648">
                  <c:v>8.4545147108551163E-4</c:v>
                </c:pt>
                <c:pt idx="649">
                  <c:v>1.6894745734085347E-4</c:v>
                </c:pt>
                <c:pt idx="650">
                  <c:v>-3.0405405405405355E-3</c:v>
                </c:pt>
                <c:pt idx="651">
                  <c:v>-2.7109454422230379E-3</c:v>
                </c:pt>
                <c:pt idx="652">
                  <c:v>3.5677879714577109E-3</c:v>
                </c:pt>
                <c:pt idx="653">
                  <c:v>2.5393600812594983E-3</c:v>
                </c:pt>
                <c:pt idx="654">
                  <c:v>2.8706518068220485E-3</c:v>
                </c:pt>
                <c:pt idx="655">
                  <c:v>-6.3983835662569889E-3</c:v>
                </c:pt>
                <c:pt idx="656">
                  <c:v>1.2540247415692291E-2</c:v>
                </c:pt>
                <c:pt idx="657">
                  <c:v>1.3389121338911849E-3</c:v>
                </c:pt>
                <c:pt idx="658">
                  <c:v>-2.339963229149266E-3</c:v>
                </c:pt>
                <c:pt idx="659">
                  <c:v>3.3506449991623864E-3</c:v>
                </c:pt>
                <c:pt idx="660">
                  <c:v>3.840374019034845E-3</c:v>
                </c:pt>
                <c:pt idx="661">
                  <c:v>-1.6633399866931857E-3</c:v>
                </c:pt>
                <c:pt idx="662">
                  <c:v>-4.6651116294568664E-3</c:v>
                </c:pt>
                <c:pt idx="663">
                  <c:v>4.017408771342398E-3</c:v>
                </c:pt>
                <c:pt idx="664">
                  <c:v>-1.0003334444814134E-3</c:v>
                </c:pt>
                <c:pt idx="665">
                  <c:v>5.841121495327126E-3</c:v>
                </c:pt>
                <c:pt idx="666">
                  <c:v>5.3094408495105404E-3</c:v>
                </c:pt>
                <c:pt idx="667">
                  <c:v>1.8154811024921509E-3</c:v>
                </c:pt>
                <c:pt idx="668">
                  <c:v>7.2487644151564695E-3</c:v>
                </c:pt>
                <c:pt idx="669">
                  <c:v>7.0330389270526613E-3</c:v>
                </c:pt>
                <c:pt idx="670">
                  <c:v>5.1973363651128838E-3</c:v>
                </c:pt>
                <c:pt idx="671">
                  <c:v>4.5241557602197632E-3</c:v>
                </c:pt>
                <c:pt idx="672">
                  <c:v>2.5735885475309086E-3</c:v>
                </c:pt>
                <c:pt idx="673">
                  <c:v>7.861382961655736E-3</c:v>
                </c:pt>
                <c:pt idx="674">
                  <c:v>9.5510983763132992E-3</c:v>
                </c:pt>
                <c:pt idx="675">
                  <c:v>1.2614317250078571E-3</c:v>
                </c:pt>
                <c:pt idx="676">
                  <c:v>-1.1968503937007843E-2</c:v>
                </c:pt>
                <c:pt idx="677">
                  <c:v>-5.1004144086707085E-3</c:v>
                </c:pt>
                <c:pt idx="678">
                  <c:v>-6.4082024991989521E-3</c:v>
                </c:pt>
                <c:pt idx="679">
                  <c:v>5.1596259271202878E-3</c:v>
                </c:pt>
                <c:pt idx="680">
                  <c:v>-4.8123195380175062E-4</c:v>
                </c:pt>
                <c:pt idx="681">
                  <c:v>-1.7653667148130223E-3</c:v>
                </c:pt>
                <c:pt idx="682">
                  <c:v>7.8778135048230679E-3</c:v>
                </c:pt>
                <c:pt idx="683">
                  <c:v>8.7733290795980901E-3</c:v>
                </c:pt>
                <c:pt idx="684">
                  <c:v>1.5812776723592888E-3</c:v>
                </c:pt>
                <c:pt idx="685">
                  <c:v>3.6311967161350941E-3</c:v>
                </c:pt>
                <c:pt idx="686">
                  <c:v>4.8765140789681022E-3</c:v>
                </c:pt>
                <c:pt idx="687">
                  <c:v>6.5748278021289068E-3</c:v>
                </c:pt>
                <c:pt idx="688">
                  <c:v>1.1508553654743531E-2</c:v>
                </c:pt>
                <c:pt idx="689">
                  <c:v>7.3800738007378493E-3</c:v>
                </c:pt>
                <c:pt idx="690">
                  <c:v>2.8998778998778653E-3</c:v>
                </c:pt>
                <c:pt idx="691">
                  <c:v>7.6091919038198154E-3</c:v>
                </c:pt>
                <c:pt idx="692">
                  <c:v>-2.4165533907264253E-3</c:v>
                </c:pt>
                <c:pt idx="693">
                  <c:v>2.4224072672217501E-3</c:v>
                </c:pt>
                <c:pt idx="694">
                  <c:v>1.2988974475154803E-2</c:v>
                </c:pt>
                <c:pt idx="695">
                  <c:v>9.2440733561950893E-3</c:v>
                </c:pt>
                <c:pt idx="696">
                  <c:v>8.8639385433597693E-4</c:v>
                </c:pt>
                <c:pt idx="697">
                  <c:v>8.8560885608859441E-4</c:v>
                </c:pt>
                <c:pt idx="698">
                  <c:v>2.212063117534161E-3</c:v>
                </c:pt>
                <c:pt idx="699">
                  <c:v>7.0629782224838735E-3</c:v>
                </c:pt>
                <c:pt idx="700">
                  <c:v>-2.922267679718881E-4</c:v>
                </c:pt>
                <c:pt idx="701">
                  <c:v>5.1154633148201446E-3</c:v>
                </c:pt>
                <c:pt idx="702">
                  <c:v>1.4395812127381259E-2</c:v>
                </c:pt>
                <c:pt idx="703">
                  <c:v>2.5802752293576921E-3</c:v>
                </c:pt>
                <c:pt idx="704">
                  <c:v>9.2936802973978515E-3</c:v>
                </c:pt>
                <c:pt idx="705">
                  <c:v>1.0908060631817481E-2</c:v>
                </c:pt>
                <c:pt idx="706">
                  <c:v>4.3441704035874756E-3</c:v>
                </c:pt>
                <c:pt idx="707">
                  <c:v>6.9764197014092364E-3</c:v>
                </c:pt>
                <c:pt idx="708">
                  <c:v>2.7712345850076604E-3</c:v>
                </c:pt>
                <c:pt idx="709">
                  <c:v>4.1453641011468447E-3</c:v>
                </c:pt>
                <c:pt idx="710">
                  <c:v>3.715425897894537E-3</c:v>
                </c:pt>
                <c:pt idx="711">
                  <c:v>2.3306827529476514E-3</c:v>
                </c:pt>
                <c:pt idx="712">
                  <c:v>-2.4620434961016634E-3</c:v>
                </c:pt>
                <c:pt idx="713">
                  <c:v>1.9196489784723207E-3</c:v>
                </c:pt>
                <c:pt idx="714">
                  <c:v>1.5601478034761198E-2</c:v>
                </c:pt>
                <c:pt idx="715">
                  <c:v>2.6950545748551792E-3</c:v>
                </c:pt>
                <c:pt idx="716">
                  <c:v>3.0909823948394571E-3</c:v>
                </c:pt>
                <c:pt idx="717">
                  <c:v>-1.2057877813505279E-3</c:v>
                </c:pt>
                <c:pt idx="718">
                  <c:v>-2.4144869215290761E-3</c:v>
                </c:pt>
                <c:pt idx="719">
                  <c:v>1.0757025682398586E-3</c:v>
                </c:pt>
                <c:pt idx="720">
                  <c:v>2.955003357958346E-3</c:v>
                </c:pt>
                <c:pt idx="721">
                  <c:v>-1.3392259274146398E-4</c:v>
                </c:pt>
                <c:pt idx="722">
                  <c:v>-1.4867398874899537E-2</c:v>
                </c:pt>
                <c:pt idx="723">
                  <c:v>-1.2236573759347848E-3</c:v>
                </c:pt>
                <c:pt idx="724">
                  <c:v>-6.806425265450199E-4</c:v>
                </c:pt>
                <c:pt idx="725">
                  <c:v>9.5354856286619519E-4</c:v>
                </c:pt>
                <c:pt idx="726">
                  <c:v>-4.8992923244420171E-3</c:v>
                </c:pt>
                <c:pt idx="727">
                  <c:v>-8.3424507658643246E-3</c:v>
                </c:pt>
                <c:pt idx="728">
                  <c:v>-6.8956006068144205E-4</c:v>
                </c:pt>
                <c:pt idx="729">
                  <c:v>4.2782224675683451E-3</c:v>
                </c:pt>
                <c:pt idx="730">
                  <c:v>-1.0993541294489254E-3</c:v>
                </c:pt>
                <c:pt idx="731">
                  <c:v>-1.6508460586050976E-3</c:v>
                </c:pt>
                <c:pt idx="732">
                  <c:v>-1.377979881493652E-3</c:v>
                </c:pt>
                <c:pt idx="733">
                  <c:v>8.5552642472747978E-3</c:v>
                </c:pt>
                <c:pt idx="734">
                  <c:v>1.5049938432069971E-3</c:v>
                </c:pt>
                <c:pt idx="735">
                  <c:v>4.6448087431694455E-3</c:v>
                </c:pt>
                <c:pt idx="736">
                  <c:v>1.0878433505574965E-3</c:v>
                </c:pt>
                <c:pt idx="737">
                  <c:v>6.7916327085027373E-4</c:v>
                </c:pt>
                <c:pt idx="738">
                  <c:v>-5.7010994977603055E-3</c:v>
                </c:pt>
                <c:pt idx="739">
                  <c:v>-4.3686006825937639E-3</c:v>
                </c:pt>
                <c:pt idx="740">
                  <c:v>-5.4847113670651647E-4</c:v>
                </c:pt>
                <c:pt idx="741">
                  <c:v>-2.1950884895046863E-3</c:v>
                </c:pt>
                <c:pt idx="742">
                  <c:v>1.3749484394322707E-4</c:v>
                </c:pt>
                <c:pt idx="743">
                  <c:v>-3.9868023095957113E-3</c:v>
                </c:pt>
                <c:pt idx="744">
                  <c:v>3.8647342995169237E-3</c:v>
                </c:pt>
                <c:pt idx="745">
                  <c:v>1.5124432833768654E-3</c:v>
                </c:pt>
                <c:pt idx="746">
                  <c:v>-2.0593080724877221E-3</c:v>
                </c:pt>
                <c:pt idx="747">
                  <c:v>-5.5028201953490226E-4</c:v>
                </c:pt>
                <c:pt idx="748">
                  <c:v>5.505849965587342E-4</c:v>
                </c:pt>
                <c:pt idx="749">
                  <c:v>3.4392626220938233E-3</c:v>
                </c:pt>
                <c:pt idx="750">
                  <c:v>6.8549492733749871E-4</c:v>
                </c:pt>
                <c:pt idx="751">
                  <c:v>2.055076037813477E-3</c:v>
                </c:pt>
                <c:pt idx="752">
                  <c:v>1.1484823625922935E-2</c:v>
                </c:pt>
                <c:pt idx="753">
                  <c:v>3.3792917004595835E-3</c:v>
                </c:pt>
                <c:pt idx="754">
                  <c:v>1.2124477973863559E-3</c:v>
                </c:pt>
                <c:pt idx="755">
                  <c:v>7.9386437029063967E-3</c:v>
                </c:pt>
                <c:pt idx="756">
                  <c:v>1.3349352556407844E-4</c:v>
                </c:pt>
                <c:pt idx="757">
                  <c:v>-3.0699412706887879E-3</c:v>
                </c:pt>
                <c:pt idx="758">
                  <c:v>3.7488284910965476E-3</c:v>
                </c:pt>
                <c:pt idx="759">
                  <c:v>-7.3362678404694836E-3</c:v>
                </c:pt>
                <c:pt idx="760">
                  <c:v>-2.2843321687718585E-3</c:v>
                </c:pt>
                <c:pt idx="761">
                  <c:v>-5.3872053872054638E-3</c:v>
                </c:pt>
                <c:pt idx="762">
                  <c:v>2.3019634394042211E-3</c:v>
                </c:pt>
                <c:pt idx="763">
                  <c:v>1.0807889759524222E-3</c:v>
                </c:pt>
                <c:pt idx="764">
                  <c:v>-2.9689608636976907E-3</c:v>
                </c:pt>
                <c:pt idx="765">
                  <c:v>-2.7070925825657856E-4</c:v>
                </c:pt>
                <c:pt idx="766">
                  <c:v>2.4370430544273874E-3</c:v>
                </c:pt>
                <c:pt idx="767">
                  <c:v>1.3506212857902357E-4</c:v>
                </c:pt>
                <c:pt idx="768">
                  <c:v>5.9419311276164444E-3</c:v>
                </c:pt>
                <c:pt idx="769">
                  <c:v>4.027386226339259E-3</c:v>
                </c:pt>
                <c:pt idx="770">
                  <c:v>2.6741542987028829E-3</c:v>
                </c:pt>
                <c:pt idx="771">
                  <c:v>4.4005867448992974E-3</c:v>
                </c:pt>
                <c:pt idx="772">
                  <c:v>3.7174721189591232E-3</c:v>
                </c:pt>
                <c:pt idx="773">
                  <c:v>5.8201058201059787E-3</c:v>
                </c:pt>
                <c:pt idx="774">
                  <c:v>4.9973698053655371E-3</c:v>
                </c:pt>
                <c:pt idx="775">
                  <c:v>1.0730175346767772E-2</c:v>
                </c:pt>
                <c:pt idx="776">
                  <c:v>2.5893319523576168E-4</c:v>
                </c:pt>
                <c:pt idx="777">
                  <c:v>9.0603158167226073E-3</c:v>
                </c:pt>
                <c:pt idx="778">
                  <c:v>1.3340174448435176E-2</c:v>
                </c:pt>
                <c:pt idx="779">
                  <c:v>1.5189873417722096E-3</c:v>
                </c:pt>
                <c:pt idx="780">
                  <c:v>9.3528816986854762E-3</c:v>
                </c:pt>
                <c:pt idx="781">
                  <c:v>-3.005259203606247E-3</c:v>
                </c:pt>
                <c:pt idx="782">
                  <c:v>-8.9173574478775171E-3</c:v>
                </c:pt>
                <c:pt idx="783">
                  <c:v>2.9780762894436808E-2</c:v>
                </c:pt>
                <c:pt idx="784">
                  <c:v>2.9042579374846163E-2</c:v>
                </c:pt>
                <c:pt idx="785">
                  <c:v>6.8165510643385932E-3</c:v>
                </c:pt>
                <c:pt idx="786">
                  <c:v>7.8394108563962055E-3</c:v>
                </c:pt>
                <c:pt idx="787">
                  <c:v>2.1449616971125605E-2</c:v>
                </c:pt>
                <c:pt idx="788">
                  <c:v>5.8843890619592141E-3</c:v>
                </c:pt>
                <c:pt idx="789">
                  <c:v>5.7352603808212893E-3</c:v>
                </c:pt>
                <c:pt idx="790">
                  <c:v>-2.1669708029198442E-3</c:v>
                </c:pt>
                <c:pt idx="791">
                  <c:v>2.0573779860556273E-3</c:v>
                </c:pt>
                <c:pt idx="792">
                  <c:v>2.0531538724762473E-3</c:v>
                </c:pt>
                <c:pt idx="793">
                  <c:v>9.7894137734775132E-3</c:v>
                </c:pt>
                <c:pt idx="794">
                  <c:v>-2.1418103934167259E-3</c:v>
                </c:pt>
                <c:pt idx="795">
                  <c:v>6.3262539539087476E-3</c:v>
                </c:pt>
                <c:pt idx="796">
                  <c:v>3.4800179613830519E-3</c:v>
                </c:pt>
                <c:pt idx="797">
                  <c:v>5.4815974941268024E-3</c:v>
                </c:pt>
                <c:pt idx="798">
                  <c:v>-5.5629728526921632E-4</c:v>
                </c:pt>
                <c:pt idx="799">
                  <c:v>4.7868195480352538E-3</c:v>
                </c:pt>
                <c:pt idx="800">
                  <c:v>7.7553733658312842E-4</c:v>
                </c:pt>
                <c:pt idx="801">
                  <c:v>-1.6605778811025294E-3</c:v>
                </c:pt>
                <c:pt idx="802">
                  <c:v>-1.1088933244622812E-3</c:v>
                </c:pt>
                <c:pt idx="803">
                  <c:v>6.6607460035526507E-4</c:v>
                </c:pt>
                <c:pt idx="804">
                  <c:v>-4.4375416019525812E-3</c:v>
                </c:pt>
                <c:pt idx="805">
                  <c:v>-6.9088477824826204E-3</c:v>
                </c:pt>
                <c:pt idx="806">
                  <c:v>-2.0197486535009743E-3</c:v>
                </c:pt>
                <c:pt idx="807">
                  <c:v>-1.146840566674158E-2</c:v>
                </c:pt>
                <c:pt idx="808">
                  <c:v>-5.6869881710642806E-4</c:v>
                </c:pt>
                <c:pt idx="809">
                  <c:v>-1.8208717423467712E-3</c:v>
                </c:pt>
                <c:pt idx="810">
                  <c:v>-1.2427317295633214E-2</c:v>
                </c:pt>
                <c:pt idx="811">
                  <c:v>-7.5040406372662858E-3</c:v>
                </c:pt>
                <c:pt idx="812">
                  <c:v>-1.3376759334651689E-2</c:v>
                </c:pt>
                <c:pt idx="813">
                  <c:v>-2.240037726951164E-3</c:v>
                </c:pt>
                <c:pt idx="814">
                  <c:v>2.3632281696798164E-3</c:v>
                </c:pt>
                <c:pt idx="815">
                  <c:v>4.9510786278439438E-3</c:v>
                </c:pt>
                <c:pt idx="816">
                  <c:v>5.5131964809384034E-3</c:v>
                </c:pt>
                <c:pt idx="817">
                  <c:v>-1.7498833411106591E-3</c:v>
                </c:pt>
                <c:pt idx="818">
                  <c:v>-6.8949398153557231E-3</c:v>
                </c:pt>
                <c:pt idx="819">
                  <c:v>3.7655919039773261E-3</c:v>
                </c:pt>
                <c:pt idx="820">
                  <c:v>-6.9167643610785869E-3</c:v>
                </c:pt>
                <c:pt idx="821">
                  <c:v>-1.097863298311879E-2</c:v>
                </c:pt>
                <c:pt idx="822">
                  <c:v>-3.4614466459776351E-3</c:v>
                </c:pt>
                <c:pt idx="823">
                  <c:v>-1.1019283746556495E-2</c:v>
                </c:pt>
                <c:pt idx="824">
                  <c:v>-7.266561705219745E-3</c:v>
                </c:pt>
                <c:pt idx="825">
                  <c:v>-4.5138465292180619E-3</c:v>
                </c:pt>
                <c:pt idx="826">
                  <c:v>-1.2990196078431228E-2</c:v>
                </c:pt>
                <c:pt idx="827">
                  <c:v>-6.2080953563460844E-4</c:v>
                </c:pt>
                <c:pt idx="828">
                  <c:v>-1.4908684308608566E-3</c:v>
                </c:pt>
                <c:pt idx="829">
                  <c:v>-2.9861888764465484E-3</c:v>
                </c:pt>
                <c:pt idx="830">
                  <c:v>-1.3228503681517564E-2</c:v>
                </c:pt>
                <c:pt idx="831">
                  <c:v>-2.529404325280893E-4</c:v>
                </c:pt>
                <c:pt idx="832">
                  <c:v>-1.8216318785578719E-2</c:v>
                </c:pt>
                <c:pt idx="833">
                  <c:v>-1.5848473134905346E-2</c:v>
                </c:pt>
                <c:pt idx="834">
                  <c:v>-5.8915946582873613E-3</c:v>
                </c:pt>
                <c:pt idx="835">
                  <c:v>-1.1326221519821066E-2</c:v>
                </c:pt>
                <c:pt idx="836">
                  <c:v>-9.7242573597973864E-3</c:v>
                </c:pt>
                <c:pt idx="837">
                  <c:v>-1.0357815442561343E-2</c:v>
                </c:pt>
                <c:pt idx="838">
                  <c:v>-6.1166236237595309E-3</c:v>
                </c:pt>
                <c:pt idx="839">
                  <c:v>-6.8380743982510075E-4</c:v>
                </c:pt>
                <c:pt idx="840">
                  <c:v>-1.9159709867248716E-3</c:v>
                </c:pt>
                <c:pt idx="841">
                  <c:v>-3.4279446044151924E-3</c:v>
                </c:pt>
                <c:pt idx="842">
                  <c:v>-1.2383048981838662E-3</c:v>
                </c:pt>
                <c:pt idx="843">
                  <c:v>-7.7145612343298281E-3</c:v>
                </c:pt>
                <c:pt idx="844">
                  <c:v>-1.1245314452311568E-2</c:v>
                </c:pt>
                <c:pt idx="845">
                  <c:v>-1.2636899747262484E-3</c:v>
                </c:pt>
                <c:pt idx="846">
                  <c:v>1.5464642204414375E-3</c:v>
                </c:pt>
                <c:pt idx="847">
                  <c:v>-5.8955642897248984E-3</c:v>
                </c:pt>
                <c:pt idx="848">
                  <c:v>-1.9768426998023038E-2</c:v>
                </c:pt>
                <c:pt idx="849">
                  <c:v>-3.6012676462114663E-3</c:v>
                </c:pt>
                <c:pt idx="850">
                  <c:v>-3.180569611103063E-3</c:v>
                </c:pt>
                <c:pt idx="851">
                  <c:v>-1.4503263234228938E-3</c:v>
                </c:pt>
                <c:pt idx="852">
                  <c:v>5.8097312999282871E-4</c:v>
                </c:pt>
                <c:pt idx="853">
                  <c:v>1.8870663376396495E-3</c:v>
                </c:pt>
                <c:pt idx="854">
                  <c:v>-8.6931324253842763E-4</c:v>
                </c:pt>
                <c:pt idx="855">
                  <c:v>8.2656612529003401E-3</c:v>
                </c:pt>
                <c:pt idx="856">
                  <c:v>-1.0642887962030704E-2</c:v>
                </c:pt>
                <c:pt idx="857">
                  <c:v>-1.5409216455880247E-2</c:v>
                </c:pt>
                <c:pt idx="858">
                  <c:v>3.5434814705447345E-3</c:v>
                </c:pt>
                <c:pt idx="859">
                  <c:v>-4.8550831249080228E-3</c:v>
                </c:pt>
                <c:pt idx="860">
                  <c:v>-4.4352454169132373E-4</c:v>
                </c:pt>
                <c:pt idx="861">
                  <c:v>-1.6269782576541847E-3</c:v>
                </c:pt>
                <c:pt idx="862">
                  <c:v>-2.0740740740740823E-3</c:v>
                </c:pt>
                <c:pt idx="863">
                  <c:v>1.0540380047505845E-2</c:v>
                </c:pt>
                <c:pt idx="864">
                  <c:v>5.8763038049076326E-4</c:v>
                </c:pt>
                <c:pt idx="865">
                  <c:v>4.6982821905741795E-3</c:v>
                </c:pt>
                <c:pt idx="866">
                  <c:v>-2.3381557796289753E-3</c:v>
                </c:pt>
                <c:pt idx="867">
                  <c:v>-3.3689761242125353E-3</c:v>
                </c:pt>
                <c:pt idx="868">
                  <c:v>-6.7607289829513216E-3</c:v>
                </c:pt>
                <c:pt idx="869">
                  <c:v>1.0358094110684728E-3</c:v>
                </c:pt>
                <c:pt idx="870">
                  <c:v>-9.3126385809314052E-3</c:v>
                </c:pt>
                <c:pt idx="871">
                  <c:v>-1.9994031632348391E-2</c:v>
                </c:pt>
                <c:pt idx="872">
                  <c:v>-6.5468940316687997E-3</c:v>
                </c:pt>
                <c:pt idx="873">
                  <c:v>-1.6858237547892632E-2</c:v>
                </c:pt>
                <c:pt idx="874">
                  <c:v>-1.5588464536244507E-3</c:v>
                </c:pt>
                <c:pt idx="875">
                  <c:v>-9.523809523809516E-3</c:v>
                </c:pt>
                <c:pt idx="876">
                  <c:v>-1.4186633039091473E-3</c:v>
                </c:pt>
                <c:pt idx="877">
                  <c:v>-2.5256511444357332E-3</c:v>
                </c:pt>
                <c:pt idx="878">
                  <c:v>-3.3233106504193836E-3</c:v>
                </c:pt>
                <c:pt idx="879">
                  <c:v>-1.1114639568116909E-3</c:v>
                </c:pt>
                <c:pt idx="880">
                  <c:v>-2.8612303290414835E-3</c:v>
                </c:pt>
                <c:pt idx="881">
                  <c:v>7.9706679419742172E-4</c:v>
                </c:pt>
                <c:pt idx="882">
                  <c:v>9.5571838165024324E-4</c:v>
                </c:pt>
                <c:pt idx="883">
                  <c:v>1.4322087842138177E-3</c:v>
                </c:pt>
                <c:pt idx="884">
                  <c:v>7.3097092006992031E-3</c:v>
                </c:pt>
                <c:pt idx="885">
                  <c:v>2.6818110112005315E-3</c:v>
                </c:pt>
                <c:pt idx="886">
                  <c:v>7.2372561359344513E-3</c:v>
                </c:pt>
                <c:pt idx="887">
                  <c:v>-3.1240237425798223E-4</c:v>
                </c:pt>
                <c:pt idx="888">
                  <c:v>1.7187499999999911E-3</c:v>
                </c:pt>
                <c:pt idx="889">
                  <c:v>-5.7713305256589841E-3</c:v>
                </c:pt>
                <c:pt idx="890">
                  <c:v>-6.2754941951677357E-4</c:v>
                </c:pt>
                <c:pt idx="891">
                  <c:v>-9.4191522762954898E-4</c:v>
                </c:pt>
                <c:pt idx="892">
                  <c:v>-2.0427404148334783E-3</c:v>
                </c:pt>
                <c:pt idx="893">
                  <c:v>4.7236655644782141E-4</c:v>
                </c:pt>
                <c:pt idx="894">
                  <c:v>2.6754800125905211E-3</c:v>
                </c:pt>
                <c:pt idx="895">
                  <c:v>4.55187568670537E-3</c:v>
                </c:pt>
                <c:pt idx="896">
                  <c:v>1.5625000000007994E-4</c:v>
                </c:pt>
                <c:pt idx="897">
                  <c:v>-5.3116700515544978E-3</c:v>
                </c:pt>
                <c:pt idx="898">
                  <c:v>-1.4135385581907241E-3</c:v>
                </c:pt>
                <c:pt idx="899">
                  <c:v>4.7184649260775618E-4</c:v>
                </c:pt>
                <c:pt idx="900">
                  <c:v>6.2883194466277546E-4</c:v>
                </c:pt>
                <c:pt idx="901">
                  <c:v>3.7706205813040376E-3</c:v>
                </c:pt>
                <c:pt idx="902">
                  <c:v>-2.9738613241508489E-3</c:v>
                </c:pt>
                <c:pt idx="903">
                  <c:v>-5.1805337519624083E-3</c:v>
                </c:pt>
                <c:pt idx="904">
                  <c:v>-1.7358371469149351E-3</c:v>
                </c:pt>
                <c:pt idx="905">
                  <c:v>1.1065444198545729E-3</c:v>
                </c:pt>
                <c:pt idx="906">
                  <c:v>7.8951523764408654E-3</c:v>
                </c:pt>
                <c:pt idx="907">
                  <c:v>6.2666457778472737E-4</c:v>
                </c:pt>
                <c:pt idx="908">
                  <c:v>2.5050884609363346E-3</c:v>
                </c:pt>
                <c:pt idx="909">
                  <c:v>3.1235358425731719E-4</c:v>
                </c:pt>
                <c:pt idx="910">
                  <c:v>4.2154566744730063E-3</c:v>
                </c:pt>
                <c:pt idx="911">
                  <c:v>3.109452736319999E-4</c:v>
                </c:pt>
                <c:pt idx="912">
                  <c:v>2.331364625427284E-3</c:v>
                </c:pt>
                <c:pt idx="913">
                  <c:v>-3.5664444099858862E-3</c:v>
                </c:pt>
                <c:pt idx="914">
                  <c:v>4.6685340802989626E-4</c:v>
                </c:pt>
                <c:pt idx="915">
                  <c:v>7.7772592938244128E-4</c:v>
                </c:pt>
                <c:pt idx="916">
                  <c:v>2.9530618588746926E-3</c:v>
                </c:pt>
                <c:pt idx="917">
                  <c:v>7.7483341081663033E-4</c:v>
                </c:pt>
                <c:pt idx="918">
                  <c:v>1.8581604211830992E-3</c:v>
                </c:pt>
                <c:pt idx="919">
                  <c:v>1.2364760432766351E-3</c:v>
                </c:pt>
                <c:pt idx="920">
                  <c:v>6.1747452917554867E-4</c:v>
                </c:pt>
                <c:pt idx="921">
                  <c:v>5.0910212897255867E-3</c:v>
                </c:pt>
                <c:pt idx="922">
                  <c:v>-1.2279355333846892E-3</c:v>
                </c:pt>
                <c:pt idx="923">
                  <c:v>-1.536806516059541E-3</c:v>
                </c:pt>
                <c:pt idx="924">
                  <c:v>9.2350315530248224E-4</c:v>
                </c:pt>
                <c:pt idx="925">
                  <c:v>7.6887590342914283E-4</c:v>
                </c:pt>
                <c:pt idx="926">
                  <c:v>1.6902274124154799E-3</c:v>
                </c:pt>
                <c:pt idx="927">
                  <c:v>2.6077619266758967E-3</c:v>
                </c:pt>
                <c:pt idx="928">
                  <c:v>-4.5899632802939318E-4</c:v>
                </c:pt>
                <c:pt idx="929">
                  <c:v>-1.5306903413447293E-4</c:v>
                </c:pt>
                <c:pt idx="930">
                  <c:v>-8.7262706674830562E-3</c:v>
                </c:pt>
                <c:pt idx="931">
                  <c:v>-6.6409266409267467E-3</c:v>
                </c:pt>
                <c:pt idx="932">
                  <c:v>1.5547263681599995E-4</c:v>
                </c:pt>
                <c:pt idx="933">
                  <c:v>4.6634540649776368E-4</c:v>
                </c:pt>
                <c:pt idx="934">
                  <c:v>-3.1075201988806745E-4</c:v>
                </c:pt>
                <c:pt idx="935">
                  <c:v>3.1084861672359371E-4</c:v>
                </c:pt>
                <c:pt idx="936">
                  <c:v>-1.553760099440558E-3</c:v>
                </c:pt>
                <c:pt idx="937">
                  <c:v>7.7808901338308678E-4</c:v>
                </c:pt>
                <c:pt idx="938">
                  <c:v>4.0429171201988943E-3</c:v>
                </c:pt>
                <c:pt idx="939">
                  <c:v>3.0974136595942831E-3</c:v>
                </c:pt>
                <c:pt idx="940">
                  <c:v>2.4702794503629892E-3</c:v>
                </c:pt>
                <c:pt idx="941">
                  <c:v>2.4641922069920928E-3</c:v>
                </c:pt>
                <c:pt idx="942">
                  <c:v>3.2263020433245314E-3</c:v>
                </c:pt>
                <c:pt idx="943">
                  <c:v>-1.6845329249617065E-3</c:v>
                </c:pt>
                <c:pt idx="944">
                  <c:v>3.0679552078533549E-4</c:v>
                </c:pt>
                <c:pt idx="945">
                  <c:v>-9.20104278484712E-4</c:v>
                </c:pt>
                <c:pt idx="946">
                  <c:v>-2.6093630084420829E-3</c:v>
                </c:pt>
                <c:pt idx="947">
                  <c:v>-3.0778701138827689E-4</c:v>
                </c:pt>
                <c:pt idx="948">
                  <c:v>2.4630541871922848E-3</c:v>
                </c:pt>
                <c:pt idx="949">
                  <c:v>6.2960687960687432E-3</c:v>
                </c:pt>
                <c:pt idx="950">
                  <c:v>-6.1040744697094841E-4</c:v>
                </c:pt>
                <c:pt idx="951">
                  <c:v>1.8323408153917324E-3</c:v>
                </c:pt>
                <c:pt idx="952">
                  <c:v>-2.1338210638622247E-3</c:v>
                </c:pt>
                <c:pt idx="953">
                  <c:v>2.4438674201924023E-3</c:v>
                </c:pt>
                <c:pt idx="954">
                  <c:v>4.5710802986440865E-4</c:v>
                </c:pt>
                <c:pt idx="955">
                  <c:v>7.6149862930242397E-4</c:v>
                </c:pt>
                <c:pt idx="956">
                  <c:v>1.9783898949932992E-3</c:v>
                </c:pt>
                <c:pt idx="957">
                  <c:v>2.8857837181044611E-3</c:v>
                </c:pt>
                <c:pt idx="958">
                  <c:v>3.1803725579281198E-3</c:v>
                </c:pt>
                <c:pt idx="959">
                  <c:v>-1.3586956521737502E-3</c:v>
                </c:pt>
                <c:pt idx="960">
                  <c:v>4.2328042328042496E-3</c:v>
                </c:pt>
                <c:pt idx="961">
                  <c:v>3.9138943248530917E-3</c:v>
                </c:pt>
                <c:pt idx="962">
                  <c:v>1.6494227020542726E-3</c:v>
                </c:pt>
                <c:pt idx="963">
                  <c:v>7.4850299401193348E-4</c:v>
                </c:pt>
                <c:pt idx="964">
                  <c:v>3.4405385190726103E-3</c:v>
                </c:pt>
                <c:pt idx="965">
                  <c:v>3.4287418008348836E-3</c:v>
                </c:pt>
                <c:pt idx="966">
                  <c:v>4.4569900460557328E-4</c:v>
                </c:pt>
                <c:pt idx="967">
                  <c:v>2.9700029700023789E-4</c:v>
                </c:pt>
                <c:pt idx="968">
                  <c:v>1.4845605700711745E-3</c:v>
                </c:pt>
                <c:pt idx="969">
                  <c:v>8.8941595019274052E-4</c:v>
                </c:pt>
                <c:pt idx="970">
                  <c:v>1.4810426540285623E-3</c:v>
                </c:pt>
                <c:pt idx="971">
                  <c:v>-1.4788524105301855E-4</c:v>
                </c:pt>
                <c:pt idx="972">
                  <c:v>4.4372134299661495E-4</c:v>
                </c:pt>
                <c:pt idx="973">
                  <c:v>4.4352454169132373E-4</c:v>
                </c:pt>
                <c:pt idx="974">
                  <c:v>2.2166395744050759E-3</c:v>
                </c:pt>
                <c:pt idx="975">
                  <c:v>6.1928634621055993E-3</c:v>
                </c:pt>
                <c:pt idx="976">
                  <c:v>2.3446658851115302E-3</c:v>
                </c:pt>
                <c:pt idx="977">
                  <c:v>3.2163742690058312E-3</c:v>
                </c:pt>
                <c:pt idx="978">
                  <c:v>2.0402215097639256E-3</c:v>
                </c:pt>
                <c:pt idx="979">
                  <c:v>4.0721349621873348E-3</c:v>
                </c:pt>
                <c:pt idx="980">
                  <c:v>7.2421784472769405E-3</c:v>
                </c:pt>
                <c:pt idx="981">
                  <c:v>5.3206787460453016E-3</c:v>
                </c:pt>
                <c:pt idx="982">
                  <c:v>8.5824631669292341E-4</c:v>
                </c:pt>
                <c:pt idx="983">
                  <c:v>4.7163069887094225E-3</c:v>
                </c:pt>
                <c:pt idx="984">
                  <c:v>-2.1337126600283283E-3</c:v>
                </c:pt>
                <c:pt idx="985">
                  <c:v>-2.2808267997150504E-3</c:v>
                </c:pt>
                <c:pt idx="986">
                  <c:v>-3.2861837405342162E-3</c:v>
                </c:pt>
                <c:pt idx="987">
                  <c:v>-2.006880733944962E-3</c:v>
                </c:pt>
                <c:pt idx="988">
                  <c:v>-2.2981901752371558E-3</c:v>
                </c:pt>
                <c:pt idx="989">
                  <c:v>3.5991937805931475E-3</c:v>
                </c:pt>
                <c:pt idx="990">
                  <c:v>-2.1517716253047123E-3</c:v>
                </c:pt>
                <c:pt idx="991">
                  <c:v>-5.3191489361702777E-3</c:v>
                </c:pt>
                <c:pt idx="992">
                  <c:v>1.1562364503540728E-3</c:v>
                </c:pt>
                <c:pt idx="993">
                  <c:v>2.1654395842356819E-3</c:v>
                </c:pt>
                <c:pt idx="994">
                  <c:v>7.2025352924225236E-4</c:v>
                </c:pt>
                <c:pt idx="995">
                  <c:v>4.3184108248166313E-4</c:v>
                </c:pt>
                <c:pt idx="996">
                  <c:v>-2.8776978417260462E-4</c:v>
                </c:pt>
                <c:pt idx="997">
                  <c:v>-2.8785261945898433E-4</c:v>
                </c:pt>
                <c:pt idx="998">
                  <c:v>5.7587100489499363E-4</c:v>
                </c:pt>
                <c:pt idx="999">
                  <c:v>-7.1942446043161382E-4</c:v>
                </c:pt>
                <c:pt idx="1000">
                  <c:v>-1.0079193664507902E-3</c:v>
                </c:pt>
                <c:pt idx="1001">
                  <c:v>-3.603343903142116E-3</c:v>
                </c:pt>
                <c:pt idx="1002">
                  <c:v>-1.8805149717922099E-3</c:v>
                </c:pt>
                <c:pt idx="1003">
                  <c:v>-8.6956521739133734E-4</c:v>
                </c:pt>
                <c:pt idx="1004">
                  <c:v>1.1604293588627545E-3</c:v>
                </c:pt>
                <c:pt idx="1005">
                  <c:v>-2.6079397276150772E-3</c:v>
                </c:pt>
                <c:pt idx="1006">
                  <c:v>-7.2632190586863969E-4</c:v>
                </c:pt>
                <c:pt idx="1007">
                  <c:v>-5.2333187963366683E-3</c:v>
                </c:pt>
                <c:pt idx="1008">
                  <c:v>-8.7680841736083976E-4</c:v>
                </c:pt>
                <c:pt idx="1009">
                  <c:v>5.8505192335808157E-4</c:v>
                </c:pt>
                <c:pt idx="1010">
                  <c:v>-4.2391463236367789E-3</c:v>
                </c:pt>
                <c:pt idx="1011">
                  <c:v>-9.6887844979449619E-3</c:v>
                </c:pt>
                <c:pt idx="1012">
                  <c:v>-6.2259116513487629E-3</c:v>
                </c:pt>
                <c:pt idx="1013">
                  <c:v>-4.7732696897375797E-3</c:v>
                </c:pt>
                <c:pt idx="1014">
                  <c:v>-1.3489208633094038E-3</c:v>
                </c:pt>
                <c:pt idx="1015">
                  <c:v>9.0049527239985405E-4</c:v>
                </c:pt>
                <c:pt idx="1016">
                  <c:v>-7.0475333633228205E-3</c:v>
                </c:pt>
                <c:pt idx="1017">
                  <c:v>-5.2854122621563623E-3</c:v>
                </c:pt>
                <c:pt idx="1018">
                  <c:v>1.3663276149990769E-3</c:v>
                </c:pt>
                <c:pt idx="1019">
                  <c:v>2.1224984839296633E-3</c:v>
                </c:pt>
                <c:pt idx="1020">
                  <c:v>1.0590015128594159E-3</c:v>
                </c:pt>
                <c:pt idx="1021">
                  <c:v>1.6623847665104947E-3</c:v>
                </c:pt>
                <c:pt idx="1022">
                  <c:v>2.4140012070005519E-3</c:v>
                </c:pt>
                <c:pt idx="1023">
                  <c:v>7.5255869957852441E-4</c:v>
                </c:pt>
                <c:pt idx="1024">
                  <c:v>4.3615581290420554E-3</c:v>
                </c:pt>
                <c:pt idx="1025">
                  <c:v>4.6421084156933554E-3</c:v>
                </c:pt>
                <c:pt idx="1026">
                  <c:v>-4.4716053063051326E-4</c:v>
                </c:pt>
                <c:pt idx="1027">
                  <c:v>2.2368028631075377E-3</c:v>
                </c:pt>
                <c:pt idx="1028">
                  <c:v>6.8442196101771756E-3</c:v>
                </c:pt>
                <c:pt idx="1029">
                  <c:v>6.9454706664696152E-3</c:v>
                </c:pt>
                <c:pt idx="1030">
                  <c:v>3.6689169357205752E-3</c:v>
                </c:pt>
                <c:pt idx="1031">
                  <c:v>5.9950285129404387E-3</c:v>
                </c:pt>
                <c:pt idx="1032">
                  <c:v>-8.7209302325584701E-4</c:v>
                </c:pt>
                <c:pt idx="1033">
                  <c:v>4.0733197556008316E-3</c:v>
                </c:pt>
                <c:pt idx="1034">
                  <c:v>1.7386264850768553E-3</c:v>
                </c:pt>
                <c:pt idx="1035">
                  <c:v>2.0248770610355881E-3</c:v>
                </c:pt>
                <c:pt idx="1036">
                  <c:v>0</c:v>
                </c:pt>
                <c:pt idx="1037">
                  <c:v>3.6085450346420322E-3</c:v>
                </c:pt>
                <c:pt idx="1038">
                  <c:v>3.1641018265496745E-3</c:v>
                </c:pt>
                <c:pt idx="1039">
                  <c:v>3.2974910394265805E-3</c:v>
                </c:pt>
                <c:pt idx="1040">
                  <c:v>3.5724492712203484E-3</c:v>
                </c:pt>
                <c:pt idx="1041">
                  <c:v>1.4238929232508762E-4</c:v>
                </c:pt>
                <c:pt idx="1042">
                  <c:v>4.5558086560365521E-3</c:v>
                </c:pt>
                <c:pt idx="1043">
                  <c:v>9.920634920633953E-4</c:v>
                </c:pt>
                <c:pt idx="1044">
                  <c:v>6.5128132521592519E-3</c:v>
                </c:pt>
                <c:pt idx="1045">
                  <c:v>3.2353354902235161E-3</c:v>
                </c:pt>
                <c:pt idx="1046">
                  <c:v>3.3651149747617654E-3</c:v>
                </c:pt>
                <c:pt idx="1047">
                  <c:v>5.8692006707658142E-3</c:v>
                </c:pt>
                <c:pt idx="1048">
                  <c:v>1.6671297582660507E-3</c:v>
                </c:pt>
                <c:pt idx="1049">
                  <c:v>-1.1095700416088529E-3</c:v>
                </c:pt>
                <c:pt idx="1050">
                  <c:v>-1.1385726187170136E-2</c:v>
                </c:pt>
                <c:pt idx="1051">
                  <c:v>6.0393258426965253E-3</c:v>
                </c:pt>
                <c:pt idx="1052">
                  <c:v>-3.6297640653356264E-3</c:v>
                </c:pt>
                <c:pt idx="1053">
                  <c:v>-1.681378730559122E-3</c:v>
                </c:pt>
                <c:pt idx="1054">
                  <c:v>-3.3684210526315071E-3</c:v>
                </c:pt>
                <c:pt idx="1055">
                  <c:v>-7.8862132094071578E-3</c:v>
                </c:pt>
                <c:pt idx="1056">
                  <c:v>-1.7033356990774243E-3</c:v>
                </c:pt>
                <c:pt idx="1057">
                  <c:v>1.4218683349929073E-4</c:v>
                </c:pt>
                <c:pt idx="1058">
                  <c:v>-7.1083309638892745E-4</c:v>
                </c:pt>
                <c:pt idx="1059">
                  <c:v>1.1381419832123814E-3</c:v>
                </c:pt>
                <c:pt idx="1060">
                  <c:v>-7.1053005542150583E-4</c:v>
                </c:pt>
                <c:pt idx="1061">
                  <c:v>-5.1194539249146678E-3</c:v>
                </c:pt>
                <c:pt idx="1062">
                  <c:v>-1.1435105774728173E-3</c:v>
                </c:pt>
                <c:pt idx="1063">
                  <c:v>-4.2930738408700226E-3</c:v>
                </c:pt>
                <c:pt idx="1064">
                  <c:v>3.0181086519115831E-3</c:v>
                </c:pt>
                <c:pt idx="1065">
                  <c:v>-2.8657400773750225E-3</c:v>
                </c:pt>
                <c:pt idx="1066">
                  <c:v>-7.4723379795949164E-3</c:v>
                </c:pt>
                <c:pt idx="1067">
                  <c:v>-4.1986390618212258E-3</c:v>
                </c:pt>
                <c:pt idx="1068">
                  <c:v>-1.5266065716778092E-2</c:v>
                </c:pt>
                <c:pt idx="1069">
                  <c:v>-3.6911265318175105E-3</c:v>
                </c:pt>
                <c:pt idx="1070">
                  <c:v>-6.9650266745702261E-3</c:v>
                </c:pt>
                <c:pt idx="1071">
                  <c:v>-2.9846291598269337E-3</c:v>
                </c:pt>
                <c:pt idx="1072">
                  <c:v>-5.3884149079479037E-3</c:v>
                </c:pt>
                <c:pt idx="1073">
                  <c:v>-1.6553799849510825E-3</c:v>
                </c:pt>
                <c:pt idx="1074">
                  <c:v>3.0147723846843562E-4</c:v>
                </c:pt>
                <c:pt idx="1075">
                  <c:v>4.0687160940324901E-3</c:v>
                </c:pt>
                <c:pt idx="1076">
                  <c:v>6.0033018159997382E-4</c:v>
                </c:pt>
                <c:pt idx="1077">
                  <c:v>0</c:v>
                </c:pt>
                <c:pt idx="1078">
                  <c:v>3.5998200089994731E-3</c:v>
                </c:pt>
                <c:pt idx="1079">
                  <c:v>0</c:v>
                </c:pt>
                <c:pt idx="1080">
                  <c:v>2.0923628755044176E-3</c:v>
                </c:pt>
                <c:pt idx="1081">
                  <c:v>-4.7725577926919192E-3</c:v>
                </c:pt>
                <c:pt idx="1082">
                  <c:v>-4.7954443278886167E-3</c:v>
                </c:pt>
                <c:pt idx="1083">
                  <c:v>-5.1197108869146732E-3</c:v>
                </c:pt>
                <c:pt idx="1084">
                  <c:v>-1.3621916149536735E-3</c:v>
                </c:pt>
                <c:pt idx="1085">
                  <c:v>-9.0936647468933417E-4</c:v>
                </c:pt>
                <c:pt idx="1086">
                  <c:v>-6.2196601941747051E-3</c:v>
                </c:pt>
                <c:pt idx="1087">
                  <c:v>-2.4423752098917842E-3</c:v>
                </c:pt>
                <c:pt idx="1088">
                  <c:v>1.0711553175211538E-3</c:v>
                </c:pt>
                <c:pt idx="1089">
                  <c:v>-9.1715071843476419E-4</c:v>
                </c:pt>
                <c:pt idx="1090">
                  <c:v>-6.1199510403926337E-4</c:v>
                </c:pt>
                <c:pt idx="1091">
                  <c:v>-6.1236987140220525E-4</c:v>
                </c:pt>
                <c:pt idx="1092">
                  <c:v>9.1911764705885832E-4</c:v>
                </c:pt>
                <c:pt idx="1093">
                  <c:v>1.0713192531373306E-3</c:v>
                </c:pt>
                <c:pt idx="1094">
                  <c:v>9.1729093410796933E-4</c:v>
                </c:pt>
                <c:pt idx="1095">
                  <c:v>-1.2219337100962012E-3</c:v>
                </c:pt>
                <c:pt idx="1096">
                  <c:v>-6.1171432940817505E-3</c:v>
                </c:pt>
                <c:pt idx="1097">
                  <c:v>2.1541775657793597E-3</c:v>
                </c:pt>
                <c:pt idx="1098">
                  <c:v>-3.5313987409794226E-3</c:v>
                </c:pt>
                <c:pt idx="1099">
                  <c:v>1.540832049305224E-4</c:v>
                </c:pt>
                <c:pt idx="1100">
                  <c:v>-2.3108920043135336E-3</c:v>
                </c:pt>
                <c:pt idx="1101">
                  <c:v>-3.397158739962922E-3</c:v>
                </c:pt>
                <c:pt idx="1102">
                  <c:v>-4.6482801363497263E-4</c:v>
                </c:pt>
                <c:pt idx="1103">
                  <c:v>-1.5501472639908721E-4</c:v>
                </c:pt>
                <c:pt idx="1104">
                  <c:v>6.2015503875978688E-4</c:v>
                </c:pt>
                <c:pt idx="1105">
                  <c:v>-4.3383947939262648E-3</c:v>
                </c:pt>
                <c:pt idx="1106">
                  <c:v>-2.6455026455026718E-3</c:v>
                </c:pt>
                <c:pt idx="1107">
                  <c:v>-9.3618349196446043E-4</c:v>
                </c:pt>
                <c:pt idx="1108">
                  <c:v>2.8111822583162987E-3</c:v>
                </c:pt>
                <c:pt idx="1109">
                  <c:v>-1.931163370191551E-2</c:v>
                </c:pt>
                <c:pt idx="1110">
                  <c:v>1.2704462442432634E-3</c:v>
                </c:pt>
                <c:pt idx="1111">
                  <c:v>-9.5162569389365857E-4</c:v>
                </c:pt>
                <c:pt idx="1112">
                  <c:v>-1.5875535799333453E-3</c:v>
                </c:pt>
                <c:pt idx="1113">
                  <c:v>1.2720623310541945E-3</c:v>
                </c:pt>
                <c:pt idx="1114">
                  <c:v>1.1116404637128837E-3</c:v>
                </c:pt>
                <c:pt idx="1115">
                  <c:v>1.2690355329948969E-3</c:v>
                </c:pt>
                <c:pt idx="1116">
                  <c:v>-4.7528517110256705E-4</c:v>
                </c:pt>
                <c:pt idx="1117">
                  <c:v>2.8530670470756016E-3</c:v>
                </c:pt>
                <c:pt idx="1118">
                  <c:v>2.8449502133712614E-3</c:v>
                </c:pt>
                <c:pt idx="1119">
                  <c:v>-7.8802206461787646E-4</c:v>
                </c:pt>
                <c:pt idx="1120">
                  <c:v>2.8391167192428979E-3</c:v>
                </c:pt>
                <c:pt idx="1121">
                  <c:v>6.9204152249134595E-3</c:v>
                </c:pt>
                <c:pt idx="1122">
                  <c:v>1.7182130584192353E-3</c:v>
                </c:pt>
                <c:pt idx="1123">
                  <c:v>-1.2474660845158006E-3</c:v>
                </c:pt>
                <c:pt idx="1124">
                  <c:v>-7.8064012490237564E-4</c:v>
                </c:pt>
                <c:pt idx="1125">
                  <c:v>4.8437500000000355E-3</c:v>
                </c:pt>
                <c:pt idx="1126">
                  <c:v>9.3298087389212059E-4</c:v>
                </c:pt>
                <c:pt idx="1127">
                  <c:v>0</c:v>
                </c:pt>
                <c:pt idx="1128">
                  <c:v>2.1749262078608134E-3</c:v>
                </c:pt>
                <c:pt idx="1129">
                  <c:v>1.705161990389078E-3</c:v>
                </c:pt>
                <c:pt idx="1130">
                  <c:v>3.0950170225930084E-4</c:v>
                </c:pt>
                <c:pt idx="1131">
                  <c:v>2.0111386138613159E-3</c:v>
                </c:pt>
                <c:pt idx="1132">
                  <c:v>1.5439246564768958E-3</c:v>
                </c:pt>
                <c:pt idx="1133">
                  <c:v>1.0790812394017755E-3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1-45F1-B29B-C189C40DB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004687"/>
        <c:axId val="1748039711"/>
      </c:barChart>
      <c:dateAx>
        <c:axId val="132900468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39711"/>
        <c:crosses val="autoZero"/>
        <c:auto val="0"/>
        <c:lblOffset val="100"/>
        <c:baseTimeUnit val="days"/>
        <c:majorUnit val="6"/>
      </c:dateAx>
      <c:valAx>
        <c:axId val="17480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0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 % (Perda do Pico)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Análise_À_Vista!$A$3:$A$1136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Análise_À_Vista!$E$3:$E$1136</c:f>
              <c:numCache>
                <c:formatCode>0.00%</c:formatCode>
                <c:ptCount val="1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-4.0679345062543627E-3</c:v>
                </c:pt>
                <c:pt idx="16">
                  <c:v>-5.7968066714125209E-3</c:v>
                </c:pt>
                <c:pt idx="17">
                  <c:v>-4.3730295942234583E-3</c:v>
                </c:pt>
                <c:pt idx="18">
                  <c:v>-9.7630428150106141E-3</c:v>
                </c:pt>
                <c:pt idx="19">
                  <c:v>-9.4579477270415203E-3</c:v>
                </c:pt>
                <c:pt idx="20">
                  <c:v>-9.2545510017288373E-3</c:v>
                </c:pt>
                <c:pt idx="21">
                  <c:v>-9.4579477270415203E-3</c:v>
                </c:pt>
                <c:pt idx="22">
                  <c:v>-1.2102105156106964E-2</c:v>
                </c:pt>
                <c:pt idx="23">
                  <c:v>-1.5356452761110598E-2</c:v>
                </c:pt>
                <c:pt idx="24">
                  <c:v>-1.2203803518763377E-2</c:v>
                </c:pt>
                <c:pt idx="25">
                  <c:v>-1.3830977321265122E-2</c:v>
                </c:pt>
                <c:pt idx="26">
                  <c:v>-1.2102105156106964E-2</c:v>
                </c:pt>
                <c:pt idx="27">
                  <c:v>-1.4237770771890486E-2</c:v>
                </c:pt>
                <c:pt idx="28">
                  <c:v>-1.2712295332045154E-2</c:v>
                </c:pt>
                <c:pt idx="29">
                  <c:v>-1.3017390420014249E-2</c:v>
                </c:pt>
                <c:pt idx="30">
                  <c:v>-2.3899115224244833E-2</c:v>
                </c:pt>
                <c:pt idx="31">
                  <c:v>-1.8102308552832312E-2</c:v>
                </c:pt>
                <c:pt idx="32">
                  <c:v>-1.8305705278144992E-2</c:v>
                </c:pt>
                <c:pt idx="33">
                  <c:v>-1.8509102003457675E-2</c:v>
                </c:pt>
                <c:pt idx="34">
                  <c:v>-1.8712498728770503E-2</c:v>
                </c:pt>
                <c:pt idx="35">
                  <c:v>-1.8407403640801408E-2</c:v>
                </c:pt>
                <c:pt idx="36">
                  <c:v>-1.5559849486423281E-2</c:v>
                </c:pt>
                <c:pt idx="37">
                  <c:v>-1.5051357673141504E-2</c:v>
                </c:pt>
                <c:pt idx="38">
                  <c:v>-1.4644564222515994E-2</c:v>
                </c:pt>
                <c:pt idx="39">
                  <c:v>-1.006813790297971E-2</c:v>
                </c:pt>
                <c:pt idx="40">
                  <c:v>-1.1491914980168773E-2</c:v>
                </c:pt>
                <c:pt idx="41">
                  <c:v>-6.2036001220380299E-3</c:v>
                </c:pt>
                <c:pt idx="42">
                  <c:v>-1.830570527814427E-3</c:v>
                </c:pt>
                <c:pt idx="43">
                  <c:v>0</c:v>
                </c:pt>
                <c:pt idx="44">
                  <c:v>0</c:v>
                </c:pt>
                <c:pt idx="45">
                  <c:v>-1.0852407261246985E-3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-2.8873917228105036E-4</c:v>
                </c:pt>
                <c:pt idx="50">
                  <c:v>-1.5399422521656476E-3</c:v>
                </c:pt>
                <c:pt idx="51">
                  <c:v>-3.1761308950915544E-3</c:v>
                </c:pt>
                <c:pt idx="52">
                  <c:v>-1.2608277189605411E-2</c:v>
                </c:pt>
                <c:pt idx="53">
                  <c:v>-1.2223291626564102E-2</c:v>
                </c:pt>
                <c:pt idx="54">
                  <c:v>-2.5120307988450427E-2</c:v>
                </c:pt>
                <c:pt idx="55">
                  <c:v>-3.8209817131857539E-2</c:v>
                </c:pt>
                <c:pt idx="56">
                  <c:v>-4.5235803657362871E-2</c:v>
                </c:pt>
                <c:pt idx="57">
                  <c:v>-6.660250240615978E-2</c:v>
                </c:pt>
                <c:pt idx="58">
                  <c:v>-7.4494706448508266E-2</c:v>
                </c:pt>
                <c:pt idx="59">
                  <c:v>-0.10712223291626573</c:v>
                </c:pt>
                <c:pt idx="60">
                  <c:v>-0.10779595765158809</c:v>
                </c:pt>
                <c:pt idx="61">
                  <c:v>-0.10404234841193456</c:v>
                </c:pt>
                <c:pt idx="62">
                  <c:v>-0.11414821944177092</c:v>
                </c:pt>
                <c:pt idx="63">
                  <c:v>-0.11886429258902799</c:v>
                </c:pt>
                <c:pt idx="64">
                  <c:v>-0.13195380173243509</c:v>
                </c:pt>
                <c:pt idx="65">
                  <c:v>-0.13897978825794044</c:v>
                </c:pt>
                <c:pt idx="66">
                  <c:v>-0.1428296438883542</c:v>
                </c:pt>
                <c:pt idx="67">
                  <c:v>-0.14321462945139565</c:v>
                </c:pt>
                <c:pt idx="68">
                  <c:v>-0.14436958614051973</c:v>
                </c:pt>
                <c:pt idx="69">
                  <c:v>-0.15139557266602505</c:v>
                </c:pt>
                <c:pt idx="70">
                  <c:v>-0.15726660250240618</c:v>
                </c:pt>
                <c:pt idx="71">
                  <c:v>-0.15976900866217525</c:v>
                </c:pt>
                <c:pt idx="72">
                  <c:v>-0.15659287776708383</c:v>
                </c:pt>
                <c:pt idx="73">
                  <c:v>-0.1527430221366699</c:v>
                </c:pt>
                <c:pt idx="74">
                  <c:v>-0.15428296438883543</c:v>
                </c:pt>
                <c:pt idx="75">
                  <c:v>-0.15370548604427331</c:v>
                </c:pt>
                <c:pt idx="76">
                  <c:v>-0.14619826756496643</c:v>
                </c:pt>
                <c:pt idx="77">
                  <c:v>-0.14812319538017324</c:v>
                </c:pt>
                <c:pt idx="78">
                  <c:v>-0.15101058710298373</c:v>
                </c:pt>
                <c:pt idx="79">
                  <c:v>-0.14937439846005784</c:v>
                </c:pt>
                <c:pt idx="80">
                  <c:v>-0.15062560153994231</c:v>
                </c:pt>
                <c:pt idx="81">
                  <c:v>-0.15428296438883543</c:v>
                </c:pt>
                <c:pt idx="82">
                  <c:v>-0.15688161693936487</c:v>
                </c:pt>
                <c:pt idx="83">
                  <c:v>-0.15736284889316657</c:v>
                </c:pt>
                <c:pt idx="84">
                  <c:v>-0.15871029836381143</c:v>
                </c:pt>
                <c:pt idx="85">
                  <c:v>-0.16621751684311847</c:v>
                </c:pt>
                <c:pt idx="86">
                  <c:v>-0.170837343599615</c:v>
                </c:pt>
                <c:pt idx="87">
                  <c:v>-0.17391722810394616</c:v>
                </c:pt>
                <c:pt idx="88">
                  <c:v>-0.17151106833493751</c:v>
                </c:pt>
                <c:pt idx="89">
                  <c:v>-0.16843118383060635</c:v>
                </c:pt>
                <c:pt idx="90">
                  <c:v>-0.16708373435996149</c:v>
                </c:pt>
                <c:pt idx="91">
                  <c:v>-0.15332050048123202</c:v>
                </c:pt>
                <c:pt idx="92">
                  <c:v>-0.14254090471607317</c:v>
                </c:pt>
                <c:pt idx="93">
                  <c:v>-0.14071222329162661</c:v>
                </c:pt>
                <c:pt idx="94">
                  <c:v>-0.14119345524542831</c:v>
                </c:pt>
                <c:pt idx="95">
                  <c:v>-0.1484119345524543</c:v>
                </c:pt>
                <c:pt idx="96">
                  <c:v>-0.1527430221366699</c:v>
                </c:pt>
                <c:pt idx="97">
                  <c:v>-0.15851780558229064</c:v>
                </c:pt>
                <c:pt idx="98">
                  <c:v>-0.15948026948989419</c:v>
                </c:pt>
                <c:pt idx="99">
                  <c:v>-0.162752646775746</c:v>
                </c:pt>
                <c:pt idx="100">
                  <c:v>-0.16361886429258901</c:v>
                </c:pt>
                <c:pt idx="101">
                  <c:v>-0.16419634263715113</c:v>
                </c:pt>
                <c:pt idx="102">
                  <c:v>-0.16987487969201159</c:v>
                </c:pt>
                <c:pt idx="103">
                  <c:v>-0.17420596727622722</c:v>
                </c:pt>
                <c:pt idx="104">
                  <c:v>-0.17690086621751694</c:v>
                </c:pt>
                <c:pt idx="105">
                  <c:v>-0.18123195380173254</c:v>
                </c:pt>
                <c:pt idx="106">
                  <c:v>-0.18383060635226187</c:v>
                </c:pt>
                <c:pt idx="107">
                  <c:v>-0.17651588065447549</c:v>
                </c:pt>
                <c:pt idx="108">
                  <c:v>-0.1736284889316651</c:v>
                </c:pt>
                <c:pt idx="109">
                  <c:v>-0.17372473532242552</c:v>
                </c:pt>
                <c:pt idx="110">
                  <c:v>-0.17786333012512034</c:v>
                </c:pt>
                <c:pt idx="111">
                  <c:v>-0.17795957651588074</c:v>
                </c:pt>
                <c:pt idx="112">
                  <c:v>-0.16823869104908568</c:v>
                </c:pt>
                <c:pt idx="113">
                  <c:v>-0.16987487969201159</c:v>
                </c:pt>
                <c:pt idx="114">
                  <c:v>-0.16920115495668925</c:v>
                </c:pt>
                <c:pt idx="115">
                  <c:v>-0.15861405197305103</c:v>
                </c:pt>
                <c:pt idx="116">
                  <c:v>-0.16121270452358036</c:v>
                </c:pt>
                <c:pt idx="117">
                  <c:v>-0.16227141482194415</c:v>
                </c:pt>
                <c:pt idx="118">
                  <c:v>-0.17305101058710301</c:v>
                </c:pt>
                <c:pt idx="119">
                  <c:v>-0.17564966313763233</c:v>
                </c:pt>
                <c:pt idx="120">
                  <c:v>-0.18431183830606357</c:v>
                </c:pt>
                <c:pt idx="121">
                  <c:v>-0.19249278152069296</c:v>
                </c:pt>
                <c:pt idx="122">
                  <c:v>-0.18334937439846016</c:v>
                </c:pt>
                <c:pt idx="123">
                  <c:v>-0.19586140519730516</c:v>
                </c:pt>
                <c:pt idx="124">
                  <c:v>-0.1996150144369587</c:v>
                </c:pt>
                <c:pt idx="125">
                  <c:v>-0.19884504331087594</c:v>
                </c:pt>
                <c:pt idx="126">
                  <c:v>-0.20500481231953813</c:v>
                </c:pt>
                <c:pt idx="127">
                  <c:v>-0.20895091434071228</c:v>
                </c:pt>
                <c:pt idx="128">
                  <c:v>-0.21385948026948987</c:v>
                </c:pt>
                <c:pt idx="129">
                  <c:v>-0.21559191530317617</c:v>
                </c:pt>
                <c:pt idx="130">
                  <c:v>-0.20731472569778639</c:v>
                </c:pt>
                <c:pt idx="131">
                  <c:v>-0.2</c:v>
                </c:pt>
                <c:pt idx="132">
                  <c:v>-0.20375360923965352</c:v>
                </c:pt>
                <c:pt idx="133">
                  <c:v>-0.20519730510105877</c:v>
                </c:pt>
                <c:pt idx="134">
                  <c:v>-0.20635226179018298</c:v>
                </c:pt>
                <c:pt idx="135">
                  <c:v>-0.20731472569778639</c:v>
                </c:pt>
                <c:pt idx="136">
                  <c:v>-0.21395572666025026</c:v>
                </c:pt>
                <c:pt idx="137">
                  <c:v>-0.21645813282001933</c:v>
                </c:pt>
                <c:pt idx="138">
                  <c:v>-0.22184793070259876</c:v>
                </c:pt>
                <c:pt idx="139">
                  <c:v>-0.22945139557266606</c:v>
                </c:pt>
                <c:pt idx="140">
                  <c:v>-0.2281039461020212</c:v>
                </c:pt>
                <c:pt idx="141">
                  <c:v>-0.21780558229066418</c:v>
                </c:pt>
                <c:pt idx="142">
                  <c:v>-0.21655437921077958</c:v>
                </c:pt>
                <c:pt idx="143">
                  <c:v>-0.21289701636188646</c:v>
                </c:pt>
                <c:pt idx="144">
                  <c:v>-0.20182868142444657</c:v>
                </c:pt>
                <c:pt idx="145">
                  <c:v>-0.20461982675649668</c:v>
                </c:pt>
                <c:pt idx="146">
                  <c:v>-0.20519730510105877</c:v>
                </c:pt>
                <c:pt idx="147">
                  <c:v>-0.20683349374398469</c:v>
                </c:pt>
                <c:pt idx="148">
                  <c:v>-0.20846968238691058</c:v>
                </c:pt>
                <c:pt idx="149">
                  <c:v>-0.21164581328200199</c:v>
                </c:pt>
                <c:pt idx="150">
                  <c:v>-0.21029836381135714</c:v>
                </c:pt>
                <c:pt idx="151">
                  <c:v>-0.21434071222329171</c:v>
                </c:pt>
                <c:pt idx="152">
                  <c:v>-0.20346487006737246</c:v>
                </c:pt>
                <c:pt idx="153">
                  <c:v>-0.21135707410972096</c:v>
                </c:pt>
                <c:pt idx="154">
                  <c:v>-0.21511068334937447</c:v>
                </c:pt>
                <c:pt idx="155">
                  <c:v>-0.21645813282001933</c:v>
                </c:pt>
                <c:pt idx="156">
                  <c:v>-0.20972088546679504</c:v>
                </c:pt>
                <c:pt idx="157">
                  <c:v>-0.20336862367661221</c:v>
                </c:pt>
                <c:pt idx="158">
                  <c:v>-0.20981713185755543</c:v>
                </c:pt>
                <c:pt idx="159">
                  <c:v>-0.20923965351299334</c:v>
                </c:pt>
                <c:pt idx="160">
                  <c:v>-0.21174205967276227</c:v>
                </c:pt>
                <c:pt idx="161">
                  <c:v>-0.20413859480269497</c:v>
                </c:pt>
                <c:pt idx="162">
                  <c:v>-0.20336862367661221</c:v>
                </c:pt>
                <c:pt idx="163">
                  <c:v>-0.19817131857555345</c:v>
                </c:pt>
                <c:pt idx="164">
                  <c:v>-0.19538017324350346</c:v>
                </c:pt>
                <c:pt idx="165">
                  <c:v>-0.19345524542829651</c:v>
                </c:pt>
                <c:pt idx="166">
                  <c:v>-0.19412897016361888</c:v>
                </c:pt>
                <c:pt idx="167">
                  <c:v>-0.19210779595765165</c:v>
                </c:pt>
                <c:pt idx="168">
                  <c:v>-0.19480269489894136</c:v>
                </c:pt>
                <c:pt idx="169">
                  <c:v>-0.19740134744947069</c:v>
                </c:pt>
                <c:pt idx="170">
                  <c:v>-0.19865255052935515</c:v>
                </c:pt>
                <c:pt idx="171">
                  <c:v>-0.19595765158806544</c:v>
                </c:pt>
                <c:pt idx="172">
                  <c:v>-0.19874879692011554</c:v>
                </c:pt>
                <c:pt idx="173">
                  <c:v>-0.19701636188642924</c:v>
                </c:pt>
                <c:pt idx="174">
                  <c:v>-0.19201154956689126</c:v>
                </c:pt>
                <c:pt idx="175">
                  <c:v>-0.19422521655437927</c:v>
                </c:pt>
                <c:pt idx="176">
                  <c:v>-0.18883541867179984</c:v>
                </c:pt>
                <c:pt idx="177">
                  <c:v>-0.18623676612127052</c:v>
                </c:pt>
                <c:pt idx="178">
                  <c:v>-0.18816169393647747</c:v>
                </c:pt>
                <c:pt idx="179">
                  <c:v>-0.19133782483156889</c:v>
                </c:pt>
                <c:pt idx="180">
                  <c:v>-0.18950914340712233</c:v>
                </c:pt>
                <c:pt idx="181">
                  <c:v>-0.18922040423484129</c:v>
                </c:pt>
                <c:pt idx="182">
                  <c:v>-0.18614051973051013</c:v>
                </c:pt>
                <c:pt idx="183">
                  <c:v>-0.18633301251203077</c:v>
                </c:pt>
                <c:pt idx="184">
                  <c:v>-0.18594802694898949</c:v>
                </c:pt>
                <c:pt idx="185">
                  <c:v>-0.18460057747834463</c:v>
                </c:pt>
                <c:pt idx="186">
                  <c:v>-0.1891241578440809</c:v>
                </c:pt>
                <c:pt idx="187">
                  <c:v>-0.18922040423484129</c:v>
                </c:pt>
                <c:pt idx="188">
                  <c:v>-0.18748796920115499</c:v>
                </c:pt>
                <c:pt idx="189">
                  <c:v>-0.1901828681424447</c:v>
                </c:pt>
                <c:pt idx="190">
                  <c:v>-0.19855630413859487</c:v>
                </c:pt>
                <c:pt idx="191">
                  <c:v>-0.20202117420596735</c:v>
                </c:pt>
                <c:pt idx="192">
                  <c:v>-0.20076997112608275</c:v>
                </c:pt>
                <c:pt idx="193">
                  <c:v>-0.2006737247353225</c:v>
                </c:pt>
                <c:pt idx="194">
                  <c:v>-0.19634263715110689</c:v>
                </c:pt>
                <c:pt idx="195">
                  <c:v>-0.19287776708373441</c:v>
                </c:pt>
                <c:pt idx="196">
                  <c:v>-0.18748796920115499</c:v>
                </c:pt>
                <c:pt idx="197">
                  <c:v>-0.18508180943214633</c:v>
                </c:pt>
                <c:pt idx="198">
                  <c:v>-0.18325312800769977</c:v>
                </c:pt>
                <c:pt idx="199">
                  <c:v>-0.1782483156881618</c:v>
                </c:pt>
                <c:pt idx="200">
                  <c:v>-0.17795957651588074</c:v>
                </c:pt>
                <c:pt idx="201">
                  <c:v>-0.17988450433108769</c:v>
                </c:pt>
                <c:pt idx="202">
                  <c:v>-0.1792107795957652</c:v>
                </c:pt>
                <c:pt idx="203">
                  <c:v>-0.18113570741097215</c:v>
                </c:pt>
                <c:pt idx="204">
                  <c:v>-0.18277189605389807</c:v>
                </c:pt>
                <c:pt idx="205">
                  <c:v>-0.1807507218479307</c:v>
                </c:pt>
                <c:pt idx="206">
                  <c:v>-0.17853705486044283</c:v>
                </c:pt>
                <c:pt idx="207">
                  <c:v>-0.17526467757459102</c:v>
                </c:pt>
                <c:pt idx="208">
                  <c:v>-0.17853705486044283</c:v>
                </c:pt>
                <c:pt idx="209">
                  <c:v>-0.18084696823869109</c:v>
                </c:pt>
                <c:pt idx="210">
                  <c:v>-0.18421559191530318</c:v>
                </c:pt>
                <c:pt idx="211">
                  <c:v>-0.18238691049085662</c:v>
                </c:pt>
                <c:pt idx="212">
                  <c:v>-0.18007699711260836</c:v>
                </c:pt>
                <c:pt idx="213">
                  <c:v>-0.17901828681424453</c:v>
                </c:pt>
                <c:pt idx="214">
                  <c:v>-0.18421559191530318</c:v>
                </c:pt>
                <c:pt idx="215">
                  <c:v>-0.18691049085659289</c:v>
                </c:pt>
                <c:pt idx="216">
                  <c:v>-0.1940327237728586</c:v>
                </c:pt>
                <c:pt idx="217">
                  <c:v>-0.19153031761308956</c:v>
                </c:pt>
                <c:pt idx="218">
                  <c:v>-0.1945139557266603</c:v>
                </c:pt>
                <c:pt idx="219">
                  <c:v>-0.19095283926852746</c:v>
                </c:pt>
                <c:pt idx="220">
                  <c:v>-0.1841193455245429</c:v>
                </c:pt>
                <c:pt idx="221">
                  <c:v>-0.18113570741097215</c:v>
                </c:pt>
                <c:pt idx="222">
                  <c:v>-0.18007699711260836</c:v>
                </c:pt>
                <c:pt idx="223">
                  <c:v>-0.17699711260827719</c:v>
                </c:pt>
                <c:pt idx="224">
                  <c:v>-0.17353224254090471</c:v>
                </c:pt>
                <c:pt idx="225">
                  <c:v>-0.17728585178055822</c:v>
                </c:pt>
                <c:pt idx="226">
                  <c:v>-0.1726660250240617</c:v>
                </c:pt>
                <c:pt idx="227">
                  <c:v>-0.17459095283926851</c:v>
                </c:pt>
                <c:pt idx="228">
                  <c:v>-0.1703561116458133</c:v>
                </c:pt>
                <c:pt idx="229">
                  <c:v>-0.17228103946102025</c:v>
                </c:pt>
                <c:pt idx="230">
                  <c:v>-0.17199230028873921</c:v>
                </c:pt>
                <c:pt idx="231">
                  <c:v>-0.17670837343599613</c:v>
                </c:pt>
                <c:pt idx="232">
                  <c:v>-0.17131857555341684</c:v>
                </c:pt>
                <c:pt idx="233">
                  <c:v>-0.17045235803657369</c:v>
                </c:pt>
                <c:pt idx="234">
                  <c:v>-0.17324350336862368</c:v>
                </c:pt>
                <c:pt idx="235">
                  <c:v>-0.17151106833493751</c:v>
                </c:pt>
                <c:pt idx="236">
                  <c:v>-0.170837343599615</c:v>
                </c:pt>
                <c:pt idx="237">
                  <c:v>-0.17228103946102025</c:v>
                </c:pt>
                <c:pt idx="238">
                  <c:v>-0.17430221366698748</c:v>
                </c:pt>
                <c:pt idx="239">
                  <c:v>-0.1731472569778634</c:v>
                </c:pt>
                <c:pt idx="240">
                  <c:v>-0.16804619826756503</c:v>
                </c:pt>
                <c:pt idx="241">
                  <c:v>-0.17179980750721854</c:v>
                </c:pt>
                <c:pt idx="242">
                  <c:v>-0.17247353224254092</c:v>
                </c:pt>
                <c:pt idx="243">
                  <c:v>-0.17401347449470655</c:v>
                </c:pt>
                <c:pt idx="244">
                  <c:v>-0.17632338787295482</c:v>
                </c:pt>
                <c:pt idx="245">
                  <c:v>-0.17420596727622722</c:v>
                </c:pt>
                <c:pt idx="246">
                  <c:v>-0.17430221366698748</c:v>
                </c:pt>
                <c:pt idx="247">
                  <c:v>-0.16641000962463912</c:v>
                </c:pt>
                <c:pt idx="248">
                  <c:v>-0.16823869104908568</c:v>
                </c:pt>
                <c:pt idx="249">
                  <c:v>-0.1716073147256979</c:v>
                </c:pt>
                <c:pt idx="250">
                  <c:v>-0.17141482194417709</c:v>
                </c:pt>
                <c:pt idx="251">
                  <c:v>-0.1716073147256979</c:v>
                </c:pt>
                <c:pt idx="252">
                  <c:v>-0.16891241578440819</c:v>
                </c:pt>
                <c:pt idx="253">
                  <c:v>-0.15572666025024068</c:v>
                </c:pt>
                <c:pt idx="254">
                  <c:v>-0.15784408084696827</c:v>
                </c:pt>
                <c:pt idx="255">
                  <c:v>-0.16005774783445628</c:v>
                </c:pt>
                <c:pt idx="256">
                  <c:v>-0.15948026948989419</c:v>
                </c:pt>
                <c:pt idx="257">
                  <c:v>-0.16082771896053905</c:v>
                </c:pt>
                <c:pt idx="258">
                  <c:v>-0.16400384985563046</c:v>
                </c:pt>
                <c:pt idx="259">
                  <c:v>-0.16390760346487007</c:v>
                </c:pt>
                <c:pt idx="260">
                  <c:v>-0.16852743022136674</c:v>
                </c:pt>
                <c:pt idx="261">
                  <c:v>-0.17045235803657369</c:v>
                </c:pt>
                <c:pt idx="262">
                  <c:v>-0.17324350336862368</c:v>
                </c:pt>
                <c:pt idx="263">
                  <c:v>-0.1782483156881618</c:v>
                </c:pt>
                <c:pt idx="264">
                  <c:v>-0.1787295476419635</c:v>
                </c:pt>
                <c:pt idx="265">
                  <c:v>-0.17776708373435995</c:v>
                </c:pt>
                <c:pt idx="266">
                  <c:v>-0.180269489894129</c:v>
                </c:pt>
                <c:pt idx="267">
                  <c:v>-0.1797882579403273</c:v>
                </c:pt>
                <c:pt idx="268">
                  <c:v>-0.1830606352261791</c:v>
                </c:pt>
                <c:pt idx="269">
                  <c:v>-0.18440808469682396</c:v>
                </c:pt>
                <c:pt idx="270">
                  <c:v>-0.18238691049085662</c:v>
                </c:pt>
                <c:pt idx="271">
                  <c:v>-0.17718960538979797</c:v>
                </c:pt>
                <c:pt idx="272">
                  <c:v>-0.17459095283926851</c:v>
                </c:pt>
                <c:pt idx="273">
                  <c:v>-0.18152069297401346</c:v>
                </c:pt>
                <c:pt idx="274">
                  <c:v>-0.18209817131857556</c:v>
                </c:pt>
                <c:pt idx="275">
                  <c:v>-0.1807507218479307</c:v>
                </c:pt>
                <c:pt idx="276">
                  <c:v>-0.18315688161693935</c:v>
                </c:pt>
                <c:pt idx="277">
                  <c:v>-0.18286814244465832</c:v>
                </c:pt>
                <c:pt idx="278">
                  <c:v>-0.1726660250240617</c:v>
                </c:pt>
                <c:pt idx="279">
                  <c:v>-0.17199230028873921</c:v>
                </c:pt>
                <c:pt idx="280">
                  <c:v>-0.1736284889316651</c:v>
                </c:pt>
                <c:pt idx="281">
                  <c:v>-0.1697786333012512</c:v>
                </c:pt>
                <c:pt idx="282">
                  <c:v>-0.17170356111645815</c:v>
                </c:pt>
                <c:pt idx="283">
                  <c:v>-0.16997112608277198</c:v>
                </c:pt>
                <c:pt idx="284">
                  <c:v>-0.17487969201154957</c:v>
                </c:pt>
                <c:pt idx="285">
                  <c:v>-0.17170356111645815</c:v>
                </c:pt>
                <c:pt idx="286">
                  <c:v>-0.17016361886429265</c:v>
                </c:pt>
                <c:pt idx="287">
                  <c:v>-0.17391722810394616</c:v>
                </c:pt>
                <c:pt idx="288">
                  <c:v>-0.16843118383060635</c:v>
                </c:pt>
                <c:pt idx="289">
                  <c:v>-0.17151106833493751</c:v>
                </c:pt>
                <c:pt idx="290">
                  <c:v>-0.17122232916265645</c:v>
                </c:pt>
                <c:pt idx="291">
                  <c:v>-0.1688161693936478</c:v>
                </c:pt>
                <c:pt idx="292">
                  <c:v>-0.17016361886429265</c:v>
                </c:pt>
                <c:pt idx="293">
                  <c:v>-0.170837343599615</c:v>
                </c:pt>
                <c:pt idx="294">
                  <c:v>-0.17382098171318577</c:v>
                </c:pt>
                <c:pt idx="295">
                  <c:v>-0.17199230028873921</c:v>
                </c:pt>
                <c:pt idx="296">
                  <c:v>-0.17738209817131864</c:v>
                </c:pt>
                <c:pt idx="297">
                  <c:v>-0.17882579403272389</c:v>
                </c:pt>
                <c:pt idx="298">
                  <c:v>-0.17603464870067378</c:v>
                </c:pt>
                <c:pt idx="299">
                  <c:v>-0.17786333012512034</c:v>
                </c:pt>
                <c:pt idx="300">
                  <c:v>-0.17718960538979797</c:v>
                </c:pt>
                <c:pt idx="301">
                  <c:v>-0.17834456207892205</c:v>
                </c:pt>
                <c:pt idx="302">
                  <c:v>-0.17959576515880663</c:v>
                </c:pt>
                <c:pt idx="303">
                  <c:v>-0.18517805582290672</c:v>
                </c:pt>
                <c:pt idx="304">
                  <c:v>-0.18710298363811367</c:v>
                </c:pt>
                <c:pt idx="305">
                  <c:v>-0.18806544754571708</c:v>
                </c:pt>
                <c:pt idx="306">
                  <c:v>-0.19239653512993271</c:v>
                </c:pt>
                <c:pt idx="307">
                  <c:v>-0.18979788257940325</c:v>
                </c:pt>
                <c:pt idx="308">
                  <c:v>-0.19153031761308956</c:v>
                </c:pt>
                <c:pt idx="309">
                  <c:v>-0.19740134744947069</c:v>
                </c:pt>
                <c:pt idx="310">
                  <c:v>-0.19951876804619831</c:v>
                </c:pt>
                <c:pt idx="311">
                  <c:v>-0.2021174205967276</c:v>
                </c:pt>
                <c:pt idx="312">
                  <c:v>-0.20500481231953813</c:v>
                </c:pt>
                <c:pt idx="313">
                  <c:v>-0.20692974013474494</c:v>
                </c:pt>
                <c:pt idx="314">
                  <c:v>-0.21924927815206929</c:v>
                </c:pt>
                <c:pt idx="315">
                  <c:v>-0.2214629451395573</c:v>
                </c:pt>
                <c:pt idx="316">
                  <c:v>-0.22771896053897989</c:v>
                </c:pt>
                <c:pt idx="317">
                  <c:v>-0.23589990375360928</c:v>
                </c:pt>
                <c:pt idx="318">
                  <c:v>-0.24600577478344562</c:v>
                </c:pt>
                <c:pt idx="319">
                  <c:v>-0.25255052935514927</c:v>
                </c:pt>
                <c:pt idx="320">
                  <c:v>-0.26005774783445629</c:v>
                </c:pt>
                <c:pt idx="321">
                  <c:v>-0.26862367661212716</c:v>
                </c:pt>
                <c:pt idx="322">
                  <c:v>-0.27536092396535128</c:v>
                </c:pt>
                <c:pt idx="323">
                  <c:v>-0.28854667949951879</c:v>
                </c:pt>
                <c:pt idx="324">
                  <c:v>-0.29971126082771893</c:v>
                </c:pt>
                <c:pt idx="325">
                  <c:v>-0.3205004812319539</c:v>
                </c:pt>
                <c:pt idx="326">
                  <c:v>-0.32521655437921082</c:v>
                </c:pt>
                <c:pt idx="327">
                  <c:v>-0.32868142444658327</c:v>
                </c:pt>
                <c:pt idx="328">
                  <c:v>-0.33897978825794028</c:v>
                </c:pt>
                <c:pt idx="329">
                  <c:v>-0.34831568816169406</c:v>
                </c:pt>
                <c:pt idx="330">
                  <c:v>-0.36852743022136675</c:v>
                </c:pt>
                <c:pt idx="331">
                  <c:v>-0.37921077959576521</c:v>
                </c:pt>
                <c:pt idx="332">
                  <c:v>-0.38257940327237727</c:v>
                </c:pt>
                <c:pt idx="333">
                  <c:v>-0.39509143407122232</c:v>
                </c:pt>
                <c:pt idx="334">
                  <c:v>-0.40019249278152075</c:v>
                </c:pt>
                <c:pt idx="335">
                  <c:v>-0.40567853705486046</c:v>
                </c:pt>
                <c:pt idx="336">
                  <c:v>-0.41809432146294517</c:v>
                </c:pt>
                <c:pt idx="337">
                  <c:v>-0.42127045235803656</c:v>
                </c:pt>
                <c:pt idx="338">
                  <c:v>-0.43512993262752653</c:v>
                </c:pt>
                <c:pt idx="339">
                  <c:v>-0.43416746871992307</c:v>
                </c:pt>
                <c:pt idx="340">
                  <c:v>-0.43378248315688167</c:v>
                </c:pt>
                <c:pt idx="341">
                  <c:v>-0.43368623676612128</c:v>
                </c:pt>
                <c:pt idx="342">
                  <c:v>-0.44725697786333019</c:v>
                </c:pt>
                <c:pt idx="343">
                  <c:v>-0.45611164581328206</c:v>
                </c:pt>
                <c:pt idx="344">
                  <c:v>-0.46063522617901831</c:v>
                </c:pt>
                <c:pt idx="345">
                  <c:v>-0.46265640038498562</c:v>
                </c:pt>
                <c:pt idx="346">
                  <c:v>-0.46910490856592885</c:v>
                </c:pt>
                <c:pt idx="347">
                  <c:v>-0.47487969201154956</c:v>
                </c:pt>
                <c:pt idx="348">
                  <c:v>-0.47064485081809437</c:v>
                </c:pt>
                <c:pt idx="349">
                  <c:v>-0.47237728585178057</c:v>
                </c:pt>
                <c:pt idx="350">
                  <c:v>-0.47228103946102024</c:v>
                </c:pt>
                <c:pt idx="351">
                  <c:v>-0.47767083734359961</c:v>
                </c:pt>
                <c:pt idx="352">
                  <c:v>-0.48248315688161691</c:v>
                </c:pt>
                <c:pt idx="353">
                  <c:v>-0.4812319538017325</c:v>
                </c:pt>
                <c:pt idx="354">
                  <c:v>-0.4829643888354187</c:v>
                </c:pt>
                <c:pt idx="355">
                  <c:v>-0.48383060635226177</c:v>
                </c:pt>
                <c:pt idx="356">
                  <c:v>-0.47959576515880659</c:v>
                </c:pt>
                <c:pt idx="357">
                  <c:v>-0.4829643888354187</c:v>
                </c:pt>
                <c:pt idx="358">
                  <c:v>-0.48286814244465837</c:v>
                </c:pt>
                <c:pt idx="359">
                  <c:v>-0.48248315688161691</c:v>
                </c:pt>
                <c:pt idx="360">
                  <c:v>-0.47959576515880659</c:v>
                </c:pt>
                <c:pt idx="361">
                  <c:v>-0.4770933589990376</c:v>
                </c:pt>
                <c:pt idx="362">
                  <c:v>-0.47690086621751687</c:v>
                </c:pt>
                <c:pt idx="363">
                  <c:v>-0.47680461982675654</c:v>
                </c:pt>
                <c:pt idx="364">
                  <c:v>-0.47574590952839274</c:v>
                </c:pt>
                <c:pt idx="365">
                  <c:v>-0.47228103946102024</c:v>
                </c:pt>
                <c:pt idx="366">
                  <c:v>-0.46564003849855629</c:v>
                </c:pt>
                <c:pt idx="367">
                  <c:v>-0.45072184793070263</c:v>
                </c:pt>
                <c:pt idx="368">
                  <c:v>-0.44793070259865259</c:v>
                </c:pt>
                <c:pt idx="369">
                  <c:v>-0.44744947064485086</c:v>
                </c:pt>
                <c:pt idx="370">
                  <c:v>-0.44494706448508181</c:v>
                </c:pt>
                <c:pt idx="371">
                  <c:v>-0.45755534167468725</c:v>
                </c:pt>
                <c:pt idx="372">
                  <c:v>-0.45986525505293557</c:v>
                </c:pt>
                <c:pt idx="373">
                  <c:v>-0.46717998075072187</c:v>
                </c:pt>
                <c:pt idx="374">
                  <c:v>-0.46554379210779595</c:v>
                </c:pt>
                <c:pt idx="375">
                  <c:v>-0.46410009624639081</c:v>
                </c:pt>
                <c:pt idx="376">
                  <c:v>-0.45986525505293557</c:v>
                </c:pt>
                <c:pt idx="377">
                  <c:v>-0.4672762271414822</c:v>
                </c:pt>
                <c:pt idx="378">
                  <c:v>-0.46217516843118384</c:v>
                </c:pt>
                <c:pt idx="379">
                  <c:v>-0.46304138594802696</c:v>
                </c:pt>
                <c:pt idx="380">
                  <c:v>-0.468334937439846</c:v>
                </c:pt>
                <c:pt idx="381">
                  <c:v>-0.46785370548604432</c:v>
                </c:pt>
                <c:pt idx="382">
                  <c:v>-0.47969201154956692</c:v>
                </c:pt>
                <c:pt idx="383">
                  <c:v>-0.47757459095283927</c:v>
                </c:pt>
                <c:pt idx="384">
                  <c:v>-0.47526467757459095</c:v>
                </c:pt>
                <c:pt idx="385">
                  <c:v>-0.47478344562078922</c:v>
                </c:pt>
                <c:pt idx="386">
                  <c:v>-0.47025986525505298</c:v>
                </c:pt>
                <c:pt idx="387">
                  <c:v>-0.47372473532242543</c:v>
                </c:pt>
                <c:pt idx="388">
                  <c:v>-0.48277189605389798</c:v>
                </c:pt>
                <c:pt idx="389">
                  <c:v>-0.47006737247353225</c:v>
                </c:pt>
                <c:pt idx="390">
                  <c:v>-0.46794995187680466</c:v>
                </c:pt>
                <c:pt idx="391">
                  <c:v>-0.46948989412897024</c:v>
                </c:pt>
                <c:pt idx="392">
                  <c:v>-0.47343599615014437</c:v>
                </c:pt>
                <c:pt idx="393">
                  <c:v>-0.47141482194417711</c:v>
                </c:pt>
                <c:pt idx="394">
                  <c:v>-0.48392685274302216</c:v>
                </c:pt>
                <c:pt idx="395">
                  <c:v>-0.48267564966313764</c:v>
                </c:pt>
                <c:pt idx="396">
                  <c:v>-0.48777670837343601</c:v>
                </c:pt>
                <c:pt idx="397">
                  <c:v>-0.48537054860442735</c:v>
                </c:pt>
                <c:pt idx="398">
                  <c:v>-0.48806544754571707</c:v>
                </c:pt>
                <c:pt idx="399">
                  <c:v>-0.48864292589027913</c:v>
                </c:pt>
                <c:pt idx="400">
                  <c:v>-0.49027911453320505</c:v>
                </c:pt>
                <c:pt idx="401">
                  <c:v>-0.49018286814244472</c:v>
                </c:pt>
                <c:pt idx="402">
                  <c:v>-0.49326275264677577</c:v>
                </c:pt>
                <c:pt idx="403">
                  <c:v>-0.49143407122232918</c:v>
                </c:pt>
                <c:pt idx="404">
                  <c:v>-0.48739172281039467</c:v>
                </c:pt>
                <c:pt idx="405">
                  <c:v>-0.48671799807507221</c:v>
                </c:pt>
                <c:pt idx="406">
                  <c:v>-0.48806544754571707</c:v>
                </c:pt>
                <c:pt idx="407">
                  <c:v>-0.48777670837343601</c:v>
                </c:pt>
                <c:pt idx="408">
                  <c:v>-0.48460057747834462</c:v>
                </c:pt>
                <c:pt idx="409">
                  <c:v>-0.48363811357074116</c:v>
                </c:pt>
                <c:pt idx="410">
                  <c:v>-0.48537054860442735</c:v>
                </c:pt>
                <c:pt idx="411">
                  <c:v>-0.48065447545717038</c:v>
                </c:pt>
                <c:pt idx="412">
                  <c:v>-0.48450433108758423</c:v>
                </c:pt>
                <c:pt idx="413">
                  <c:v>-0.48623676612127048</c:v>
                </c:pt>
                <c:pt idx="414">
                  <c:v>-0.48565928777670841</c:v>
                </c:pt>
                <c:pt idx="415">
                  <c:v>-0.48508180943214635</c:v>
                </c:pt>
                <c:pt idx="416">
                  <c:v>-0.48315688161693937</c:v>
                </c:pt>
                <c:pt idx="417">
                  <c:v>-0.48469682386910495</c:v>
                </c:pt>
                <c:pt idx="418">
                  <c:v>-0.48142444658325312</c:v>
                </c:pt>
                <c:pt idx="419">
                  <c:v>-0.48200192492781524</c:v>
                </c:pt>
                <c:pt idx="420">
                  <c:v>-0.48026948989412899</c:v>
                </c:pt>
                <c:pt idx="421">
                  <c:v>-0.48161693936477384</c:v>
                </c:pt>
                <c:pt idx="422">
                  <c:v>-0.47487969201154956</c:v>
                </c:pt>
                <c:pt idx="423">
                  <c:v>-0.48200192492781524</c:v>
                </c:pt>
                <c:pt idx="424">
                  <c:v>-0.48719923002887394</c:v>
                </c:pt>
                <c:pt idx="425">
                  <c:v>-0.48931665062560153</c:v>
                </c:pt>
                <c:pt idx="426">
                  <c:v>-0.48036573628488932</c:v>
                </c:pt>
                <c:pt idx="427">
                  <c:v>-0.48152069297401351</c:v>
                </c:pt>
                <c:pt idx="428">
                  <c:v>-0.48200192492781524</c:v>
                </c:pt>
                <c:pt idx="429">
                  <c:v>-0.47747834456207894</c:v>
                </c:pt>
                <c:pt idx="430">
                  <c:v>-0.47699711260827721</c:v>
                </c:pt>
                <c:pt idx="431">
                  <c:v>-0.47613089509143408</c:v>
                </c:pt>
                <c:pt idx="432">
                  <c:v>-0.47160731472569783</c:v>
                </c:pt>
                <c:pt idx="433">
                  <c:v>-0.46361886429258908</c:v>
                </c:pt>
                <c:pt idx="434">
                  <c:v>-0.46130895091434077</c:v>
                </c:pt>
                <c:pt idx="435">
                  <c:v>-0.45726660250240619</c:v>
                </c:pt>
                <c:pt idx="436">
                  <c:v>-0.45120307988450431</c:v>
                </c:pt>
                <c:pt idx="437">
                  <c:v>-0.44687199230028879</c:v>
                </c:pt>
                <c:pt idx="438">
                  <c:v>-0.44100096246390763</c:v>
                </c:pt>
                <c:pt idx="439">
                  <c:v>-0.44359961501443695</c:v>
                </c:pt>
                <c:pt idx="440">
                  <c:v>-0.43724735322425412</c:v>
                </c:pt>
                <c:pt idx="441">
                  <c:v>-0.43031761308950922</c:v>
                </c:pt>
                <c:pt idx="442">
                  <c:v>-0.4252165543792108</c:v>
                </c:pt>
                <c:pt idx="443">
                  <c:v>-0.42290664100096248</c:v>
                </c:pt>
                <c:pt idx="444">
                  <c:v>-0.41751684311838305</c:v>
                </c:pt>
                <c:pt idx="445">
                  <c:v>-0.4192492781520693</c:v>
                </c:pt>
                <c:pt idx="446">
                  <c:v>-0.42502406159769007</c:v>
                </c:pt>
                <c:pt idx="447">
                  <c:v>-0.42810394610202118</c:v>
                </c:pt>
                <c:pt idx="448">
                  <c:v>-0.43397497593840234</c:v>
                </c:pt>
                <c:pt idx="449">
                  <c:v>-0.43715110683349379</c:v>
                </c:pt>
                <c:pt idx="450">
                  <c:v>-0.43666987487969205</c:v>
                </c:pt>
                <c:pt idx="451">
                  <c:v>-0.43368623676612128</c:v>
                </c:pt>
                <c:pt idx="452">
                  <c:v>-0.43214629451395575</c:v>
                </c:pt>
                <c:pt idx="453">
                  <c:v>-0.43291626564003849</c:v>
                </c:pt>
                <c:pt idx="454">
                  <c:v>-0.43301251203079894</c:v>
                </c:pt>
                <c:pt idx="455">
                  <c:v>-0.43397497593840234</c:v>
                </c:pt>
                <c:pt idx="456">
                  <c:v>-0.43233878729547648</c:v>
                </c:pt>
                <c:pt idx="457">
                  <c:v>-0.4297401347449471</c:v>
                </c:pt>
                <c:pt idx="458">
                  <c:v>-0.42232916265640041</c:v>
                </c:pt>
                <c:pt idx="459">
                  <c:v>-0.42223291626564008</c:v>
                </c:pt>
                <c:pt idx="460">
                  <c:v>-0.42261790182868142</c:v>
                </c:pt>
                <c:pt idx="461">
                  <c:v>-0.42204042348411941</c:v>
                </c:pt>
                <c:pt idx="462">
                  <c:v>-0.42771896053897979</c:v>
                </c:pt>
                <c:pt idx="463">
                  <c:v>-0.4286814244465833</c:v>
                </c:pt>
                <c:pt idx="464">
                  <c:v>-0.42723772858517811</c:v>
                </c:pt>
                <c:pt idx="465">
                  <c:v>-0.42377285851780566</c:v>
                </c:pt>
                <c:pt idx="466">
                  <c:v>-0.42569778633301253</c:v>
                </c:pt>
                <c:pt idx="467">
                  <c:v>-0.42107795957651595</c:v>
                </c:pt>
                <c:pt idx="468">
                  <c:v>-0.41154956689124161</c:v>
                </c:pt>
                <c:pt idx="469">
                  <c:v>-0.41539942252165546</c:v>
                </c:pt>
                <c:pt idx="470">
                  <c:v>-0.41520692974013479</c:v>
                </c:pt>
                <c:pt idx="471">
                  <c:v>-0.41183830606352267</c:v>
                </c:pt>
                <c:pt idx="472">
                  <c:v>-0.41135707410972094</c:v>
                </c:pt>
                <c:pt idx="473">
                  <c:v>-0.41116458132820022</c:v>
                </c:pt>
                <c:pt idx="474">
                  <c:v>-0.41328200192492787</c:v>
                </c:pt>
                <c:pt idx="475">
                  <c:v>-0.40798845043310883</c:v>
                </c:pt>
                <c:pt idx="476">
                  <c:v>-0.40404234841193459</c:v>
                </c:pt>
                <c:pt idx="477">
                  <c:v>-0.40683349374398459</c:v>
                </c:pt>
                <c:pt idx="478">
                  <c:v>-0.39615014436958618</c:v>
                </c:pt>
                <c:pt idx="479">
                  <c:v>-0.39720885466794997</c:v>
                </c:pt>
                <c:pt idx="480">
                  <c:v>-0.39085659287776714</c:v>
                </c:pt>
                <c:pt idx="481">
                  <c:v>-0.3775745909528393</c:v>
                </c:pt>
                <c:pt idx="482">
                  <c:v>-0.37526467757459103</c:v>
                </c:pt>
                <c:pt idx="483">
                  <c:v>-0.36679499518768044</c:v>
                </c:pt>
                <c:pt idx="484">
                  <c:v>-0.3653512993262753</c:v>
                </c:pt>
                <c:pt idx="485">
                  <c:v>-0.35264677574590952</c:v>
                </c:pt>
                <c:pt idx="486">
                  <c:v>-0.35033686236766126</c:v>
                </c:pt>
                <c:pt idx="487">
                  <c:v>-0.34427333974975949</c:v>
                </c:pt>
                <c:pt idx="488">
                  <c:v>-0.3435033686236767</c:v>
                </c:pt>
                <c:pt idx="489">
                  <c:v>-0.34966313763233892</c:v>
                </c:pt>
                <c:pt idx="490">
                  <c:v>-0.34975938402309914</c:v>
                </c:pt>
                <c:pt idx="491">
                  <c:v>-0.351106833493744</c:v>
                </c:pt>
                <c:pt idx="492">
                  <c:v>-0.34985563041385953</c:v>
                </c:pt>
                <c:pt idx="493">
                  <c:v>-0.34947064485081808</c:v>
                </c:pt>
                <c:pt idx="494">
                  <c:v>-0.34975938402309914</c:v>
                </c:pt>
                <c:pt idx="495">
                  <c:v>-0.34706448508180943</c:v>
                </c:pt>
                <c:pt idx="496">
                  <c:v>-0.34533205004812328</c:v>
                </c:pt>
                <c:pt idx="497">
                  <c:v>-0.33387872954764208</c:v>
                </c:pt>
                <c:pt idx="498">
                  <c:v>-0.32868142444658327</c:v>
                </c:pt>
                <c:pt idx="499">
                  <c:v>-0.32848893166506266</c:v>
                </c:pt>
                <c:pt idx="500">
                  <c:v>-0.31357074109720895</c:v>
                </c:pt>
                <c:pt idx="501">
                  <c:v>-0.32175168431183837</c:v>
                </c:pt>
                <c:pt idx="502">
                  <c:v>-0.32512030798845043</c:v>
                </c:pt>
                <c:pt idx="503">
                  <c:v>-0.32396535129932635</c:v>
                </c:pt>
                <c:pt idx="504">
                  <c:v>-0.3330125120307989</c:v>
                </c:pt>
                <c:pt idx="505">
                  <c:v>-0.3455245428296439</c:v>
                </c:pt>
                <c:pt idx="506">
                  <c:v>-0.35283926852743031</c:v>
                </c:pt>
                <c:pt idx="507">
                  <c:v>-0.36400384985563045</c:v>
                </c:pt>
                <c:pt idx="508">
                  <c:v>-0.36929740134744948</c:v>
                </c:pt>
                <c:pt idx="509">
                  <c:v>-0.37632338787295483</c:v>
                </c:pt>
                <c:pt idx="510">
                  <c:v>-0.38315688161693939</c:v>
                </c:pt>
                <c:pt idx="511">
                  <c:v>-0.39364773820981719</c:v>
                </c:pt>
                <c:pt idx="512">
                  <c:v>-0.40057747834456209</c:v>
                </c:pt>
                <c:pt idx="513">
                  <c:v>-0.40221366698748801</c:v>
                </c:pt>
                <c:pt idx="514">
                  <c:v>-0.39711260827718964</c:v>
                </c:pt>
                <c:pt idx="515">
                  <c:v>-0.40096246390760348</c:v>
                </c:pt>
                <c:pt idx="516">
                  <c:v>-0.40375360923965353</c:v>
                </c:pt>
                <c:pt idx="517">
                  <c:v>-0.40182868142444661</c:v>
                </c:pt>
                <c:pt idx="518">
                  <c:v>-0.39547641963426372</c:v>
                </c:pt>
                <c:pt idx="519">
                  <c:v>-0.4</c:v>
                </c:pt>
                <c:pt idx="520">
                  <c:v>-0.40856592877767084</c:v>
                </c:pt>
                <c:pt idx="521">
                  <c:v>-0.40202117420596728</c:v>
                </c:pt>
                <c:pt idx="522">
                  <c:v>-0.3963426371511069</c:v>
                </c:pt>
                <c:pt idx="523">
                  <c:v>-0.39538017324350339</c:v>
                </c:pt>
                <c:pt idx="524">
                  <c:v>-0.39095283926852747</c:v>
                </c:pt>
                <c:pt idx="525">
                  <c:v>-0.39643888354186718</c:v>
                </c:pt>
                <c:pt idx="526">
                  <c:v>-0.40163618864292588</c:v>
                </c:pt>
                <c:pt idx="527">
                  <c:v>-0.40202117420596728</c:v>
                </c:pt>
                <c:pt idx="528">
                  <c:v>-0.40211742059672767</c:v>
                </c:pt>
                <c:pt idx="529">
                  <c:v>-0.39874879692011556</c:v>
                </c:pt>
                <c:pt idx="530">
                  <c:v>-0.39778633301251204</c:v>
                </c:pt>
                <c:pt idx="531">
                  <c:v>-0.39509143407122232</c:v>
                </c:pt>
                <c:pt idx="532">
                  <c:v>-0.39258902791145334</c:v>
                </c:pt>
                <c:pt idx="533">
                  <c:v>-0.39489894128970171</c:v>
                </c:pt>
                <c:pt idx="534">
                  <c:v>-0.39307025986525507</c:v>
                </c:pt>
                <c:pt idx="535">
                  <c:v>-0.39258902791145334</c:v>
                </c:pt>
                <c:pt idx="536">
                  <c:v>-0.39451395572666031</c:v>
                </c:pt>
                <c:pt idx="537">
                  <c:v>-0.40038498556304147</c:v>
                </c:pt>
                <c:pt idx="538">
                  <c:v>-0.40105871029836387</c:v>
                </c:pt>
                <c:pt idx="539">
                  <c:v>-0.3963426371511069</c:v>
                </c:pt>
                <c:pt idx="540">
                  <c:v>-0.39355149181905685</c:v>
                </c:pt>
                <c:pt idx="541">
                  <c:v>-0.39586140519730512</c:v>
                </c:pt>
                <c:pt idx="542">
                  <c:v>-0.39605389797882584</c:v>
                </c:pt>
                <c:pt idx="543">
                  <c:v>-0.39518768046198266</c:v>
                </c:pt>
                <c:pt idx="544">
                  <c:v>-0.39489894128970171</c:v>
                </c:pt>
                <c:pt idx="545">
                  <c:v>-0.39461020211742065</c:v>
                </c:pt>
                <c:pt idx="546">
                  <c:v>-0.39297401347449473</c:v>
                </c:pt>
                <c:pt idx="547">
                  <c:v>-0.39364773820981719</c:v>
                </c:pt>
                <c:pt idx="548">
                  <c:v>-0.39133782483156881</c:v>
                </c:pt>
                <c:pt idx="549">
                  <c:v>-0.39201154956689127</c:v>
                </c:pt>
                <c:pt idx="550">
                  <c:v>-0.39489894128970171</c:v>
                </c:pt>
                <c:pt idx="551">
                  <c:v>-0.39499518768046205</c:v>
                </c:pt>
                <c:pt idx="552">
                  <c:v>-0.39605389797882584</c:v>
                </c:pt>
                <c:pt idx="553">
                  <c:v>-0.39730510105871036</c:v>
                </c:pt>
                <c:pt idx="554">
                  <c:v>-0.39894128970163617</c:v>
                </c:pt>
                <c:pt idx="555">
                  <c:v>-0.39749759384023103</c:v>
                </c:pt>
                <c:pt idx="556">
                  <c:v>-0.40038498556304147</c:v>
                </c:pt>
                <c:pt idx="557">
                  <c:v>-0.40500481231953805</c:v>
                </c:pt>
                <c:pt idx="558">
                  <c:v>-0.40538979788257945</c:v>
                </c:pt>
                <c:pt idx="559">
                  <c:v>-0.40606352261790185</c:v>
                </c:pt>
                <c:pt idx="560">
                  <c:v>-0.40741097208854671</c:v>
                </c:pt>
                <c:pt idx="561">
                  <c:v>-0.40818094321462944</c:v>
                </c:pt>
                <c:pt idx="562">
                  <c:v>-0.40827718960538983</c:v>
                </c:pt>
                <c:pt idx="563">
                  <c:v>-0.41299326275264681</c:v>
                </c:pt>
                <c:pt idx="564">
                  <c:v>-0.41655437921077965</c:v>
                </c:pt>
                <c:pt idx="565">
                  <c:v>-0.42117420596727623</c:v>
                </c:pt>
                <c:pt idx="566">
                  <c:v>-0.424157844080847</c:v>
                </c:pt>
                <c:pt idx="567">
                  <c:v>-0.42704523580365739</c:v>
                </c:pt>
                <c:pt idx="568">
                  <c:v>-0.42617901828681432</c:v>
                </c:pt>
                <c:pt idx="569">
                  <c:v>-0.42540904716073147</c:v>
                </c:pt>
                <c:pt idx="570">
                  <c:v>-0.42502406159769007</c:v>
                </c:pt>
                <c:pt idx="571">
                  <c:v>-0.42820019249278157</c:v>
                </c:pt>
                <c:pt idx="572">
                  <c:v>-0.4293551491819057</c:v>
                </c:pt>
                <c:pt idx="573">
                  <c:v>-0.43108758421559196</c:v>
                </c:pt>
                <c:pt idx="574">
                  <c:v>-0.43445620789220407</c:v>
                </c:pt>
                <c:pt idx="575">
                  <c:v>-0.43705486044273339</c:v>
                </c:pt>
                <c:pt idx="576">
                  <c:v>-0.43917228103946104</c:v>
                </c:pt>
                <c:pt idx="577">
                  <c:v>-0.44167468719923009</c:v>
                </c:pt>
                <c:pt idx="578">
                  <c:v>-0.44090471607314724</c:v>
                </c:pt>
                <c:pt idx="579">
                  <c:v>-0.44071222329162663</c:v>
                </c:pt>
                <c:pt idx="580">
                  <c:v>-0.44244465832531282</c:v>
                </c:pt>
                <c:pt idx="581">
                  <c:v>-0.44600577478344561</c:v>
                </c:pt>
                <c:pt idx="582">
                  <c:v>-0.44080846968238691</c:v>
                </c:pt>
                <c:pt idx="583">
                  <c:v>-0.43984600577478344</c:v>
                </c:pt>
                <c:pt idx="584">
                  <c:v>-0.4402309913378249</c:v>
                </c:pt>
                <c:pt idx="585">
                  <c:v>-0.44080846968238691</c:v>
                </c:pt>
                <c:pt idx="586">
                  <c:v>-0.43994225216554383</c:v>
                </c:pt>
                <c:pt idx="587">
                  <c:v>-0.43330125120307988</c:v>
                </c:pt>
                <c:pt idx="588">
                  <c:v>-0.43378248315688167</c:v>
                </c:pt>
                <c:pt idx="589">
                  <c:v>-0.4353224254090472</c:v>
                </c:pt>
                <c:pt idx="590">
                  <c:v>-0.43253128007699715</c:v>
                </c:pt>
                <c:pt idx="591">
                  <c:v>-0.43358999037536095</c:v>
                </c:pt>
                <c:pt idx="592">
                  <c:v>-0.43089509143407123</c:v>
                </c:pt>
                <c:pt idx="593">
                  <c:v>-0.42560153994225219</c:v>
                </c:pt>
                <c:pt idx="594">
                  <c:v>-0.42752646775745917</c:v>
                </c:pt>
                <c:pt idx="595">
                  <c:v>-0.4286814244465833</c:v>
                </c:pt>
                <c:pt idx="596">
                  <c:v>-0.42473532242540907</c:v>
                </c:pt>
                <c:pt idx="597">
                  <c:v>-0.42502406159769007</c:v>
                </c:pt>
                <c:pt idx="598">
                  <c:v>-0.42569778633301253</c:v>
                </c:pt>
                <c:pt idx="599">
                  <c:v>-0.42800769971126085</c:v>
                </c:pt>
                <c:pt idx="600">
                  <c:v>-0.4293551491819057</c:v>
                </c:pt>
                <c:pt idx="601">
                  <c:v>-0.4286814244465833</c:v>
                </c:pt>
                <c:pt idx="602">
                  <c:v>-0.43262752646775748</c:v>
                </c:pt>
                <c:pt idx="603">
                  <c:v>-0.43618864292589032</c:v>
                </c:pt>
                <c:pt idx="604">
                  <c:v>-0.43647738209817138</c:v>
                </c:pt>
                <c:pt idx="605">
                  <c:v>-0.43917228103946104</c:v>
                </c:pt>
                <c:pt idx="606">
                  <c:v>-0.44321462945139561</c:v>
                </c:pt>
                <c:pt idx="607">
                  <c:v>-0.43965351299326277</c:v>
                </c:pt>
                <c:pt idx="608">
                  <c:v>-0.44234841193455249</c:v>
                </c:pt>
                <c:pt idx="609">
                  <c:v>-0.44648700673724739</c:v>
                </c:pt>
                <c:pt idx="610">
                  <c:v>-0.44629451395572667</c:v>
                </c:pt>
                <c:pt idx="611">
                  <c:v>-0.44398460057747835</c:v>
                </c:pt>
                <c:pt idx="612">
                  <c:v>-0.44446583253128014</c:v>
                </c:pt>
                <c:pt idx="613">
                  <c:v>-0.44456207892204047</c:v>
                </c:pt>
                <c:pt idx="614">
                  <c:v>-0.4411934552454283</c:v>
                </c:pt>
                <c:pt idx="615">
                  <c:v>-0.44032723772858523</c:v>
                </c:pt>
                <c:pt idx="616">
                  <c:v>-0.4405197305101059</c:v>
                </c:pt>
                <c:pt idx="617">
                  <c:v>-0.44889316650625605</c:v>
                </c:pt>
                <c:pt idx="618">
                  <c:v>-0.45255052935514917</c:v>
                </c:pt>
                <c:pt idx="619">
                  <c:v>-0.44783445620789225</c:v>
                </c:pt>
                <c:pt idx="620">
                  <c:v>-0.44619826756496633</c:v>
                </c:pt>
                <c:pt idx="621">
                  <c:v>-0.44927815206929744</c:v>
                </c:pt>
                <c:pt idx="622">
                  <c:v>-0.44831568816169398</c:v>
                </c:pt>
                <c:pt idx="623">
                  <c:v>-0.45264677574590956</c:v>
                </c:pt>
                <c:pt idx="624">
                  <c:v>-0.45717035611164586</c:v>
                </c:pt>
                <c:pt idx="625">
                  <c:v>-0.45986525505293557</c:v>
                </c:pt>
                <c:pt idx="626">
                  <c:v>-0.45996150144369591</c:v>
                </c:pt>
                <c:pt idx="627">
                  <c:v>-0.45967276227141485</c:v>
                </c:pt>
                <c:pt idx="628">
                  <c:v>-0.45899903753609239</c:v>
                </c:pt>
                <c:pt idx="629">
                  <c:v>-0.46256015399422523</c:v>
                </c:pt>
                <c:pt idx="630">
                  <c:v>-0.45630413859480273</c:v>
                </c:pt>
                <c:pt idx="631">
                  <c:v>-0.45428296438883542</c:v>
                </c:pt>
                <c:pt idx="632">
                  <c:v>-0.45765158806544753</c:v>
                </c:pt>
                <c:pt idx="633">
                  <c:v>-0.45784408084696826</c:v>
                </c:pt>
                <c:pt idx="634">
                  <c:v>-0.45938402309913379</c:v>
                </c:pt>
                <c:pt idx="635">
                  <c:v>-0.44908565928777672</c:v>
                </c:pt>
                <c:pt idx="636">
                  <c:v>-0.44677574590952845</c:v>
                </c:pt>
                <c:pt idx="637">
                  <c:v>-0.44600577478344561</c:v>
                </c:pt>
                <c:pt idx="638">
                  <c:v>-0.43782483156881624</c:v>
                </c:pt>
                <c:pt idx="639">
                  <c:v>-0.43638113570741099</c:v>
                </c:pt>
                <c:pt idx="640">
                  <c:v>-0.43301251203079894</c:v>
                </c:pt>
                <c:pt idx="641">
                  <c:v>-0.43397497593840234</c:v>
                </c:pt>
                <c:pt idx="642">
                  <c:v>-0.43743984600577479</c:v>
                </c:pt>
                <c:pt idx="643">
                  <c:v>-0.43840230991337825</c:v>
                </c:pt>
                <c:pt idx="644">
                  <c:v>-0.43022136669874878</c:v>
                </c:pt>
                <c:pt idx="645">
                  <c:v>-0.42791145332050051</c:v>
                </c:pt>
                <c:pt idx="646">
                  <c:v>-0.42887391722810392</c:v>
                </c:pt>
                <c:pt idx="647">
                  <c:v>-0.4307988450433109</c:v>
                </c:pt>
                <c:pt idx="648">
                  <c:v>-0.43031761308950922</c:v>
                </c:pt>
                <c:pt idx="649">
                  <c:v>-0.43022136669874878</c:v>
                </c:pt>
                <c:pt idx="650">
                  <c:v>-0.43195380173243503</c:v>
                </c:pt>
                <c:pt idx="651">
                  <c:v>-0.43349374398460061</c:v>
                </c:pt>
                <c:pt idx="652">
                  <c:v>-0.43147256977863335</c:v>
                </c:pt>
                <c:pt idx="653">
                  <c:v>-0.43002887391722816</c:v>
                </c:pt>
                <c:pt idx="654">
                  <c:v>-0.42839268527430224</c:v>
                </c:pt>
                <c:pt idx="655">
                  <c:v>-0.43205004812319542</c:v>
                </c:pt>
                <c:pt idx="656">
                  <c:v>-0.42492781520692979</c:v>
                </c:pt>
                <c:pt idx="657">
                  <c:v>-0.424157844080847</c:v>
                </c:pt>
                <c:pt idx="658">
                  <c:v>-0.42550529355149186</c:v>
                </c:pt>
                <c:pt idx="659">
                  <c:v>-0.42358036573628494</c:v>
                </c:pt>
                <c:pt idx="660">
                  <c:v>-0.42136669874879695</c:v>
                </c:pt>
                <c:pt idx="661">
                  <c:v>-0.42232916265640041</c:v>
                </c:pt>
                <c:pt idx="662">
                  <c:v>-0.42502406159769007</c:v>
                </c:pt>
                <c:pt idx="663">
                  <c:v>-0.42271414821944181</c:v>
                </c:pt>
                <c:pt idx="664">
                  <c:v>-0.42329162656400388</c:v>
                </c:pt>
                <c:pt idx="665">
                  <c:v>-0.41992300288739171</c:v>
                </c:pt>
                <c:pt idx="666">
                  <c:v>-0.41684311838306065</c:v>
                </c:pt>
                <c:pt idx="667">
                  <c:v>-0.41578440808469685</c:v>
                </c:pt>
                <c:pt idx="668">
                  <c:v>-0.41154956689124161</c:v>
                </c:pt>
                <c:pt idx="669">
                  <c:v>-0.40741097208854671</c:v>
                </c:pt>
                <c:pt idx="670">
                  <c:v>-0.4043310875842156</c:v>
                </c:pt>
                <c:pt idx="671">
                  <c:v>-0.40163618864292588</c:v>
                </c:pt>
                <c:pt idx="672">
                  <c:v>-0.40009624639076041</c:v>
                </c:pt>
                <c:pt idx="673">
                  <c:v>-0.39538017324350339</c:v>
                </c:pt>
                <c:pt idx="674">
                  <c:v>-0.38960538979788262</c:v>
                </c:pt>
                <c:pt idx="675">
                  <c:v>-0.38883541867179983</c:v>
                </c:pt>
                <c:pt idx="676">
                  <c:v>-0.39615014436958618</c:v>
                </c:pt>
                <c:pt idx="677">
                  <c:v>-0.39923002887391723</c:v>
                </c:pt>
                <c:pt idx="678">
                  <c:v>-0.40307988450433108</c:v>
                </c:pt>
                <c:pt idx="679">
                  <c:v>-0.4</c:v>
                </c:pt>
                <c:pt idx="680">
                  <c:v>-0.40028873917228103</c:v>
                </c:pt>
                <c:pt idx="681">
                  <c:v>-0.40134744947064488</c:v>
                </c:pt>
                <c:pt idx="682">
                  <c:v>-0.39663137632338791</c:v>
                </c:pt>
                <c:pt idx="683">
                  <c:v>-0.39133782483156881</c:v>
                </c:pt>
                <c:pt idx="684">
                  <c:v>-0.39037536092396535</c:v>
                </c:pt>
                <c:pt idx="685">
                  <c:v>-0.38816169393647743</c:v>
                </c:pt>
                <c:pt idx="686">
                  <c:v>-0.38517805582290665</c:v>
                </c:pt>
                <c:pt idx="687">
                  <c:v>-0.38113570741097214</c:v>
                </c:pt>
                <c:pt idx="688">
                  <c:v>-0.3740134744947064</c:v>
                </c:pt>
                <c:pt idx="689">
                  <c:v>-0.36939364773820987</c:v>
                </c:pt>
                <c:pt idx="690">
                  <c:v>-0.36756496631376334</c:v>
                </c:pt>
                <c:pt idx="691">
                  <c:v>-0.36275264677574598</c:v>
                </c:pt>
                <c:pt idx="692">
                  <c:v>-0.36429258902791151</c:v>
                </c:pt>
                <c:pt idx="693">
                  <c:v>-0.36275264677574598</c:v>
                </c:pt>
                <c:pt idx="694">
                  <c:v>-0.35447545717035622</c:v>
                </c:pt>
                <c:pt idx="695">
                  <c:v>-0.34850818094321467</c:v>
                </c:pt>
                <c:pt idx="696">
                  <c:v>-0.34793070259865261</c:v>
                </c:pt>
                <c:pt idx="697">
                  <c:v>-0.34735322425409049</c:v>
                </c:pt>
                <c:pt idx="698">
                  <c:v>-0.34590952839268535</c:v>
                </c:pt>
                <c:pt idx="699">
                  <c:v>-0.34128970163618871</c:v>
                </c:pt>
                <c:pt idx="700">
                  <c:v>-0.34148219441770933</c:v>
                </c:pt>
                <c:pt idx="701">
                  <c:v>-0.33811357074109727</c:v>
                </c:pt>
                <c:pt idx="702">
                  <c:v>-0.32858517805582288</c:v>
                </c:pt>
                <c:pt idx="703">
                  <c:v>-0.32685274302213674</c:v>
                </c:pt>
                <c:pt idx="704">
                  <c:v>-0.32059672762271413</c:v>
                </c:pt>
                <c:pt idx="705">
                  <c:v>-0.3131857555341675</c:v>
                </c:pt>
                <c:pt idx="706">
                  <c:v>-0.31020211742059672</c:v>
                </c:pt>
                <c:pt idx="707">
                  <c:v>-0.30538979788257942</c:v>
                </c:pt>
                <c:pt idx="708">
                  <c:v>-0.30346487006737249</c:v>
                </c:pt>
                <c:pt idx="709">
                  <c:v>-0.30057747834456211</c:v>
                </c:pt>
                <c:pt idx="710">
                  <c:v>-0.29797882579403279</c:v>
                </c:pt>
                <c:pt idx="711">
                  <c:v>-0.29634263715110687</c:v>
                </c:pt>
                <c:pt idx="712">
                  <c:v>-0.29807507218479307</c:v>
                </c:pt>
                <c:pt idx="713">
                  <c:v>-0.29672762271414832</c:v>
                </c:pt>
                <c:pt idx="714">
                  <c:v>-0.28575553416746879</c:v>
                </c:pt>
                <c:pt idx="715">
                  <c:v>-0.28383060635226187</c:v>
                </c:pt>
                <c:pt idx="716">
                  <c:v>-0.28161693936477383</c:v>
                </c:pt>
                <c:pt idx="717">
                  <c:v>-0.28248315688161701</c:v>
                </c:pt>
                <c:pt idx="718">
                  <c:v>-0.28421559191530316</c:v>
                </c:pt>
                <c:pt idx="719">
                  <c:v>-0.28344562078922042</c:v>
                </c:pt>
                <c:pt idx="720">
                  <c:v>-0.28132820019249283</c:v>
                </c:pt>
                <c:pt idx="721">
                  <c:v>-0.28142444658325322</c:v>
                </c:pt>
                <c:pt idx="722">
                  <c:v>-0.29210779595765163</c:v>
                </c:pt>
                <c:pt idx="723">
                  <c:v>-0.29297401347449481</c:v>
                </c:pt>
                <c:pt idx="724">
                  <c:v>-0.29345524542829649</c:v>
                </c:pt>
                <c:pt idx="725">
                  <c:v>-0.29278152069297403</c:v>
                </c:pt>
                <c:pt idx="726">
                  <c:v>-0.29624639076034648</c:v>
                </c:pt>
                <c:pt idx="727">
                  <c:v>-0.30211742059672764</c:v>
                </c:pt>
                <c:pt idx="728">
                  <c:v>-0.30259865255052948</c:v>
                </c:pt>
                <c:pt idx="729">
                  <c:v>-0.2996150144369587</c:v>
                </c:pt>
                <c:pt idx="730">
                  <c:v>-0.30038498556304144</c:v>
                </c:pt>
                <c:pt idx="731">
                  <c:v>-0.30153994225216563</c:v>
                </c:pt>
                <c:pt idx="732">
                  <c:v>-0.30250240615976903</c:v>
                </c:pt>
                <c:pt idx="733">
                  <c:v>-0.29653512993262754</c:v>
                </c:pt>
                <c:pt idx="734">
                  <c:v>-0.29547641963426374</c:v>
                </c:pt>
                <c:pt idx="735">
                  <c:v>-0.29220404234841191</c:v>
                </c:pt>
                <c:pt idx="736">
                  <c:v>-0.29143407122232917</c:v>
                </c:pt>
                <c:pt idx="737">
                  <c:v>-0.29095283926852744</c:v>
                </c:pt>
                <c:pt idx="738">
                  <c:v>-0.29499518768046201</c:v>
                </c:pt>
                <c:pt idx="739">
                  <c:v>-0.29807507218479307</c:v>
                </c:pt>
                <c:pt idx="740">
                  <c:v>-0.29846005774783446</c:v>
                </c:pt>
                <c:pt idx="741">
                  <c:v>-0.3</c:v>
                </c:pt>
                <c:pt idx="742">
                  <c:v>-0.29990375360923976</c:v>
                </c:pt>
                <c:pt idx="743">
                  <c:v>-0.3026948989412897</c:v>
                </c:pt>
                <c:pt idx="744">
                  <c:v>-0.3</c:v>
                </c:pt>
                <c:pt idx="745">
                  <c:v>-0.29894128970163619</c:v>
                </c:pt>
                <c:pt idx="746">
                  <c:v>-0.30038498556304144</c:v>
                </c:pt>
                <c:pt idx="747">
                  <c:v>-0.30076997112608278</c:v>
                </c:pt>
                <c:pt idx="748">
                  <c:v>-0.30038498556304144</c:v>
                </c:pt>
                <c:pt idx="749">
                  <c:v>-0.29797882579403279</c:v>
                </c:pt>
                <c:pt idx="750">
                  <c:v>-0.29749759384023106</c:v>
                </c:pt>
                <c:pt idx="751">
                  <c:v>-0.29605389797882581</c:v>
                </c:pt>
                <c:pt idx="752">
                  <c:v>-0.28796920115495667</c:v>
                </c:pt>
                <c:pt idx="753">
                  <c:v>-0.28556304138594801</c:v>
                </c:pt>
                <c:pt idx="754">
                  <c:v>-0.284696823869105</c:v>
                </c:pt>
                <c:pt idx="755">
                  <c:v>-0.27901828681424456</c:v>
                </c:pt>
                <c:pt idx="756">
                  <c:v>-0.27892204042348412</c:v>
                </c:pt>
                <c:pt idx="757">
                  <c:v>-0.28113570741097216</c:v>
                </c:pt>
                <c:pt idx="758">
                  <c:v>-0.27844080846968244</c:v>
                </c:pt>
                <c:pt idx="759">
                  <c:v>-0.28373435996150148</c:v>
                </c:pt>
                <c:pt idx="760">
                  <c:v>-0.2853705486044274</c:v>
                </c:pt>
                <c:pt idx="761">
                  <c:v>-0.2892204042348413</c:v>
                </c:pt>
                <c:pt idx="762">
                  <c:v>-0.28758421559191538</c:v>
                </c:pt>
                <c:pt idx="763">
                  <c:v>-0.28681424446583265</c:v>
                </c:pt>
                <c:pt idx="764">
                  <c:v>-0.28893166506256024</c:v>
                </c:pt>
                <c:pt idx="765">
                  <c:v>-0.28912415784408091</c:v>
                </c:pt>
                <c:pt idx="766">
                  <c:v>-0.2873917228103946</c:v>
                </c:pt>
                <c:pt idx="767">
                  <c:v>-0.28729547641963432</c:v>
                </c:pt>
                <c:pt idx="768">
                  <c:v>-0.28306063522617908</c:v>
                </c:pt>
                <c:pt idx="769">
                  <c:v>-0.28017324350336859</c:v>
                </c:pt>
                <c:pt idx="770">
                  <c:v>-0.27824831568816177</c:v>
                </c:pt>
                <c:pt idx="771">
                  <c:v>-0.27507218479307038</c:v>
                </c:pt>
                <c:pt idx="772">
                  <c:v>-0.27237728585178067</c:v>
                </c:pt>
                <c:pt idx="773">
                  <c:v>-0.26814244465832532</c:v>
                </c:pt>
                <c:pt idx="774">
                  <c:v>-0.26448508180943214</c:v>
                </c:pt>
                <c:pt idx="775">
                  <c:v>-0.25659287776708384</c:v>
                </c:pt>
                <c:pt idx="776">
                  <c:v>-0.25640038498556306</c:v>
                </c:pt>
                <c:pt idx="777">
                  <c:v>-0.24966313763233888</c:v>
                </c:pt>
                <c:pt idx="778">
                  <c:v>-0.23965351299326279</c:v>
                </c:pt>
                <c:pt idx="779">
                  <c:v>-0.2384985563041386</c:v>
                </c:pt>
                <c:pt idx="780">
                  <c:v>-0.23137632338787301</c:v>
                </c:pt>
                <c:pt idx="781">
                  <c:v>-0.23368623676612127</c:v>
                </c:pt>
                <c:pt idx="782">
                  <c:v>-0.24051973051010594</c:v>
                </c:pt>
                <c:pt idx="783">
                  <c:v>-0.21790182868142444</c:v>
                </c:pt>
                <c:pt idx="784">
                  <c:v>-0.19518768046198268</c:v>
                </c:pt>
                <c:pt idx="785">
                  <c:v>-0.189701636188643</c:v>
                </c:pt>
                <c:pt idx="786">
                  <c:v>-0.18334937439846016</c:v>
                </c:pt>
                <c:pt idx="787">
                  <c:v>-0.16583253128007702</c:v>
                </c:pt>
                <c:pt idx="788">
                  <c:v>-0.1609239653512993</c:v>
                </c:pt>
                <c:pt idx="789">
                  <c:v>-0.15611164581328199</c:v>
                </c:pt>
                <c:pt idx="790">
                  <c:v>-0.15794032723772869</c:v>
                </c:pt>
                <c:pt idx="791">
                  <c:v>-0.15620789220404238</c:v>
                </c:pt>
                <c:pt idx="792">
                  <c:v>-0.15447545717035621</c:v>
                </c:pt>
                <c:pt idx="793">
                  <c:v>-0.14619826756496643</c:v>
                </c:pt>
                <c:pt idx="794">
                  <c:v>-0.14802694898941299</c:v>
                </c:pt>
                <c:pt idx="795">
                  <c:v>-0.14263715110683356</c:v>
                </c:pt>
                <c:pt idx="796">
                  <c:v>-0.13965351299326279</c:v>
                </c:pt>
                <c:pt idx="797">
                  <c:v>-0.13493743984600587</c:v>
                </c:pt>
                <c:pt idx="798">
                  <c:v>-0.13541867179980757</c:v>
                </c:pt>
                <c:pt idx="799">
                  <c:v>-0.13128007699711261</c:v>
                </c:pt>
                <c:pt idx="800">
                  <c:v>-0.13060635226179024</c:v>
                </c:pt>
                <c:pt idx="801">
                  <c:v>-0.13205004812319537</c:v>
                </c:pt>
                <c:pt idx="802">
                  <c:v>-0.13301251203079892</c:v>
                </c:pt>
                <c:pt idx="803">
                  <c:v>-0.1324350336862368</c:v>
                </c:pt>
                <c:pt idx="804">
                  <c:v>-0.13628488931665073</c:v>
                </c:pt>
                <c:pt idx="805">
                  <c:v>-0.14225216554379211</c:v>
                </c:pt>
                <c:pt idx="806">
                  <c:v>-0.14398460057747842</c:v>
                </c:pt>
                <c:pt idx="807">
                  <c:v>-0.15380173243503373</c:v>
                </c:pt>
                <c:pt idx="808">
                  <c:v>-0.15428296438883543</c:v>
                </c:pt>
                <c:pt idx="809">
                  <c:v>-0.15582290664100107</c:v>
                </c:pt>
                <c:pt idx="810">
                  <c:v>-0.16631376323387873</c:v>
                </c:pt>
                <c:pt idx="811">
                  <c:v>-0.17256977863330131</c:v>
                </c:pt>
                <c:pt idx="812">
                  <c:v>-0.1836381135707412</c:v>
                </c:pt>
                <c:pt idx="813">
                  <c:v>-0.18546679499518776</c:v>
                </c:pt>
                <c:pt idx="814">
                  <c:v>-0.18354186717998081</c:v>
                </c:pt>
                <c:pt idx="815">
                  <c:v>-0.17949951876804623</c:v>
                </c:pt>
                <c:pt idx="816">
                  <c:v>-0.17497593840230996</c:v>
                </c:pt>
                <c:pt idx="817">
                  <c:v>-0.17641963426371521</c:v>
                </c:pt>
                <c:pt idx="818">
                  <c:v>-0.18209817131857556</c:v>
                </c:pt>
                <c:pt idx="819">
                  <c:v>-0.17901828681424453</c:v>
                </c:pt>
                <c:pt idx="820">
                  <c:v>-0.18469682386910502</c:v>
                </c:pt>
                <c:pt idx="821">
                  <c:v>-0.19364773820981718</c:v>
                </c:pt>
                <c:pt idx="822">
                  <c:v>-0.19643888354186728</c:v>
                </c:pt>
                <c:pt idx="823">
                  <c:v>-0.20529355149181916</c:v>
                </c:pt>
                <c:pt idx="824">
                  <c:v>-0.2110683349374399</c:v>
                </c:pt>
                <c:pt idx="825">
                  <c:v>-0.21462945139557277</c:v>
                </c:pt>
                <c:pt idx="826">
                  <c:v>-0.22483156881616936</c:v>
                </c:pt>
                <c:pt idx="827">
                  <c:v>-0.22531280076997121</c:v>
                </c:pt>
                <c:pt idx="828">
                  <c:v>-0.22646775745909528</c:v>
                </c:pt>
                <c:pt idx="829">
                  <c:v>-0.22877767083734368</c:v>
                </c:pt>
                <c:pt idx="830">
                  <c:v>-0.23897978825794045</c:v>
                </c:pt>
                <c:pt idx="831">
                  <c:v>-0.23917228103946109</c:v>
                </c:pt>
                <c:pt idx="832">
                  <c:v>-0.25303176130895094</c:v>
                </c:pt>
                <c:pt idx="833">
                  <c:v>-0.26487006737247359</c:v>
                </c:pt>
                <c:pt idx="834">
                  <c:v>-0.26920115495668911</c:v>
                </c:pt>
                <c:pt idx="835">
                  <c:v>-0.27747834456207904</c:v>
                </c:pt>
                <c:pt idx="836">
                  <c:v>-0.28450433108758422</c:v>
                </c:pt>
                <c:pt idx="837">
                  <c:v>-0.29191530317613101</c:v>
                </c:pt>
                <c:pt idx="838">
                  <c:v>-0.29624639076034648</c:v>
                </c:pt>
                <c:pt idx="839">
                  <c:v>-0.29672762271414832</c:v>
                </c:pt>
                <c:pt idx="840">
                  <c:v>-0.29807507218479307</c:v>
                </c:pt>
                <c:pt idx="841">
                  <c:v>-0.30048123195380172</c:v>
                </c:pt>
                <c:pt idx="842">
                  <c:v>-0.30134744947064485</c:v>
                </c:pt>
                <c:pt idx="843">
                  <c:v>-0.30673724735322427</c:v>
                </c:pt>
                <c:pt idx="844">
                  <c:v>-0.31453320500481236</c:v>
                </c:pt>
                <c:pt idx="845">
                  <c:v>-0.31539942252165554</c:v>
                </c:pt>
                <c:pt idx="846">
                  <c:v>-0.31434071222329174</c:v>
                </c:pt>
                <c:pt idx="847">
                  <c:v>-0.31838306063522626</c:v>
                </c:pt>
                <c:pt idx="848">
                  <c:v>-0.33185755534167471</c:v>
                </c:pt>
                <c:pt idx="849">
                  <c:v>-0.33426371511068337</c:v>
                </c:pt>
                <c:pt idx="850">
                  <c:v>-0.33638113570741096</c:v>
                </c:pt>
                <c:pt idx="851">
                  <c:v>-0.33734359961501453</c:v>
                </c:pt>
                <c:pt idx="852">
                  <c:v>-0.33695861405197308</c:v>
                </c:pt>
                <c:pt idx="853">
                  <c:v>-0.33570741097208862</c:v>
                </c:pt>
                <c:pt idx="854">
                  <c:v>-0.33628488931665074</c:v>
                </c:pt>
                <c:pt idx="855">
                  <c:v>-0.33079884504331092</c:v>
                </c:pt>
                <c:pt idx="856">
                  <c:v>-0.33792107795957649</c:v>
                </c:pt>
                <c:pt idx="857">
                  <c:v>-0.34812319538017322</c:v>
                </c:pt>
                <c:pt idx="858">
                  <c:v>-0.34581328200192496</c:v>
                </c:pt>
                <c:pt idx="859">
                  <c:v>-0.3489894128970164</c:v>
                </c:pt>
                <c:pt idx="860">
                  <c:v>-0.34927815206929747</c:v>
                </c:pt>
                <c:pt idx="861">
                  <c:v>-0.35033686236766126</c:v>
                </c:pt>
                <c:pt idx="862">
                  <c:v>-0.35168431183830612</c:v>
                </c:pt>
                <c:pt idx="863">
                  <c:v>-0.34485081809432155</c:v>
                </c:pt>
                <c:pt idx="864">
                  <c:v>-0.3444658325312801</c:v>
                </c:pt>
                <c:pt idx="865">
                  <c:v>-0.34138594802694894</c:v>
                </c:pt>
                <c:pt idx="866">
                  <c:v>-0.34292589027911463</c:v>
                </c:pt>
                <c:pt idx="867">
                  <c:v>-0.3451395572666025</c:v>
                </c:pt>
                <c:pt idx="868">
                  <c:v>-0.34956689124157847</c:v>
                </c:pt>
                <c:pt idx="869">
                  <c:v>-0.34889316650625601</c:v>
                </c:pt>
                <c:pt idx="870">
                  <c:v>-0.3549566891241579</c:v>
                </c:pt>
                <c:pt idx="871">
                  <c:v>-0.36785370548604424</c:v>
                </c:pt>
                <c:pt idx="872">
                  <c:v>-0.3719923002887392</c:v>
                </c:pt>
                <c:pt idx="873">
                  <c:v>-0.38257940327237727</c:v>
                </c:pt>
                <c:pt idx="874">
                  <c:v>-0.38354186717998079</c:v>
                </c:pt>
                <c:pt idx="875">
                  <c:v>-0.38941289701636195</c:v>
                </c:pt>
                <c:pt idx="876">
                  <c:v>-0.39027911453320502</c:v>
                </c:pt>
                <c:pt idx="877">
                  <c:v>-0.3918190567853706</c:v>
                </c:pt>
                <c:pt idx="878">
                  <c:v>-0.39384023099133791</c:v>
                </c:pt>
                <c:pt idx="879">
                  <c:v>-0.39451395572666031</c:v>
                </c:pt>
                <c:pt idx="880">
                  <c:v>-0.39624639076034657</c:v>
                </c:pt>
                <c:pt idx="881">
                  <c:v>-0.39576515880654478</c:v>
                </c:pt>
                <c:pt idx="882">
                  <c:v>-0.39518768046198266</c:v>
                </c:pt>
                <c:pt idx="883">
                  <c:v>-0.39432146294513959</c:v>
                </c:pt>
                <c:pt idx="884">
                  <c:v>-0.38989412897016362</c:v>
                </c:pt>
                <c:pt idx="885">
                  <c:v>-0.38825794032723776</c:v>
                </c:pt>
                <c:pt idx="886">
                  <c:v>-0.38383060635226185</c:v>
                </c:pt>
                <c:pt idx="887">
                  <c:v>-0.38402309913378252</c:v>
                </c:pt>
                <c:pt idx="888">
                  <c:v>-0.38296438883541872</c:v>
                </c:pt>
                <c:pt idx="889">
                  <c:v>-0.38652550529355151</c:v>
                </c:pt>
                <c:pt idx="890">
                  <c:v>-0.3869104908565929</c:v>
                </c:pt>
                <c:pt idx="891">
                  <c:v>-0.38748796920115497</c:v>
                </c:pt>
                <c:pt idx="892">
                  <c:v>-0.38873917228103949</c:v>
                </c:pt>
                <c:pt idx="893">
                  <c:v>-0.38845043310875849</c:v>
                </c:pt>
                <c:pt idx="894">
                  <c:v>-0.38681424446583257</c:v>
                </c:pt>
                <c:pt idx="895">
                  <c:v>-0.38402309913378252</c:v>
                </c:pt>
                <c:pt idx="896">
                  <c:v>-0.38392685274302213</c:v>
                </c:pt>
                <c:pt idx="897">
                  <c:v>-0.38719923002887391</c:v>
                </c:pt>
                <c:pt idx="898">
                  <c:v>-0.38806544754571709</c:v>
                </c:pt>
                <c:pt idx="899">
                  <c:v>-0.38777670837343603</c:v>
                </c:pt>
                <c:pt idx="900">
                  <c:v>-0.38739172281039463</c:v>
                </c:pt>
                <c:pt idx="901">
                  <c:v>-0.38508180943214632</c:v>
                </c:pt>
                <c:pt idx="902">
                  <c:v>-0.3869104908565929</c:v>
                </c:pt>
                <c:pt idx="903">
                  <c:v>-0.39008662175168435</c:v>
                </c:pt>
                <c:pt idx="904">
                  <c:v>-0.3911453320500482</c:v>
                </c:pt>
                <c:pt idx="905">
                  <c:v>-0.39047160731472574</c:v>
                </c:pt>
                <c:pt idx="906">
                  <c:v>-0.38565928777670844</c:v>
                </c:pt>
                <c:pt idx="907">
                  <c:v>-0.38527430221366704</c:v>
                </c:pt>
                <c:pt idx="908">
                  <c:v>-0.38373435996150146</c:v>
                </c:pt>
                <c:pt idx="909">
                  <c:v>-0.38354186717998079</c:v>
                </c:pt>
                <c:pt idx="910">
                  <c:v>-0.38094321462945152</c:v>
                </c:pt>
                <c:pt idx="911">
                  <c:v>-0.38075072184793068</c:v>
                </c:pt>
                <c:pt idx="912">
                  <c:v>-0.3793070259865256</c:v>
                </c:pt>
                <c:pt idx="913">
                  <c:v>-0.38152069297401348</c:v>
                </c:pt>
                <c:pt idx="914">
                  <c:v>-0.38123195380173241</c:v>
                </c:pt>
                <c:pt idx="915">
                  <c:v>-0.38075072184793068</c:v>
                </c:pt>
                <c:pt idx="916">
                  <c:v>-0.37892204042348415</c:v>
                </c:pt>
                <c:pt idx="917">
                  <c:v>-0.37844080846968242</c:v>
                </c:pt>
                <c:pt idx="918">
                  <c:v>-0.37728585178055823</c:v>
                </c:pt>
                <c:pt idx="919">
                  <c:v>-0.3765158806544755</c:v>
                </c:pt>
                <c:pt idx="920">
                  <c:v>-0.37613089509143416</c:v>
                </c:pt>
                <c:pt idx="921">
                  <c:v>-0.3729547641963426</c:v>
                </c:pt>
                <c:pt idx="922">
                  <c:v>-0.37372473532242551</c:v>
                </c:pt>
                <c:pt idx="923">
                  <c:v>-0.37468719923002891</c:v>
                </c:pt>
                <c:pt idx="924">
                  <c:v>-0.37410972088546685</c:v>
                </c:pt>
                <c:pt idx="925">
                  <c:v>-0.37362848893166511</c:v>
                </c:pt>
                <c:pt idx="926">
                  <c:v>-0.37256977863330132</c:v>
                </c:pt>
                <c:pt idx="927">
                  <c:v>-0.3709335899903754</c:v>
                </c:pt>
                <c:pt idx="928">
                  <c:v>-0.37122232916265646</c:v>
                </c:pt>
                <c:pt idx="929">
                  <c:v>-0.37131857555341685</c:v>
                </c:pt>
                <c:pt idx="930">
                  <c:v>-0.3768046198267565</c:v>
                </c:pt>
                <c:pt idx="931">
                  <c:v>-0.38094321462945152</c:v>
                </c:pt>
                <c:pt idx="932">
                  <c:v>-0.38084696823869107</c:v>
                </c:pt>
                <c:pt idx="933">
                  <c:v>-0.38055822906641007</c:v>
                </c:pt>
                <c:pt idx="934">
                  <c:v>-0.38075072184793068</c:v>
                </c:pt>
                <c:pt idx="935">
                  <c:v>-0.38055822906641007</c:v>
                </c:pt>
                <c:pt idx="936">
                  <c:v>-0.38152069297401348</c:v>
                </c:pt>
                <c:pt idx="937">
                  <c:v>-0.38103946102021174</c:v>
                </c:pt>
                <c:pt idx="938">
                  <c:v>-0.37853705486044281</c:v>
                </c:pt>
                <c:pt idx="939">
                  <c:v>-0.37661212704523589</c:v>
                </c:pt>
                <c:pt idx="940">
                  <c:v>-0.37507218479307025</c:v>
                </c:pt>
                <c:pt idx="941">
                  <c:v>-0.37353224254090472</c:v>
                </c:pt>
                <c:pt idx="942">
                  <c:v>-0.37151106833493752</c:v>
                </c:pt>
                <c:pt idx="943">
                  <c:v>-0.37256977863330132</c:v>
                </c:pt>
                <c:pt idx="944">
                  <c:v>-0.37237728585178065</c:v>
                </c:pt>
                <c:pt idx="945">
                  <c:v>-0.3729547641963426</c:v>
                </c:pt>
                <c:pt idx="946">
                  <c:v>-0.37459095283926852</c:v>
                </c:pt>
                <c:pt idx="947">
                  <c:v>-0.3747834456207893</c:v>
                </c:pt>
                <c:pt idx="948">
                  <c:v>-0.37324350336862366</c:v>
                </c:pt>
                <c:pt idx="949">
                  <c:v>-0.36929740134744948</c:v>
                </c:pt>
                <c:pt idx="950">
                  <c:v>-0.36968238691049093</c:v>
                </c:pt>
                <c:pt idx="951">
                  <c:v>-0.36852743022136675</c:v>
                </c:pt>
                <c:pt idx="952">
                  <c:v>-0.3698748796920116</c:v>
                </c:pt>
                <c:pt idx="953">
                  <c:v>-0.36833493743984608</c:v>
                </c:pt>
                <c:pt idx="954">
                  <c:v>-0.36804619826756502</c:v>
                </c:pt>
                <c:pt idx="955">
                  <c:v>-0.36756496631376334</c:v>
                </c:pt>
                <c:pt idx="956">
                  <c:v>-0.36631376323387871</c:v>
                </c:pt>
                <c:pt idx="957">
                  <c:v>-0.36448508180943218</c:v>
                </c:pt>
                <c:pt idx="958">
                  <c:v>-0.36246390760346497</c:v>
                </c:pt>
                <c:pt idx="959">
                  <c:v>-0.36333012512030799</c:v>
                </c:pt>
                <c:pt idx="960">
                  <c:v>-0.36063522617901828</c:v>
                </c:pt>
                <c:pt idx="961">
                  <c:v>-0.35813282001924934</c:v>
                </c:pt>
                <c:pt idx="962">
                  <c:v>-0.35707410972088555</c:v>
                </c:pt>
                <c:pt idx="963">
                  <c:v>-0.35659287776708382</c:v>
                </c:pt>
                <c:pt idx="964">
                  <c:v>-0.35437921077959583</c:v>
                </c:pt>
                <c:pt idx="965">
                  <c:v>-0.35216554379210779</c:v>
                </c:pt>
                <c:pt idx="966">
                  <c:v>-0.35187680461982673</c:v>
                </c:pt>
                <c:pt idx="967">
                  <c:v>-0.35168431183830612</c:v>
                </c:pt>
                <c:pt idx="968">
                  <c:v>-0.35072184793070271</c:v>
                </c:pt>
                <c:pt idx="969">
                  <c:v>-0.35014436958614059</c:v>
                </c:pt>
                <c:pt idx="970">
                  <c:v>-0.34918190567853702</c:v>
                </c:pt>
                <c:pt idx="971">
                  <c:v>-0.34927815206929747</c:v>
                </c:pt>
                <c:pt idx="972">
                  <c:v>-0.3489894128970164</c:v>
                </c:pt>
                <c:pt idx="973">
                  <c:v>-0.34870067372473534</c:v>
                </c:pt>
                <c:pt idx="974">
                  <c:v>-0.34725697786333021</c:v>
                </c:pt>
                <c:pt idx="975">
                  <c:v>-0.34321462945139564</c:v>
                </c:pt>
                <c:pt idx="976">
                  <c:v>-0.34167468719923</c:v>
                </c:pt>
                <c:pt idx="977">
                  <c:v>-0.33955726660250241</c:v>
                </c:pt>
                <c:pt idx="978">
                  <c:v>-0.33820981713185755</c:v>
                </c:pt>
                <c:pt idx="979">
                  <c:v>-0.33551491819056783</c:v>
                </c:pt>
                <c:pt idx="980">
                  <c:v>-0.33070259865255053</c:v>
                </c:pt>
                <c:pt idx="981">
                  <c:v>-0.3271414821944178</c:v>
                </c:pt>
                <c:pt idx="982">
                  <c:v>-0.32656400384985568</c:v>
                </c:pt>
                <c:pt idx="983">
                  <c:v>-0.32338787295476429</c:v>
                </c:pt>
                <c:pt idx="984">
                  <c:v>-0.32483156881616937</c:v>
                </c:pt>
                <c:pt idx="985">
                  <c:v>-0.32637151106833501</c:v>
                </c:pt>
                <c:pt idx="986">
                  <c:v>-0.32858517805582288</c:v>
                </c:pt>
                <c:pt idx="987">
                  <c:v>-0.32993262752646774</c:v>
                </c:pt>
                <c:pt idx="988">
                  <c:v>-0.33147256977863337</c:v>
                </c:pt>
                <c:pt idx="989">
                  <c:v>-0.32906641000962472</c:v>
                </c:pt>
                <c:pt idx="990">
                  <c:v>-0.33051010587102986</c:v>
                </c:pt>
                <c:pt idx="991">
                  <c:v>-0.3340712223291627</c:v>
                </c:pt>
                <c:pt idx="992">
                  <c:v>-0.33330125120307996</c:v>
                </c:pt>
                <c:pt idx="993">
                  <c:v>-0.33185755534167471</c:v>
                </c:pt>
                <c:pt idx="994">
                  <c:v>-0.33137632338787298</c:v>
                </c:pt>
                <c:pt idx="995">
                  <c:v>-0.33108758421559198</c:v>
                </c:pt>
                <c:pt idx="996">
                  <c:v>-0.33128007699711259</c:v>
                </c:pt>
                <c:pt idx="997">
                  <c:v>-0.33147256977863337</c:v>
                </c:pt>
                <c:pt idx="998">
                  <c:v>-0.33108758421559198</c:v>
                </c:pt>
                <c:pt idx="999">
                  <c:v>-0.33156881616939365</c:v>
                </c:pt>
                <c:pt idx="1000">
                  <c:v>-0.33224254090471617</c:v>
                </c:pt>
                <c:pt idx="1001">
                  <c:v>-0.33464870067372482</c:v>
                </c:pt>
                <c:pt idx="1002">
                  <c:v>-0.33589990375360929</c:v>
                </c:pt>
                <c:pt idx="1003">
                  <c:v>-0.33647738209817135</c:v>
                </c:pt>
                <c:pt idx="1004">
                  <c:v>-0.33570741097208862</c:v>
                </c:pt>
                <c:pt idx="1005">
                  <c:v>-0.33743984600577481</c:v>
                </c:pt>
                <c:pt idx="1006">
                  <c:v>-0.33792107795957649</c:v>
                </c:pt>
                <c:pt idx="1007">
                  <c:v>-0.34138594802694894</c:v>
                </c:pt>
                <c:pt idx="1008">
                  <c:v>-0.34196342637151106</c:v>
                </c:pt>
                <c:pt idx="1009">
                  <c:v>-0.34157844080846977</c:v>
                </c:pt>
                <c:pt idx="1010">
                  <c:v>-0.34436958614051971</c:v>
                </c:pt>
                <c:pt idx="1011">
                  <c:v>-0.35072184793070271</c:v>
                </c:pt>
                <c:pt idx="1012">
                  <c:v>-0.35476419634263712</c:v>
                </c:pt>
                <c:pt idx="1013">
                  <c:v>-0.35784408084696828</c:v>
                </c:pt>
                <c:pt idx="1014">
                  <c:v>-0.35871029836381141</c:v>
                </c:pt>
                <c:pt idx="1015">
                  <c:v>-0.35813282001924934</c:v>
                </c:pt>
                <c:pt idx="1016">
                  <c:v>-0.36265640038498559</c:v>
                </c:pt>
                <c:pt idx="1017">
                  <c:v>-0.3660250240615977</c:v>
                </c:pt>
                <c:pt idx="1018">
                  <c:v>-0.36515880654475469</c:v>
                </c:pt>
                <c:pt idx="1019">
                  <c:v>-0.36381135707410983</c:v>
                </c:pt>
                <c:pt idx="1020">
                  <c:v>-0.36313763233878732</c:v>
                </c:pt>
                <c:pt idx="1021">
                  <c:v>-0.36207892204042352</c:v>
                </c:pt>
                <c:pt idx="1022">
                  <c:v>-0.360538979788258</c:v>
                </c:pt>
                <c:pt idx="1023">
                  <c:v>-0.36005774783445627</c:v>
                </c:pt>
                <c:pt idx="1024">
                  <c:v>-0.35726660250240616</c:v>
                </c:pt>
                <c:pt idx="1025">
                  <c:v>-0.35428296438883544</c:v>
                </c:pt>
                <c:pt idx="1026">
                  <c:v>-0.35457170356111645</c:v>
                </c:pt>
                <c:pt idx="1027">
                  <c:v>-0.35312800769971137</c:v>
                </c:pt>
                <c:pt idx="1028">
                  <c:v>-0.34870067372473534</c:v>
                </c:pt>
                <c:pt idx="1029">
                  <c:v>-0.34417709335899904</c:v>
                </c:pt>
                <c:pt idx="1030">
                  <c:v>-0.34177093358999039</c:v>
                </c:pt>
                <c:pt idx="1031">
                  <c:v>-0.33782483156881621</c:v>
                </c:pt>
                <c:pt idx="1032">
                  <c:v>-0.33840230991337833</c:v>
                </c:pt>
                <c:pt idx="1033">
                  <c:v>-0.33570741097208862</c:v>
                </c:pt>
                <c:pt idx="1034">
                  <c:v>-0.33455245428296443</c:v>
                </c:pt>
                <c:pt idx="1035">
                  <c:v>-0.33320500481231957</c:v>
                </c:pt>
                <c:pt idx="1036">
                  <c:v>-0.33320500481231957</c:v>
                </c:pt>
                <c:pt idx="1037">
                  <c:v>-0.33079884504331092</c:v>
                </c:pt>
                <c:pt idx="1038">
                  <c:v>-0.32868142444658327</c:v>
                </c:pt>
                <c:pt idx="1039">
                  <c:v>-0.32646775745909529</c:v>
                </c:pt>
                <c:pt idx="1040">
                  <c:v>-0.32406159769008663</c:v>
                </c:pt>
                <c:pt idx="1041">
                  <c:v>-0.32396535129932635</c:v>
                </c:pt>
                <c:pt idx="1042">
                  <c:v>-0.32088546679499519</c:v>
                </c:pt>
                <c:pt idx="1043">
                  <c:v>-0.32021174205967284</c:v>
                </c:pt>
                <c:pt idx="1044">
                  <c:v>-0.31578440808469682</c:v>
                </c:pt>
                <c:pt idx="1045">
                  <c:v>-0.31357074109720895</c:v>
                </c:pt>
                <c:pt idx="1046">
                  <c:v>-0.31126082771896058</c:v>
                </c:pt>
                <c:pt idx="1047">
                  <c:v>-0.307218479307026</c:v>
                </c:pt>
                <c:pt idx="1048">
                  <c:v>-0.30606352261790193</c:v>
                </c:pt>
                <c:pt idx="1049">
                  <c:v>-0.30683349374398466</c:v>
                </c:pt>
                <c:pt idx="1050">
                  <c:v>-0.31472569778633303</c:v>
                </c:pt>
                <c:pt idx="1051">
                  <c:v>-0.31058710298363817</c:v>
                </c:pt>
                <c:pt idx="1052">
                  <c:v>-0.31308950914340711</c:v>
                </c:pt>
                <c:pt idx="1053">
                  <c:v>-0.31424446583253129</c:v>
                </c:pt>
                <c:pt idx="1054">
                  <c:v>-0.31655437921077956</c:v>
                </c:pt>
                <c:pt idx="1055">
                  <c:v>-0.32194417709335899</c:v>
                </c:pt>
                <c:pt idx="1056">
                  <c:v>-0.32309913378248323</c:v>
                </c:pt>
                <c:pt idx="1057">
                  <c:v>-0.32300288739172284</c:v>
                </c:pt>
                <c:pt idx="1058">
                  <c:v>-0.32348411934552451</c:v>
                </c:pt>
                <c:pt idx="1059">
                  <c:v>-0.32271414821944178</c:v>
                </c:pt>
                <c:pt idx="1060">
                  <c:v>-0.32319538017324362</c:v>
                </c:pt>
                <c:pt idx="1061">
                  <c:v>-0.32666025024061607</c:v>
                </c:pt>
                <c:pt idx="1062">
                  <c:v>-0.3274302213666988</c:v>
                </c:pt>
                <c:pt idx="1063">
                  <c:v>-0.33031761308950919</c:v>
                </c:pt>
                <c:pt idx="1064">
                  <c:v>-0.32829643888354182</c:v>
                </c:pt>
                <c:pt idx="1065">
                  <c:v>-0.3302213666987488</c:v>
                </c:pt>
                <c:pt idx="1066">
                  <c:v>-0.33522617901828694</c:v>
                </c:pt>
                <c:pt idx="1067">
                  <c:v>-0.33801732435033688</c:v>
                </c:pt>
                <c:pt idx="1068">
                  <c:v>-0.34812319538017322</c:v>
                </c:pt>
                <c:pt idx="1069">
                  <c:v>-0.35052935514918188</c:v>
                </c:pt>
                <c:pt idx="1070">
                  <c:v>-0.35505293551491818</c:v>
                </c:pt>
                <c:pt idx="1071">
                  <c:v>-0.35697786333012516</c:v>
                </c:pt>
                <c:pt idx="1072">
                  <c:v>-0.36044273339749761</c:v>
                </c:pt>
                <c:pt idx="1073">
                  <c:v>-0.3615014436958614</c:v>
                </c:pt>
                <c:pt idx="1074">
                  <c:v>-0.36130895091434073</c:v>
                </c:pt>
                <c:pt idx="1075">
                  <c:v>-0.35871029836381141</c:v>
                </c:pt>
                <c:pt idx="1076">
                  <c:v>-0.35832531280077001</c:v>
                </c:pt>
                <c:pt idx="1077">
                  <c:v>-0.35832531280077001</c:v>
                </c:pt>
                <c:pt idx="1078">
                  <c:v>-0.35601539942252175</c:v>
                </c:pt>
                <c:pt idx="1079">
                  <c:v>-0.35601539942252175</c:v>
                </c:pt>
                <c:pt idx="1080">
                  <c:v>-0.35466794995187689</c:v>
                </c:pt>
                <c:pt idx="1081">
                  <c:v>-0.35774783445620789</c:v>
                </c:pt>
                <c:pt idx="1082">
                  <c:v>-0.36082771896053906</c:v>
                </c:pt>
                <c:pt idx="1083">
                  <c:v>-0.36410009624639084</c:v>
                </c:pt>
                <c:pt idx="1084">
                  <c:v>-0.36496631376323385</c:v>
                </c:pt>
                <c:pt idx="1085">
                  <c:v>-0.36554379210779597</c:v>
                </c:pt>
                <c:pt idx="1086">
                  <c:v>-0.36948989412897015</c:v>
                </c:pt>
                <c:pt idx="1087">
                  <c:v>-0.37102983638113579</c:v>
                </c:pt>
                <c:pt idx="1088">
                  <c:v>-0.37035611164581328</c:v>
                </c:pt>
                <c:pt idx="1089">
                  <c:v>-0.3709335899903754</c:v>
                </c:pt>
                <c:pt idx="1090">
                  <c:v>-0.37131857555341685</c:v>
                </c:pt>
                <c:pt idx="1091">
                  <c:v>-0.37170356111645814</c:v>
                </c:pt>
                <c:pt idx="1092">
                  <c:v>-0.37112608277189607</c:v>
                </c:pt>
                <c:pt idx="1093">
                  <c:v>-0.37045235803657367</c:v>
                </c:pt>
                <c:pt idx="1094">
                  <c:v>-0.3698748796920116</c:v>
                </c:pt>
                <c:pt idx="1095">
                  <c:v>-0.37064485081809434</c:v>
                </c:pt>
                <c:pt idx="1096">
                  <c:v>-0.37449470644850824</c:v>
                </c:pt>
                <c:pt idx="1097">
                  <c:v>-0.37314725697786338</c:v>
                </c:pt>
                <c:pt idx="1098">
                  <c:v>-0.37536092396535126</c:v>
                </c:pt>
                <c:pt idx="1099">
                  <c:v>-0.37526467757459103</c:v>
                </c:pt>
                <c:pt idx="1100">
                  <c:v>-0.37670837343599611</c:v>
                </c:pt>
                <c:pt idx="1101">
                  <c:v>-0.37882579403272376</c:v>
                </c:pt>
                <c:pt idx="1102">
                  <c:v>-0.37911453320500482</c:v>
                </c:pt>
                <c:pt idx="1103">
                  <c:v>-0.37921077959576521</c:v>
                </c:pt>
                <c:pt idx="1104">
                  <c:v>-0.37882579403272376</c:v>
                </c:pt>
                <c:pt idx="1105">
                  <c:v>-0.38152069297401348</c:v>
                </c:pt>
                <c:pt idx="1106">
                  <c:v>-0.38315688161693939</c:v>
                </c:pt>
                <c:pt idx="1107">
                  <c:v>-0.38373435996150146</c:v>
                </c:pt>
                <c:pt idx="1108">
                  <c:v>-0.38200192492781532</c:v>
                </c:pt>
                <c:pt idx="1109">
                  <c:v>-0.39393647738209819</c:v>
                </c:pt>
                <c:pt idx="1110">
                  <c:v>-0.39316650625601546</c:v>
                </c:pt>
                <c:pt idx="1111">
                  <c:v>-0.39374398460057747</c:v>
                </c:pt>
                <c:pt idx="1112">
                  <c:v>-0.39470644850818098</c:v>
                </c:pt>
                <c:pt idx="1113">
                  <c:v>-0.39393647738209819</c:v>
                </c:pt>
                <c:pt idx="1114">
                  <c:v>-0.39326275264677579</c:v>
                </c:pt>
                <c:pt idx="1115">
                  <c:v>-0.39249278152069306</c:v>
                </c:pt>
                <c:pt idx="1116">
                  <c:v>-0.39278152069297401</c:v>
                </c:pt>
                <c:pt idx="1117">
                  <c:v>-0.39104908565928775</c:v>
                </c:pt>
                <c:pt idx="1118">
                  <c:v>-0.38931665062560156</c:v>
                </c:pt>
                <c:pt idx="1119">
                  <c:v>-0.38979788257940334</c:v>
                </c:pt>
                <c:pt idx="1120">
                  <c:v>-0.38806544754571709</c:v>
                </c:pt>
                <c:pt idx="1121">
                  <c:v>-0.38383060635226185</c:v>
                </c:pt>
                <c:pt idx="1122">
                  <c:v>-0.38277189605389805</c:v>
                </c:pt>
                <c:pt idx="1123">
                  <c:v>-0.38354186717998079</c:v>
                </c:pt>
                <c:pt idx="1124">
                  <c:v>-0.38402309913378252</c:v>
                </c:pt>
                <c:pt idx="1125">
                  <c:v>-0.38103946102021174</c:v>
                </c:pt>
                <c:pt idx="1126">
                  <c:v>-0.38046198267564968</c:v>
                </c:pt>
                <c:pt idx="1127">
                  <c:v>-0.38046198267564968</c:v>
                </c:pt>
                <c:pt idx="1128">
                  <c:v>-0.37911453320500482</c:v>
                </c:pt>
                <c:pt idx="1129">
                  <c:v>-0.37805582290664097</c:v>
                </c:pt>
                <c:pt idx="1130">
                  <c:v>-0.37786333012512036</c:v>
                </c:pt>
                <c:pt idx="1131">
                  <c:v>-0.37661212704523589</c:v>
                </c:pt>
                <c:pt idx="1132">
                  <c:v>-0.37564966313763232</c:v>
                </c:pt>
                <c:pt idx="1133">
                  <c:v>-0.37497593840230997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6-4596-A272-82D51A13E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35775"/>
        <c:axId val="1092459327"/>
      </c:areaChart>
      <c:dateAx>
        <c:axId val="13290357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59327"/>
        <c:crosses val="autoZero"/>
        <c:auto val="0"/>
        <c:lblOffset val="100"/>
        <c:baseTimeUnit val="days"/>
        <c:majorUnit val="6"/>
      </c:dateAx>
      <c:valAx>
        <c:axId val="109245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3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%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Análise_À_Vista!$M$3:$M$57</c:f>
              <c:strCache>
                <c:ptCount val="55"/>
                <c:pt idx="0">
                  <c:v>jan/2022</c:v>
                </c:pt>
                <c:pt idx="1">
                  <c:v>fev/2022</c:v>
                </c:pt>
                <c:pt idx="2">
                  <c:v>mar/2022</c:v>
                </c:pt>
                <c:pt idx="3">
                  <c:v>abr/2022</c:v>
                </c:pt>
                <c:pt idx="4">
                  <c:v>mai/2022</c:v>
                </c:pt>
                <c:pt idx="5">
                  <c:v>jun/2022</c:v>
                </c:pt>
                <c:pt idx="6">
                  <c:v>jul/2022</c:v>
                </c:pt>
                <c:pt idx="7">
                  <c:v>ago/2022</c:v>
                </c:pt>
                <c:pt idx="8">
                  <c:v>set/2022</c:v>
                </c:pt>
                <c:pt idx="9">
                  <c:v>out/2022</c:v>
                </c:pt>
                <c:pt idx="10">
                  <c:v>nov/2022</c:v>
                </c:pt>
                <c:pt idx="11">
                  <c:v>dez/2022</c:v>
                </c:pt>
                <c:pt idx="12">
                  <c:v>jan/2023</c:v>
                </c:pt>
                <c:pt idx="13">
                  <c:v>fev/2023</c:v>
                </c:pt>
                <c:pt idx="14">
                  <c:v>mar/2023</c:v>
                </c:pt>
                <c:pt idx="15">
                  <c:v>abr/2023</c:v>
                </c:pt>
                <c:pt idx="16">
                  <c:v>mai/2023</c:v>
                </c:pt>
                <c:pt idx="17">
                  <c:v>jun/2023</c:v>
                </c:pt>
                <c:pt idx="18">
                  <c:v>jul/2023</c:v>
                </c:pt>
                <c:pt idx="19">
                  <c:v>ago/2023</c:v>
                </c:pt>
                <c:pt idx="20">
                  <c:v>set/2023</c:v>
                </c:pt>
                <c:pt idx="21">
                  <c:v>out/2023</c:v>
                </c:pt>
                <c:pt idx="22">
                  <c:v>nov/2023</c:v>
                </c:pt>
                <c:pt idx="23">
                  <c:v>dez/2023</c:v>
                </c:pt>
                <c:pt idx="24">
                  <c:v>jan/2024</c:v>
                </c:pt>
                <c:pt idx="25">
                  <c:v>fev/2024</c:v>
                </c:pt>
                <c:pt idx="26">
                  <c:v>mar/2024</c:v>
                </c:pt>
                <c:pt idx="27">
                  <c:v>abr/2024</c:v>
                </c:pt>
                <c:pt idx="28">
                  <c:v>mai/2024</c:v>
                </c:pt>
                <c:pt idx="29">
                  <c:v>jun/2024</c:v>
                </c:pt>
                <c:pt idx="30">
                  <c:v>jul/2024</c:v>
                </c:pt>
                <c:pt idx="31">
                  <c:v>ago/2024</c:v>
                </c:pt>
                <c:pt idx="32">
                  <c:v>set/2024</c:v>
                </c:pt>
                <c:pt idx="33">
                  <c:v>out/2024</c:v>
                </c:pt>
                <c:pt idx="34">
                  <c:v>nov/2024</c:v>
                </c:pt>
                <c:pt idx="35">
                  <c:v>dez/2024</c:v>
                </c:pt>
                <c:pt idx="36">
                  <c:v>jan/2025</c:v>
                </c:pt>
                <c:pt idx="37">
                  <c:v>fev/2025</c:v>
                </c:pt>
                <c:pt idx="38">
                  <c:v>mar/2025</c:v>
                </c:pt>
                <c:pt idx="39">
                  <c:v>abr/2025</c:v>
                </c:pt>
                <c:pt idx="40">
                  <c:v>mai/2025</c:v>
                </c:pt>
                <c:pt idx="41">
                  <c:v>jun/2025</c:v>
                </c:pt>
                <c:pt idx="42">
                  <c:v>jul/2025</c:v>
                </c:pt>
                <c:pt idx="43">
                  <c:v>ago/2025</c:v>
                </c:pt>
                <c:pt idx="44">
                  <c:v>set/2025</c:v>
                </c:pt>
                <c:pt idx="45">
                  <c:v>out/2025</c:v>
                </c:pt>
                <c:pt idx="46">
                  <c:v>nov/2025</c:v>
                </c:pt>
                <c:pt idx="47">
                  <c:v>dez/2025</c:v>
                </c:pt>
                <c:pt idx="48">
                  <c:v>jan/2026</c:v>
                </c:pt>
                <c:pt idx="49">
                  <c:v>fev/2026</c:v>
                </c:pt>
                <c:pt idx="50">
                  <c:v>mar/2026</c:v>
                </c:pt>
                <c:pt idx="51">
                  <c:v>abr/2026</c:v>
                </c:pt>
                <c:pt idx="52">
                  <c:v>mai/2026</c:v>
                </c:pt>
                <c:pt idx="53">
                  <c:v>jun/2026</c:v>
                </c:pt>
                <c:pt idx="54">
                  <c:v>jul/2026</c:v>
                </c:pt>
              </c:strCache>
            </c:strRef>
          </c:cat>
          <c:val>
            <c:numRef>
              <c:f>Análise_À_Vista!$O$3:$O$57</c:f>
              <c:numCache>
                <c:formatCode>0.00%</c:formatCode>
                <c:ptCount val="55"/>
                <c:pt idx="0">
                  <c:v>0</c:v>
                </c:pt>
                <c:pt idx="1">
                  <c:v>-6.1601642710474615E-4</c:v>
                </c:pt>
                <c:pt idx="2">
                  <c:v>-5.444832545716044E-2</c:v>
                </c:pt>
                <c:pt idx="3">
                  <c:v>-4.1177748804867513E-2</c:v>
                </c:pt>
                <c:pt idx="4">
                  <c:v>-2.7762039660056689E-2</c:v>
                </c:pt>
                <c:pt idx="5">
                  <c:v>-3.0769230769230778E-2</c:v>
                </c:pt>
                <c:pt idx="6">
                  <c:v>-6.2530062530062056E-3</c:v>
                </c:pt>
                <c:pt idx="7">
                  <c:v>1.2342691190706632E-2</c:v>
                </c:pt>
                <c:pt idx="8">
                  <c:v>9.0843891943581771E-3</c:v>
                </c:pt>
                <c:pt idx="9">
                  <c:v>8.1734186211797882E-3</c:v>
                </c:pt>
                <c:pt idx="10">
                  <c:v>1.0457055575138064E-2</c:v>
                </c:pt>
                <c:pt idx="11">
                  <c:v>8.1395348837201369E-4</c:v>
                </c:pt>
                <c:pt idx="12">
                  <c:v>-3.6017195306144775E-3</c:v>
                </c:pt>
                <c:pt idx="13">
                  <c:v>4.0811567164178442E-3</c:v>
                </c:pt>
                <c:pt idx="14">
                  <c:v>-4.0761816281500468E-2</c:v>
                </c:pt>
                <c:pt idx="15">
                  <c:v>-0.20569007263922515</c:v>
                </c:pt>
                <c:pt idx="16">
                  <c:v>-0.17847889041304679</c:v>
                </c:pt>
                <c:pt idx="17">
                  <c:v>2.7087198515769961E-2</c:v>
                </c:pt>
                <c:pt idx="18">
                  <c:v>-2.9082369942196522E-2</c:v>
                </c:pt>
                <c:pt idx="19">
                  <c:v>2.4186046511628385E-3</c:v>
                </c:pt>
                <c:pt idx="20">
                  <c:v>6.6629547141796516E-2</c:v>
                </c:pt>
                <c:pt idx="21">
                  <c:v>4.4544979989559808E-2</c:v>
                </c:pt>
                <c:pt idx="22">
                  <c:v>4.3311677494586066E-2</c:v>
                </c:pt>
                <c:pt idx="23">
                  <c:v>0.10506147213795292</c:v>
                </c:pt>
                <c:pt idx="24">
                  <c:v>-0.11212252564658275</c:v>
                </c:pt>
                <c:pt idx="25">
                  <c:v>2.0667209113100014E-2</c:v>
                </c:pt>
                <c:pt idx="26">
                  <c:v>-1.610331632653058E-2</c:v>
                </c:pt>
                <c:pt idx="27">
                  <c:v>-6.1254253767622772E-2</c:v>
                </c:pt>
                <c:pt idx="28">
                  <c:v>2.4684964612463313E-2</c:v>
                </c:pt>
                <c:pt idx="29">
                  <c:v>-3.4366576819406996E-2</c:v>
                </c:pt>
                <c:pt idx="30">
                  <c:v>3.6985345429169529E-2</c:v>
                </c:pt>
                <c:pt idx="31">
                  <c:v>1.9347240915208709E-2</c:v>
                </c:pt>
                <c:pt idx="32">
                  <c:v>7.3444462782637443E-2</c:v>
                </c:pt>
                <c:pt idx="33">
                  <c:v>0.12407749077490764</c:v>
                </c:pt>
                <c:pt idx="34">
                  <c:v>-4.6505266037478237E-3</c:v>
                </c:pt>
                <c:pt idx="35">
                  <c:v>-1.0993541294489254E-3</c:v>
                </c:pt>
                <c:pt idx="36">
                  <c:v>3.1641216123263136E-2</c:v>
                </c:pt>
                <c:pt idx="37">
                  <c:v>0.16668889185224697</c:v>
                </c:pt>
                <c:pt idx="38">
                  <c:v>-9.9439935992683779E-3</c:v>
                </c:pt>
                <c:pt idx="39">
                  <c:v>-7.4924959593627438E-2</c:v>
                </c:pt>
                <c:pt idx="40">
                  <c:v>-0.13952327467864711</c:v>
                </c:pt>
                <c:pt idx="41">
                  <c:v>-4.7425670775924522E-2</c:v>
                </c:pt>
                <c:pt idx="42">
                  <c:v>-2.9993909866017139E-2</c:v>
                </c:pt>
                <c:pt idx="43">
                  <c:v>9.8885575262910464E-3</c:v>
                </c:pt>
                <c:pt idx="44">
                  <c:v>-4.6627292508550104E-4</c:v>
                </c:pt>
                <c:pt idx="45">
                  <c:v>2.8611413466023999E-2</c:v>
                </c:pt>
                <c:pt idx="46">
                  <c:v>4.3688586545729408E-2</c:v>
                </c:pt>
                <c:pt idx="47">
                  <c:v>6.6628041714946948E-3</c:v>
                </c:pt>
                <c:pt idx="48">
                  <c:v>-4.8920863309352601E-2</c:v>
                </c:pt>
                <c:pt idx="49">
                  <c:v>5.1891074130106005E-2</c:v>
                </c:pt>
                <c:pt idx="50">
                  <c:v>1.136200201351923E-2</c:v>
                </c:pt>
                <c:pt idx="51">
                  <c:v>-4.8492605233219521E-2</c:v>
                </c:pt>
                <c:pt idx="52">
                  <c:v>-3.2132715588103294E-2</c:v>
                </c:pt>
                <c:pt idx="53">
                  <c:v>-1.1426806670784575E-2</c:v>
                </c:pt>
                <c:pt idx="54">
                  <c:v>1.4370509215870068E-2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6-4B65-8807-69BB789C6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050159"/>
        <c:axId val="1092461247"/>
      </c:barChart>
      <c:catAx>
        <c:axId val="132905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61247"/>
        <c:crosses val="autoZero"/>
        <c:auto val="1"/>
        <c:lblAlgn val="ctr"/>
        <c:lblOffset val="100"/>
        <c:tickLblSkip val="3"/>
        <c:noMultiLvlLbl val="0"/>
      </c:catAx>
      <c:valAx>
        <c:axId val="109246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5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Bandas de Desvio Padrão (</a:t>
            </a:r>
            <a:r>
              <a:rPr lang="el-GR"/>
              <a:t>σ)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Dashboard_À_Vista!$O$24</c:f>
              <c:strCache>
                <c:ptCount val="1"/>
                <c:pt idx="0">
                  <c:v>Diário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Dashboard_À_Vista!$N$25:$N$31</c:f>
              <c:strCache>
                <c:ptCount val="7"/>
                <c:pt idx="0">
                  <c:v>-3σ</c:v>
                </c:pt>
                <c:pt idx="1">
                  <c:v>-2σ</c:v>
                </c:pt>
                <c:pt idx="2">
                  <c:v>-1σ</c:v>
                </c:pt>
                <c:pt idx="3">
                  <c:v>Média</c:v>
                </c:pt>
                <c:pt idx="4">
                  <c:v>+1σ</c:v>
                </c:pt>
                <c:pt idx="5">
                  <c:v>+2σ</c:v>
                </c:pt>
                <c:pt idx="6">
                  <c:v>+3σ</c:v>
                </c:pt>
              </c:strCache>
            </c:strRef>
          </c:cat>
          <c:val>
            <c:numRef>
              <c:f>Dashboard_À_Vista!$O$25:$O$31</c:f>
              <c:numCache>
                <c:formatCode>0.00%</c:formatCode>
                <c:ptCount val="7"/>
                <c:pt idx="0">
                  <c:v>-2.0277946248656788E-2</c:v>
                </c:pt>
                <c:pt idx="1">
                  <c:v>-1.361371358358127E-2</c:v>
                </c:pt>
                <c:pt idx="2">
                  <c:v>-6.9494809185057498E-3</c:v>
                </c:pt>
                <c:pt idx="3">
                  <c:v>-2.852482534302303E-4</c:v>
                </c:pt>
                <c:pt idx="4">
                  <c:v>6.3789844116452898E-3</c:v>
                </c:pt>
                <c:pt idx="5">
                  <c:v>1.304321707672081E-2</c:v>
                </c:pt>
                <c:pt idx="6">
                  <c:v>1.9707449741796328E-2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2-4691-9D7D-F7EF271DA75E}"/>
            </c:ext>
          </c:extLst>
        </c:ser>
        <c:ser>
          <c:idx val="1"/>
          <c:order val="1"/>
          <c:tx>
            <c:strRef>
              <c:f>Dashboard_À_Vista!$P$24</c:f>
              <c:strCache>
                <c:ptCount val="1"/>
                <c:pt idx="0">
                  <c:v>Semanal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Dashboard_À_Vista!$N$25:$N$31</c:f>
              <c:strCache>
                <c:ptCount val="7"/>
                <c:pt idx="0">
                  <c:v>-3σ</c:v>
                </c:pt>
                <c:pt idx="1">
                  <c:v>-2σ</c:v>
                </c:pt>
                <c:pt idx="2">
                  <c:v>-1σ</c:v>
                </c:pt>
                <c:pt idx="3">
                  <c:v>Média</c:v>
                </c:pt>
                <c:pt idx="4">
                  <c:v>+1σ</c:v>
                </c:pt>
                <c:pt idx="5">
                  <c:v>+2σ</c:v>
                </c:pt>
                <c:pt idx="6">
                  <c:v>+3σ</c:v>
                </c:pt>
              </c:strCache>
            </c:strRef>
          </c:cat>
          <c:val>
            <c:numRef>
              <c:f>Dashboard_À_Vista!$P$25:$P$31</c:f>
              <c:numCache>
                <c:formatCode>0.00%</c:formatCode>
                <c:ptCount val="7"/>
                <c:pt idx="0">
                  <c:v>-6.37371634835662E-2</c:v>
                </c:pt>
                <c:pt idx="1">
                  <c:v>-4.2908199819348194E-2</c:v>
                </c:pt>
                <c:pt idx="2">
                  <c:v>-2.2079236155130175E-2</c:v>
                </c:pt>
                <c:pt idx="3">
                  <c:v>-1.2502724909121599E-3</c:v>
                </c:pt>
                <c:pt idx="4">
                  <c:v>1.9578691173305858E-2</c:v>
                </c:pt>
                <c:pt idx="5">
                  <c:v>4.0407654837523871E-2</c:v>
                </c:pt>
                <c:pt idx="6">
                  <c:v>6.1236618501741884E-2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2-4691-9D7D-F7EF271DA75E}"/>
            </c:ext>
          </c:extLst>
        </c:ser>
        <c:ser>
          <c:idx val="2"/>
          <c:order val="2"/>
          <c:tx>
            <c:strRef>
              <c:f>Dashboard_À_Vista!$Q$24</c:f>
              <c:strCache>
                <c:ptCount val="1"/>
                <c:pt idx="0">
                  <c:v>Mensal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Dashboard_À_Vista!$N$25:$N$31</c:f>
              <c:strCache>
                <c:ptCount val="7"/>
                <c:pt idx="0">
                  <c:v>-3σ</c:v>
                </c:pt>
                <c:pt idx="1">
                  <c:v>-2σ</c:v>
                </c:pt>
                <c:pt idx="2">
                  <c:v>-1σ</c:v>
                </c:pt>
                <c:pt idx="3">
                  <c:v>Média</c:v>
                </c:pt>
                <c:pt idx="4">
                  <c:v>+1σ</c:v>
                </c:pt>
                <c:pt idx="5">
                  <c:v>+2σ</c:v>
                </c:pt>
                <c:pt idx="6">
                  <c:v>+3σ</c:v>
                </c:pt>
              </c:strCache>
            </c:strRef>
          </c:cat>
          <c:val>
            <c:numRef>
              <c:f>Dashboard_À_Vista!$Q$25:$Q$31</c:f>
              <c:numCache>
                <c:formatCode>0.00%</c:formatCode>
                <c:ptCount val="7"/>
                <c:pt idx="0">
                  <c:v>-0.19353317972721842</c:v>
                </c:pt>
                <c:pt idx="1">
                  <c:v>-0.13083366888186382</c:v>
                </c:pt>
                <c:pt idx="2">
                  <c:v>-6.8134158036509213E-2</c:v>
                </c:pt>
                <c:pt idx="3">
                  <c:v>-5.4346471911545869E-3</c:v>
                </c:pt>
                <c:pt idx="4">
                  <c:v>5.7264863654200034E-2</c:v>
                </c:pt>
                <c:pt idx="5">
                  <c:v>0.11996437449955465</c:v>
                </c:pt>
                <c:pt idx="6">
                  <c:v>0.18266388534490927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52-4691-9D7D-F7EF271DA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9069183"/>
        <c:axId val="1092461727"/>
      </c:barChart>
      <c:catAx>
        <c:axId val="132906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61727"/>
        <c:crosses val="autoZero"/>
        <c:auto val="1"/>
        <c:lblAlgn val="ctr"/>
        <c:lblOffset val="100"/>
        <c:noMultiLvlLbl val="0"/>
      </c:catAx>
      <c:valAx>
        <c:axId val="109246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6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de Drawdown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Dashboard_À_Vista!$O$54</c:f>
              <c:strCache>
                <c:ptCount val="1"/>
                <c:pt idx="0">
                  <c:v>Diário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Dashboard_À_Vista!$N$55:$N$56</c:f>
              <c:strCache>
                <c:ptCount val="2"/>
                <c:pt idx="0">
                  <c:v>DD Máximo</c:v>
                </c:pt>
                <c:pt idx="1">
                  <c:v>DD Médio</c:v>
                </c:pt>
              </c:strCache>
            </c:strRef>
          </c:cat>
          <c:val>
            <c:numRef>
              <c:f>Dashboard_À_Vista!$O$55:$O$56</c:f>
              <c:numCache>
                <c:formatCode>0.00%</c:formatCode>
                <c:ptCount val="2"/>
                <c:pt idx="0">
                  <c:v>-0.49326275264677577</c:v>
                </c:pt>
                <c:pt idx="1">
                  <c:v>-0.31308798867956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5-4A26-ACBA-F32D604C2013}"/>
            </c:ext>
          </c:extLst>
        </c:ser>
        <c:ser>
          <c:idx val="1"/>
          <c:order val="1"/>
          <c:tx>
            <c:strRef>
              <c:f>Dashboard_À_Vista!$P$54</c:f>
              <c:strCache>
                <c:ptCount val="1"/>
                <c:pt idx="0">
                  <c:v>Semanal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Dashboard_À_Vista!$N$55:$N$56</c:f>
              <c:strCache>
                <c:ptCount val="2"/>
                <c:pt idx="0">
                  <c:v>DD Máximo</c:v>
                </c:pt>
                <c:pt idx="1">
                  <c:v>DD Médio</c:v>
                </c:pt>
              </c:strCache>
            </c:strRef>
          </c:cat>
          <c:val>
            <c:numRef>
              <c:f>Dashboard_À_Vista!$P$55:$P$56</c:f>
              <c:numCache>
                <c:formatCode>0.00%</c:formatCode>
                <c:ptCount val="2"/>
                <c:pt idx="0">
                  <c:v>-0.48864292589027913</c:v>
                </c:pt>
                <c:pt idx="1">
                  <c:v>-0.31415362971527272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5-4A26-ACBA-F32D604C2013}"/>
            </c:ext>
          </c:extLst>
        </c:ser>
        <c:ser>
          <c:idx val="2"/>
          <c:order val="2"/>
          <c:tx>
            <c:strRef>
              <c:f>Dashboard_À_Vista!$Q$54</c:f>
              <c:strCache>
                <c:ptCount val="1"/>
                <c:pt idx="0">
                  <c:v>Mensal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Dashboard_À_Vista!$N$55:$N$56</c:f>
              <c:strCache>
                <c:ptCount val="2"/>
                <c:pt idx="0">
                  <c:v>DD Máximo</c:v>
                </c:pt>
                <c:pt idx="1">
                  <c:v>DD Médio</c:v>
                </c:pt>
              </c:strCache>
            </c:strRef>
          </c:cat>
          <c:val>
            <c:numRef>
              <c:f>Dashboard_À_Vista!$Q$55:$Q$56</c:f>
              <c:numCache>
                <c:formatCode>0.00%</c:formatCode>
                <c:ptCount val="2"/>
                <c:pt idx="0">
                  <c:v>-0.44815195071868585</c:v>
                </c:pt>
                <c:pt idx="1">
                  <c:v>-0.27134763099855508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A5-4A26-ACBA-F32D604C2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9067327"/>
        <c:axId val="1092484767"/>
      </c:barChart>
      <c:catAx>
        <c:axId val="1329067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84767"/>
        <c:crosses val="autoZero"/>
        <c:auto val="1"/>
        <c:lblAlgn val="ctr"/>
        <c:lblOffset val="100"/>
        <c:noMultiLvlLbl val="0"/>
      </c:catAx>
      <c:valAx>
        <c:axId val="109248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6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Preço de Fechamento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Análise_Variação!$A$3:$A$501</c:f>
              <c:numCache>
                <c:formatCode>m/d/yyyy</c:formatCode>
                <c:ptCount val="499"/>
                <c:pt idx="0">
                  <c:v>45491</c:v>
                </c:pt>
                <c:pt idx="1">
                  <c:v>45492</c:v>
                </c:pt>
                <c:pt idx="2">
                  <c:v>45495</c:v>
                </c:pt>
                <c:pt idx="3">
                  <c:v>45496</c:v>
                </c:pt>
                <c:pt idx="4">
                  <c:v>45497</c:v>
                </c:pt>
                <c:pt idx="5">
                  <c:v>45498</c:v>
                </c:pt>
                <c:pt idx="6">
                  <c:v>45499</c:v>
                </c:pt>
                <c:pt idx="7">
                  <c:v>45502</c:v>
                </c:pt>
                <c:pt idx="8">
                  <c:v>45503</c:v>
                </c:pt>
                <c:pt idx="9">
                  <c:v>45504</c:v>
                </c:pt>
                <c:pt idx="10">
                  <c:v>45505</c:v>
                </c:pt>
                <c:pt idx="11">
                  <c:v>45506</c:v>
                </c:pt>
                <c:pt idx="12">
                  <c:v>45509</c:v>
                </c:pt>
                <c:pt idx="13">
                  <c:v>45510</c:v>
                </c:pt>
                <c:pt idx="14">
                  <c:v>45511</c:v>
                </c:pt>
                <c:pt idx="15">
                  <c:v>45512</c:v>
                </c:pt>
                <c:pt idx="16">
                  <c:v>45513</c:v>
                </c:pt>
                <c:pt idx="17">
                  <c:v>45516</c:v>
                </c:pt>
                <c:pt idx="18">
                  <c:v>45517</c:v>
                </c:pt>
                <c:pt idx="19">
                  <c:v>45518</c:v>
                </c:pt>
                <c:pt idx="20">
                  <c:v>45519</c:v>
                </c:pt>
                <c:pt idx="21">
                  <c:v>45520</c:v>
                </c:pt>
                <c:pt idx="22">
                  <c:v>45523</c:v>
                </c:pt>
                <c:pt idx="23">
                  <c:v>45524</c:v>
                </c:pt>
                <c:pt idx="24">
                  <c:v>45525</c:v>
                </c:pt>
                <c:pt idx="25">
                  <c:v>45526</c:v>
                </c:pt>
                <c:pt idx="26">
                  <c:v>45527</c:v>
                </c:pt>
                <c:pt idx="27">
                  <c:v>45530</c:v>
                </c:pt>
                <c:pt idx="28">
                  <c:v>45531</c:v>
                </c:pt>
                <c:pt idx="29">
                  <c:v>45532</c:v>
                </c:pt>
                <c:pt idx="30">
                  <c:v>45533</c:v>
                </c:pt>
                <c:pt idx="31">
                  <c:v>45534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45544</c:v>
                </c:pt>
                <c:pt idx="38">
                  <c:v>45545</c:v>
                </c:pt>
                <c:pt idx="39">
                  <c:v>45546</c:v>
                </c:pt>
                <c:pt idx="40">
                  <c:v>45547</c:v>
                </c:pt>
                <c:pt idx="41">
                  <c:v>45548</c:v>
                </c:pt>
                <c:pt idx="42">
                  <c:v>45551</c:v>
                </c:pt>
                <c:pt idx="43">
                  <c:v>45552</c:v>
                </c:pt>
                <c:pt idx="44">
                  <c:v>45553</c:v>
                </c:pt>
                <c:pt idx="45">
                  <c:v>45554</c:v>
                </c:pt>
                <c:pt idx="46">
                  <c:v>45555</c:v>
                </c:pt>
                <c:pt idx="47">
                  <c:v>45558</c:v>
                </c:pt>
                <c:pt idx="48">
                  <c:v>45559</c:v>
                </c:pt>
                <c:pt idx="49">
                  <c:v>45560</c:v>
                </c:pt>
                <c:pt idx="50">
                  <c:v>45561</c:v>
                </c:pt>
                <c:pt idx="51">
                  <c:v>45562</c:v>
                </c:pt>
                <c:pt idx="52">
                  <c:v>45565</c:v>
                </c:pt>
                <c:pt idx="53">
                  <c:v>45566</c:v>
                </c:pt>
                <c:pt idx="54">
                  <c:v>45567</c:v>
                </c:pt>
                <c:pt idx="55">
                  <c:v>45568</c:v>
                </c:pt>
                <c:pt idx="56">
                  <c:v>45569</c:v>
                </c:pt>
                <c:pt idx="57">
                  <c:v>45572</c:v>
                </c:pt>
                <c:pt idx="58">
                  <c:v>45573</c:v>
                </c:pt>
                <c:pt idx="59">
                  <c:v>45574</c:v>
                </c:pt>
                <c:pt idx="60">
                  <c:v>45575</c:v>
                </c:pt>
                <c:pt idx="61">
                  <c:v>45576</c:v>
                </c:pt>
                <c:pt idx="62">
                  <c:v>45579</c:v>
                </c:pt>
                <c:pt idx="63">
                  <c:v>45580</c:v>
                </c:pt>
                <c:pt idx="64">
                  <c:v>45581</c:v>
                </c:pt>
                <c:pt idx="65">
                  <c:v>45582</c:v>
                </c:pt>
                <c:pt idx="66">
                  <c:v>45583</c:v>
                </c:pt>
                <c:pt idx="67">
                  <c:v>45586</c:v>
                </c:pt>
                <c:pt idx="68">
                  <c:v>45587</c:v>
                </c:pt>
                <c:pt idx="69">
                  <c:v>45588</c:v>
                </c:pt>
                <c:pt idx="70">
                  <c:v>45589</c:v>
                </c:pt>
                <c:pt idx="71">
                  <c:v>45590</c:v>
                </c:pt>
                <c:pt idx="72">
                  <c:v>45593</c:v>
                </c:pt>
                <c:pt idx="73">
                  <c:v>45594</c:v>
                </c:pt>
                <c:pt idx="74">
                  <c:v>45595</c:v>
                </c:pt>
                <c:pt idx="75">
                  <c:v>45596</c:v>
                </c:pt>
                <c:pt idx="76">
                  <c:v>45597</c:v>
                </c:pt>
                <c:pt idx="77">
                  <c:v>45600</c:v>
                </c:pt>
                <c:pt idx="78">
                  <c:v>45601</c:v>
                </c:pt>
                <c:pt idx="79">
                  <c:v>45602</c:v>
                </c:pt>
                <c:pt idx="80">
                  <c:v>45603</c:v>
                </c:pt>
                <c:pt idx="81">
                  <c:v>45604</c:v>
                </c:pt>
                <c:pt idx="82">
                  <c:v>45607</c:v>
                </c:pt>
                <c:pt idx="83">
                  <c:v>45608</c:v>
                </c:pt>
                <c:pt idx="84">
                  <c:v>45609</c:v>
                </c:pt>
                <c:pt idx="85">
                  <c:v>45610</c:v>
                </c:pt>
                <c:pt idx="86">
                  <c:v>45614</c:v>
                </c:pt>
                <c:pt idx="87">
                  <c:v>45615</c:v>
                </c:pt>
                <c:pt idx="88">
                  <c:v>45617</c:v>
                </c:pt>
                <c:pt idx="89">
                  <c:v>45618</c:v>
                </c:pt>
                <c:pt idx="90">
                  <c:v>45621</c:v>
                </c:pt>
                <c:pt idx="91">
                  <c:v>45622</c:v>
                </c:pt>
                <c:pt idx="92">
                  <c:v>45623</c:v>
                </c:pt>
                <c:pt idx="93">
                  <c:v>45624</c:v>
                </c:pt>
                <c:pt idx="94">
                  <c:v>45625</c:v>
                </c:pt>
                <c:pt idx="95">
                  <c:v>45628</c:v>
                </c:pt>
                <c:pt idx="96">
                  <c:v>45629</c:v>
                </c:pt>
                <c:pt idx="97">
                  <c:v>45630</c:v>
                </c:pt>
                <c:pt idx="98">
                  <c:v>45631</c:v>
                </c:pt>
                <c:pt idx="99">
                  <c:v>45632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45652</c:v>
                </c:pt>
                <c:pt idx="112">
                  <c:v>45653</c:v>
                </c:pt>
                <c:pt idx="113">
                  <c:v>45656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45666</c:v>
                </c:pt>
                <c:pt idx="120">
                  <c:v>45667</c:v>
                </c:pt>
                <c:pt idx="121">
                  <c:v>45670</c:v>
                </c:pt>
                <c:pt idx="122">
                  <c:v>45671</c:v>
                </c:pt>
                <c:pt idx="123">
                  <c:v>45672</c:v>
                </c:pt>
                <c:pt idx="124">
                  <c:v>45673</c:v>
                </c:pt>
                <c:pt idx="125">
                  <c:v>45674</c:v>
                </c:pt>
                <c:pt idx="126">
                  <c:v>45677</c:v>
                </c:pt>
                <c:pt idx="127">
                  <c:v>45678</c:v>
                </c:pt>
                <c:pt idx="128">
                  <c:v>45679</c:v>
                </c:pt>
                <c:pt idx="129">
                  <c:v>45680</c:v>
                </c:pt>
                <c:pt idx="130">
                  <c:v>45681</c:v>
                </c:pt>
                <c:pt idx="131">
                  <c:v>45684</c:v>
                </c:pt>
                <c:pt idx="132">
                  <c:v>45685</c:v>
                </c:pt>
                <c:pt idx="133">
                  <c:v>45686</c:v>
                </c:pt>
                <c:pt idx="134">
                  <c:v>45687</c:v>
                </c:pt>
                <c:pt idx="135">
                  <c:v>45688</c:v>
                </c:pt>
                <c:pt idx="136">
                  <c:v>45691</c:v>
                </c:pt>
                <c:pt idx="137">
                  <c:v>45692</c:v>
                </c:pt>
                <c:pt idx="138">
                  <c:v>45693</c:v>
                </c:pt>
                <c:pt idx="139">
                  <c:v>45694</c:v>
                </c:pt>
                <c:pt idx="140">
                  <c:v>45695</c:v>
                </c:pt>
                <c:pt idx="141">
                  <c:v>45698</c:v>
                </c:pt>
                <c:pt idx="142">
                  <c:v>45699</c:v>
                </c:pt>
                <c:pt idx="143">
                  <c:v>45700</c:v>
                </c:pt>
                <c:pt idx="144">
                  <c:v>45701</c:v>
                </c:pt>
                <c:pt idx="145">
                  <c:v>45702</c:v>
                </c:pt>
                <c:pt idx="146">
                  <c:v>45705</c:v>
                </c:pt>
                <c:pt idx="147">
                  <c:v>45706</c:v>
                </c:pt>
                <c:pt idx="148">
                  <c:v>45707</c:v>
                </c:pt>
                <c:pt idx="149">
                  <c:v>45708</c:v>
                </c:pt>
                <c:pt idx="150">
                  <c:v>45709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45726</c:v>
                </c:pt>
                <c:pt idx="160">
                  <c:v>45727</c:v>
                </c:pt>
                <c:pt idx="161">
                  <c:v>45728</c:v>
                </c:pt>
                <c:pt idx="162">
                  <c:v>45729</c:v>
                </c:pt>
                <c:pt idx="163">
                  <c:v>45730</c:v>
                </c:pt>
                <c:pt idx="164">
                  <c:v>45733</c:v>
                </c:pt>
                <c:pt idx="165">
                  <c:v>45734</c:v>
                </c:pt>
                <c:pt idx="166">
                  <c:v>45735</c:v>
                </c:pt>
                <c:pt idx="167">
                  <c:v>45736</c:v>
                </c:pt>
                <c:pt idx="168">
                  <c:v>45737</c:v>
                </c:pt>
                <c:pt idx="169">
                  <c:v>45740</c:v>
                </c:pt>
                <c:pt idx="170">
                  <c:v>45741</c:v>
                </c:pt>
                <c:pt idx="171">
                  <c:v>45742</c:v>
                </c:pt>
                <c:pt idx="172">
                  <c:v>45743</c:v>
                </c:pt>
                <c:pt idx="173">
                  <c:v>45744</c:v>
                </c:pt>
                <c:pt idx="174">
                  <c:v>45747</c:v>
                </c:pt>
                <c:pt idx="175">
                  <c:v>45748</c:v>
                </c:pt>
                <c:pt idx="176">
                  <c:v>45749</c:v>
                </c:pt>
                <c:pt idx="177">
                  <c:v>45750</c:v>
                </c:pt>
                <c:pt idx="178">
                  <c:v>45751</c:v>
                </c:pt>
                <c:pt idx="179">
                  <c:v>45754</c:v>
                </c:pt>
                <c:pt idx="180">
                  <c:v>45755</c:v>
                </c:pt>
                <c:pt idx="181">
                  <c:v>45756</c:v>
                </c:pt>
                <c:pt idx="182">
                  <c:v>45757</c:v>
                </c:pt>
                <c:pt idx="183">
                  <c:v>45758</c:v>
                </c:pt>
                <c:pt idx="184">
                  <c:v>45761</c:v>
                </c:pt>
                <c:pt idx="185">
                  <c:v>45762</c:v>
                </c:pt>
                <c:pt idx="186">
                  <c:v>45763</c:v>
                </c:pt>
                <c:pt idx="187">
                  <c:v>45764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45775</c:v>
                </c:pt>
                <c:pt idx="193">
                  <c:v>45776</c:v>
                </c:pt>
                <c:pt idx="194">
                  <c:v>45777</c:v>
                </c:pt>
                <c:pt idx="195">
                  <c:v>45779</c:v>
                </c:pt>
                <c:pt idx="196">
                  <c:v>45782</c:v>
                </c:pt>
                <c:pt idx="197">
                  <c:v>45783</c:v>
                </c:pt>
                <c:pt idx="198">
                  <c:v>45784</c:v>
                </c:pt>
                <c:pt idx="199">
                  <c:v>45785</c:v>
                </c:pt>
                <c:pt idx="200">
                  <c:v>45786</c:v>
                </c:pt>
                <c:pt idx="201">
                  <c:v>45789</c:v>
                </c:pt>
                <c:pt idx="202">
                  <c:v>45790</c:v>
                </c:pt>
                <c:pt idx="203">
                  <c:v>45791</c:v>
                </c:pt>
                <c:pt idx="204">
                  <c:v>45792</c:v>
                </c:pt>
                <c:pt idx="205">
                  <c:v>45793</c:v>
                </c:pt>
                <c:pt idx="206">
                  <c:v>45796</c:v>
                </c:pt>
                <c:pt idx="207">
                  <c:v>45797</c:v>
                </c:pt>
                <c:pt idx="208">
                  <c:v>45798</c:v>
                </c:pt>
                <c:pt idx="209">
                  <c:v>45799</c:v>
                </c:pt>
                <c:pt idx="210">
                  <c:v>45800</c:v>
                </c:pt>
                <c:pt idx="211">
                  <c:v>45803</c:v>
                </c:pt>
                <c:pt idx="212">
                  <c:v>45804</c:v>
                </c:pt>
                <c:pt idx="213">
                  <c:v>45805</c:v>
                </c:pt>
                <c:pt idx="214">
                  <c:v>45806</c:v>
                </c:pt>
                <c:pt idx="215">
                  <c:v>45807</c:v>
                </c:pt>
                <c:pt idx="216">
                  <c:v>45810</c:v>
                </c:pt>
                <c:pt idx="217">
                  <c:v>45811</c:v>
                </c:pt>
                <c:pt idx="218">
                  <c:v>45812</c:v>
                </c:pt>
                <c:pt idx="219">
                  <c:v>45813</c:v>
                </c:pt>
                <c:pt idx="220">
                  <c:v>45814</c:v>
                </c:pt>
                <c:pt idx="221">
                  <c:v>45817</c:v>
                </c:pt>
                <c:pt idx="222">
                  <c:v>45818</c:v>
                </c:pt>
                <c:pt idx="223">
                  <c:v>45819</c:v>
                </c:pt>
                <c:pt idx="224">
                  <c:v>45820</c:v>
                </c:pt>
                <c:pt idx="225">
                  <c:v>45821</c:v>
                </c:pt>
                <c:pt idx="226">
                  <c:v>45824</c:v>
                </c:pt>
                <c:pt idx="227">
                  <c:v>45825</c:v>
                </c:pt>
                <c:pt idx="228">
                  <c:v>45826</c:v>
                </c:pt>
                <c:pt idx="229">
                  <c:v>45828</c:v>
                </c:pt>
                <c:pt idx="230">
                  <c:v>45831</c:v>
                </c:pt>
                <c:pt idx="231">
                  <c:v>45832</c:v>
                </c:pt>
                <c:pt idx="232">
                  <c:v>45833</c:v>
                </c:pt>
                <c:pt idx="233">
                  <c:v>45834</c:v>
                </c:pt>
                <c:pt idx="234">
                  <c:v>45835</c:v>
                </c:pt>
                <c:pt idx="235">
                  <c:v>45838</c:v>
                </c:pt>
                <c:pt idx="236">
                  <c:v>45839</c:v>
                </c:pt>
                <c:pt idx="237">
                  <c:v>45840</c:v>
                </c:pt>
                <c:pt idx="238">
                  <c:v>45841</c:v>
                </c:pt>
                <c:pt idx="239">
                  <c:v>45842</c:v>
                </c:pt>
                <c:pt idx="240">
                  <c:v>45845</c:v>
                </c:pt>
                <c:pt idx="241">
                  <c:v>45846</c:v>
                </c:pt>
                <c:pt idx="242">
                  <c:v>45847</c:v>
                </c:pt>
                <c:pt idx="243">
                  <c:v>45848</c:v>
                </c:pt>
                <c:pt idx="244">
                  <c:v>45849</c:v>
                </c:pt>
                <c:pt idx="245">
                  <c:v>45852</c:v>
                </c:pt>
                <c:pt idx="246">
                  <c:v>45853</c:v>
                </c:pt>
                <c:pt idx="247">
                  <c:v>45854</c:v>
                </c:pt>
                <c:pt idx="248">
                  <c:v>45855</c:v>
                </c:pt>
                <c:pt idx="249">
                  <c:v>45856</c:v>
                </c:pt>
                <c:pt idx="250">
                  <c:v>45859</c:v>
                </c:pt>
                <c:pt idx="251">
                  <c:v>45860</c:v>
                </c:pt>
                <c:pt idx="252">
                  <c:v>45861</c:v>
                </c:pt>
                <c:pt idx="253">
                  <c:v>45862</c:v>
                </c:pt>
                <c:pt idx="254">
                  <c:v>45863</c:v>
                </c:pt>
                <c:pt idx="255">
                  <c:v>45866</c:v>
                </c:pt>
                <c:pt idx="256">
                  <c:v>45867</c:v>
                </c:pt>
                <c:pt idx="257">
                  <c:v>45868</c:v>
                </c:pt>
                <c:pt idx="258">
                  <c:v>45869</c:v>
                </c:pt>
                <c:pt idx="259">
                  <c:v>45870</c:v>
                </c:pt>
                <c:pt idx="260">
                  <c:v>45873</c:v>
                </c:pt>
                <c:pt idx="261">
                  <c:v>45874</c:v>
                </c:pt>
                <c:pt idx="262">
                  <c:v>45875</c:v>
                </c:pt>
                <c:pt idx="263">
                  <c:v>45876</c:v>
                </c:pt>
                <c:pt idx="264">
                  <c:v>45877</c:v>
                </c:pt>
                <c:pt idx="265">
                  <c:v>45880</c:v>
                </c:pt>
                <c:pt idx="266">
                  <c:v>45881</c:v>
                </c:pt>
                <c:pt idx="267">
                  <c:v>45882</c:v>
                </c:pt>
                <c:pt idx="268">
                  <c:v>45883</c:v>
                </c:pt>
                <c:pt idx="269">
                  <c:v>45884</c:v>
                </c:pt>
                <c:pt idx="270">
                  <c:v>45887</c:v>
                </c:pt>
                <c:pt idx="271">
                  <c:v>45888</c:v>
                </c:pt>
                <c:pt idx="272">
                  <c:v>45889</c:v>
                </c:pt>
                <c:pt idx="273">
                  <c:v>45890</c:v>
                </c:pt>
                <c:pt idx="274">
                  <c:v>45891</c:v>
                </c:pt>
                <c:pt idx="275">
                  <c:v>45894</c:v>
                </c:pt>
                <c:pt idx="276">
                  <c:v>45895</c:v>
                </c:pt>
                <c:pt idx="277">
                  <c:v>45896</c:v>
                </c:pt>
                <c:pt idx="278">
                  <c:v>45897</c:v>
                </c:pt>
                <c:pt idx="279">
                  <c:v>45898</c:v>
                </c:pt>
                <c:pt idx="280">
                  <c:v>45901</c:v>
                </c:pt>
                <c:pt idx="281">
                  <c:v>45902</c:v>
                </c:pt>
                <c:pt idx="282">
                  <c:v>45903</c:v>
                </c:pt>
                <c:pt idx="283">
                  <c:v>45904</c:v>
                </c:pt>
                <c:pt idx="284">
                  <c:v>45905</c:v>
                </c:pt>
                <c:pt idx="285">
                  <c:v>45908</c:v>
                </c:pt>
                <c:pt idx="286">
                  <c:v>45909</c:v>
                </c:pt>
                <c:pt idx="287">
                  <c:v>45910</c:v>
                </c:pt>
                <c:pt idx="288">
                  <c:v>45911</c:v>
                </c:pt>
                <c:pt idx="289">
                  <c:v>45912</c:v>
                </c:pt>
                <c:pt idx="290">
                  <c:v>45915</c:v>
                </c:pt>
                <c:pt idx="291">
                  <c:v>45916</c:v>
                </c:pt>
                <c:pt idx="292">
                  <c:v>45917</c:v>
                </c:pt>
                <c:pt idx="293">
                  <c:v>45918</c:v>
                </c:pt>
                <c:pt idx="294">
                  <c:v>45919</c:v>
                </c:pt>
                <c:pt idx="295">
                  <c:v>45922</c:v>
                </c:pt>
                <c:pt idx="296">
                  <c:v>45923</c:v>
                </c:pt>
                <c:pt idx="297">
                  <c:v>45924</c:v>
                </c:pt>
                <c:pt idx="298">
                  <c:v>45925</c:v>
                </c:pt>
                <c:pt idx="299">
                  <c:v>45926</c:v>
                </c:pt>
                <c:pt idx="300">
                  <c:v>45929</c:v>
                </c:pt>
                <c:pt idx="301">
                  <c:v>45930</c:v>
                </c:pt>
                <c:pt idx="302">
                  <c:v>45931</c:v>
                </c:pt>
                <c:pt idx="303">
                  <c:v>45932</c:v>
                </c:pt>
                <c:pt idx="304">
                  <c:v>45933</c:v>
                </c:pt>
                <c:pt idx="305">
                  <c:v>45936</c:v>
                </c:pt>
                <c:pt idx="306">
                  <c:v>45937</c:v>
                </c:pt>
                <c:pt idx="307">
                  <c:v>45938</c:v>
                </c:pt>
                <c:pt idx="308">
                  <c:v>45939</c:v>
                </c:pt>
                <c:pt idx="309">
                  <c:v>45940</c:v>
                </c:pt>
                <c:pt idx="310">
                  <c:v>45943</c:v>
                </c:pt>
                <c:pt idx="311">
                  <c:v>45944</c:v>
                </c:pt>
                <c:pt idx="312">
                  <c:v>45945</c:v>
                </c:pt>
                <c:pt idx="313">
                  <c:v>45946</c:v>
                </c:pt>
                <c:pt idx="314">
                  <c:v>45947</c:v>
                </c:pt>
                <c:pt idx="315">
                  <c:v>45950</c:v>
                </c:pt>
                <c:pt idx="316">
                  <c:v>45951</c:v>
                </c:pt>
                <c:pt idx="317">
                  <c:v>45952</c:v>
                </c:pt>
                <c:pt idx="318">
                  <c:v>45953</c:v>
                </c:pt>
                <c:pt idx="319">
                  <c:v>45954</c:v>
                </c:pt>
                <c:pt idx="320">
                  <c:v>45957</c:v>
                </c:pt>
                <c:pt idx="321">
                  <c:v>45958</c:v>
                </c:pt>
                <c:pt idx="322">
                  <c:v>45959</c:v>
                </c:pt>
                <c:pt idx="323">
                  <c:v>45960</c:v>
                </c:pt>
                <c:pt idx="324">
                  <c:v>45961</c:v>
                </c:pt>
                <c:pt idx="325">
                  <c:v>45964</c:v>
                </c:pt>
                <c:pt idx="326">
                  <c:v>45965</c:v>
                </c:pt>
                <c:pt idx="327">
                  <c:v>45966</c:v>
                </c:pt>
                <c:pt idx="328">
                  <c:v>45967</c:v>
                </c:pt>
                <c:pt idx="329">
                  <c:v>45968</c:v>
                </c:pt>
                <c:pt idx="330">
                  <c:v>45971</c:v>
                </c:pt>
                <c:pt idx="331">
                  <c:v>45972</c:v>
                </c:pt>
                <c:pt idx="332">
                  <c:v>45973</c:v>
                </c:pt>
                <c:pt idx="333">
                  <c:v>45974</c:v>
                </c:pt>
                <c:pt idx="334">
                  <c:v>45975</c:v>
                </c:pt>
                <c:pt idx="335">
                  <c:v>45978</c:v>
                </c:pt>
                <c:pt idx="336">
                  <c:v>45979</c:v>
                </c:pt>
                <c:pt idx="337">
                  <c:v>45980</c:v>
                </c:pt>
                <c:pt idx="338">
                  <c:v>45982</c:v>
                </c:pt>
                <c:pt idx="339">
                  <c:v>45985</c:v>
                </c:pt>
                <c:pt idx="340">
                  <c:v>45986</c:v>
                </c:pt>
                <c:pt idx="341">
                  <c:v>45987</c:v>
                </c:pt>
                <c:pt idx="342">
                  <c:v>45988</c:v>
                </c:pt>
                <c:pt idx="343">
                  <c:v>45989</c:v>
                </c:pt>
                <c:pt idx="344">
                  <c:v>45992</c:v>
                </c:pt>
                <c:pt idx="345">
                  <c:v>45993</c:v>
                </c:pt>
                <c:pt idx="346">
                  <c:v>45994</c:v>
                </c:pt>
                <c:pt idx="347">
                  <c:v>45995</c:v>
                </c:pt>
                <c:pt idx="348">
                  <c:v>45996</c:v>
                </c:pt>
                <c:pt idx="349">
                  <c:v>45999</c:v>
                </c:pt>
                <c:pt idx="350">
                  <c:v>46000</c:v>
                </c:pt>
                <c:pt idx="351">
                  <c:v>46001</c:v>
                </c:pt>
                <c:pt idx="352">
                  <c:v>46002</c:v>
                </c:pt>
                <c:pt idx="353">
                  <c:v>46003</c:v>
                </c:pt>
                <c:pt idx="354">
                  <c:v>46006</c:v>
                </c:pt>
                <c:pt idx="355">
                  <c:v>46007</c:v>
                </c:pt>
                <c:pt idx="356">
                  <c:v>46008</c:v>
                </c:pt>
                <c:pt idx="357">
                  <c:v>46009</c:v>
                </c:pt>
                <c:pt idx="358">
                  <c:v>46010</c:v>
                </c:pt>
                <c:pt idx="359">
                  <c:v>46013</c:v>
                </c:pt>
                <c:pt idx="360">
                  <c:v>46014</c:v>
                </c:pt>
                <c:pt idx="361">
                  <c:v>46017</c:v>
                </c:pt>
                <c:pt idx="362">
                  <c:v>46020</c:v>
                </c:pt>
                <c:pt idx="363">
                  <c:v>46021</c:v>
                </c:pt>
                <c:pt idx="364">
                  <c:v>46024</c:v>
                </c:pt>
                <c:pt idx="365">
                  <c:v>46027</c:v>
                </c:pt>
                <c:pt idx="366">
                  <c:v>46028</c:v>
                </c:pt>
                <c:pt idx="367">
                  <c:v>46029</c:v>
                </c:pt>
                <c:pt idx="368">
                  <c:v>46030</c:v>
                </c:pt>
                <c:pt idx="369">
                  <c:v>46031</c:v>
                </c:pt>
                <c:pt idx="370">
                  <c:v>46034</c:v>
                </c:pt>
                <c:pt idx="371">
                  <c:v>46035</c:v>
                </c:pt>
                <c:pt idx="372">
                  <c:v>46036</c:v>
                </c:pt>
                <c:pt idx="373">
                  <c:v>46037</c:v>
                </c:pt>
                <c:pt idx="374">
                  <c:v>46038</c:v>
                </c:pt>
                <c:pt idx="375">
                  <c:v>46041</c:v>
                </c:pt>
                <c:pt idx="376">
                  <c:v>46042</c:v>
                </c:pt>
                <c:pt idx="377">
                  <c:v>46043</c:v>
                </c:pt>
                <c:pt idx="378">
                  <c:v>46044</c:v>
                </c:pt>
                <c:pt idx="379">
                  <c:v>46045</c:v>
                </c:pt>
                <c:pt idx="380">
                  <c:v>46048</c:v>
                </c:pt>
                <c:pt idx="381">
                  <c:v>46049</c:v>
                </c:pt>
                <c:pt idx="382">
                  <c:v>46050</c:v>
                </c:pt>
                <c:pt idx="383">
                  <c:v>46051</c:v>
                </c:pt>
                <c:pt idx="384">
                  <c:v>46052</c:v>
                </c:pt>
                <c:pt idx="385">
                  <c:v>46055</c:v>
                </c:pt>
                <c:pt idx="386">
                  <c:v>46056</c:v>
                </c:pt>
                <c:pt idx="387">
                  <c:v>46057</c:v>
                </c:pt>
                <c:pt idx="388">
                  <c:v>46058</c:v>
                </c:pt>
                <c:pt idx="389">
                  <c:v>46059</c:v>
                </c:pt>
                <c:pt idx="390">
                  <c:v>46062</c:v>
                </c:pt>
                <c:pt idx="391">
                  <c:v>46063</c:v>
                </c:pt>
                <c:pt idx="392">
                  <c:v>46064</c:v>
                </c:pt>
                <c:pt idx="393">
                  <c:v>46065</c:v>
                </c:pt>
                <c:pt idx="394">
                  <c:v>46066</c:v>
                </c:pt>
                <c:pt idx="395">
                  <c:v>46071</c:v>
                </c:pt>
                <c:pt idx="396">
                  <c:v>46072</c:v>
                </c:pt>
                <c:pt idx="397">
                  <c:v>46073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46083</c:v>
                </c:pt>
                <c:pt idx="404">
                  <c:v>46084</c:v>
                </c:pt>
                <c:pt idx="405">
                  <c:v>46085</c:v>
                </c:pt>
                <c:pt idx="406">
                  <c:v>46086</c:v>
                </c:pt>
                <c:pt idx="407">
                  <c:v>46087</c:v>
                </c:pt>
                <c:pt idx="408">
                  <c:v>46090</c:v>
                </c:pt>
                <c:pt idx="409">
                  <c:v>46091</c:v>
                </c:pt>
                <c:pt idx="410">
                  <c:v>46092</c:v>
                </c:pt>
                <c:pt idx="411">
                  <c:v>46093</c:v>
                </c:pt>
                <c:pt idx="412">
                  <c:v>46094</c:v>
                </c:pt>
                <c:pt idx="413">
                  <c:v>46097</c:v>
                </c:pt>
                <c:pt idx="414">
                  <c:v>46098</c:v>
                </c:pt>
                <c:pt idx="415">
                  <c:v>46099</c:v>
                </c:pt>
                <c:pt idx="416">
                  <c:v>46100</c:v>
                </c:pt>
                <c:pt idx="417">
                  <c:v>46101</c:v>
                </c:pt>
                <c:pt idx="418">
                  <c:v>46104</c:v>
                </c:pt>
                <c:pt idx="419">
                  <c:v>46105</c:v>
                </c:pt>
                <c:pt idx="420">
                  <c:v>46106</c:v>
                </c:pt>
                <c:pt idx="421">
                  <c:v>46107</c:v>
                </c:pt>
                <c:pt idx="422">
                  <c:v>46108</c:v>
                </c:pt>
                <c:pt idx="423">
                  <c:v>46111</c:v>
                </c:pt>
                <c:pt idx="424">
                  <c:v>46112</c:v>
                </c:pt>
                <c:pt idx="425">
                  <c:v>46113</c:v>
                </c:pt>
                <c:pt idx="426">
                  <c:v>46114</c:v>
                </c:pt>
                <c:pt idx="427">
                  <c:v>46118</c:v>
                </c:pt>
                <c:pt idx="428">
                  <c:v>46119</c:v>
                </c:pt>
                <c:pt idx="429">
                  <c:v>46120</c:v>
                </c:pt>
                <c:pt idx="430">
                  <c:v>46121</c:v>
                </c:pt>
                <c:pt idx="431">
                  <c:v>46122</c:v>
                </c:pt>
                <c:pt idx="432">
                  <c:v>46125</c:v>
                </c:pt>
                <c:pt idx="433">
                  <c:v>46126</c:v>
                </c:pt>
                <c:pt idx="434">
                  <c:v>46127</c:v>
                </c:pt>
                <c:pt idx="435">
                  <c:v>46128</c:v>
                </c:pt>
                <c:pt idx="436">
                  <c:v>46129</c:v>
                </c:pt>
                <c:pt idx="437">
                  <c:v>46132</c:v>
                </c:pt>
                <c:pt idx="438">
                  <c:v>46134</c:v>
                </c:pt>
                <c:pt idx="439">
                  <c:v>46135</c:v>
                </c:pt>
                <c:pt idx="440">
                  <c:v>46136</c:v>
                </c:pt>
                <c:pt idx="441">
                  <c:v>46139</c:v>
                </c:pt>
                <c:pt idx="442">
                  <c:v>46140</c:v>
                </c:pt>
                <c:pt idx="443">
                  <c:v>46141</c:v>
                </c:pt>
                <c:pt idx="444">
                  <c:v>46142</c:v>
                </c:pt>
                <c:pt idx="445">
                  <c:v>46146</c:v>
                </c:pt>
                <c:pt idx="446">
                  <c:v>46147</c:v>
                </c:pt>
                <c:pt idx="447">
                  <c:v>46148</c:v>
                </c:pt>
                <c:pt idx="448">
                  <c:v>46149</c:v>
                </c:pt>
                <c:pt idx="449">
                  <c:v>46150</c:v>
                </c:pt>
                <c:pt idx="450">
                  <c:v>46153</c:v>
                </c:pt>
                <c:pt idx="451">
                  <c:v>46154</c:v>
                </c:pt>
                <c:pt idx="452">
                  <c:v>46155</c:v>
                </c:pt>
                <c:pt idx="453">
                  <c:v>46156</c:v>
                </c:pt>
                <c:pt idx="454">
                  <c:v>46157</c:v>
                </c:pt>
                <c:pt idx="455">
                  <c:v>46160</c:v>
                </c:pt>
                <c:pt idx="456">
                  <c:v>46161</c:v>
                </c:pt>
                <c:pt idx="457">
                  <c:v>46162</c:v>
                </c:pt>
                <c:pt idx="458">
                  <c:v>46163</c:v>
                </c:pt>
                <c:pt idx="459">
                  <c:v>46164</c:v>
                </c:pt>
                <c:pt idx="460">
                  <c:v>46167</c:v>
                </c:pt>
                <c:pt idx="461">
                  <c:v>46168</c:v>
                </c:pt>
                <c:pt idx="462">
                  <c:v>46169</c:v>
                </c:pt>
                <c:pt idx="463">
                  <c:v>46170</c:v>
                </c:pt>
                <c:pt idx="464">
                  <c:v>46171</c:v>
                </c:pt>
                <c:pt idx="465">
                  <c:v>46174</c:v>
                </c:pt>
                <c:pt idx="466">
                  <c:v>46175</c:v>
                </c:pt>
                <c:pt idx="467">
                  <c:v>46176</c:v>
                </c:pt>
                <c:pt idx="468">
                  <c:v>46178</c:v>
                </c:pt>
                <c:pt idx="469">
                  <c:v>46181</c:v>
                </c:pt>
                <c:pt idx="470">
                  <c:v>46182</c:v>
                </c:pt>
                <c:pt idx="471">
                  <c:v>46183</c:v>
                </c:pt>
                <c:pt idx="472">
                  <c:v>46184</c:v>
                </c:pt>
                <c:pt idx="473">
                  <c:v>46185</c:v>
                </c:pt>
                <c:pt idx="474">
                  <c:v>46188</c:v>
                </c:pt>
                <c:pt idx="475">
                  <c:v>46189</c:v>
                </c:pt>
                <c:pt idx="476">
                  <c:v>46190</c:v>
                </c:pt>
                <c:pt idx="477">
                  <c:v>46191</c:v>
                </c:pt>
                <c:pt idx="478">
                  <c:v>46192</c:v>
                </c:pt>
                <c:pt idx="479">
                  <c:v>46195</c:v>
                </c:pt>
                <c:pt idx="480">
                  <c:v>46196</c:v>
                </c:pt>
                <c:pt idx="481">
                  <c:v>46197</c:v>
                </c:pt>
                <c:pt idx="482">
                  <c:v>46198</c:v>
                </c:pt>
                <c:pt idx="483">
                  <c:v>46199</c:v>
                </c:pt>
                <c:pt idx="484">
                  <c:v>46202</c:v>
                </c:pt>
                <c:pt idx="485">
                  <c:v>46203</c:v>
                </c:pt>
                <c:pt idx="486">
                  <c:v>46204</c:v>
                </c:pt>
                <c:pt idx="487">
                  <c:v>46205</c:v>
                </c:pt>
                <c:pt idx="488">
                  <c:v>46206</c:v>
                </c:pt>
                <c:pt idx="489">
                  <c:v>46209</c:v>
                </c:pt>
                <c:pt idx="490">
                  <c:v>46210</c:v>
                </c:pt>
                <c:pt idx="491">
                  <c:v>46211</c:v>
                </c:pt>
                <c:pt idx="492">
                  <c:v>46212</c:v>
                </c:pt>
                <c:pt idx="493">
                  <c:v>46213</c:v>
                </c:pt>
                <c:pt idx="494">
                  <c:v>46216</c:v>
                </c:pt>
                <c:pt idx="495">
                  <c:v>46217</c:v>
                </c:pt>
                <c:pt idx="496">
                  <c:v>46218</c:v>
                </c:pt>
                <c:pt idx="497">
                  <c:v>46219</c:v>
                </c:pt>
                <c:pt idx="498">
                  <c:v>46220</c:v>
                </c:pt>
              </c:numCache>
            </c:numRef>
          </c:cat>
          <c:val>
            <c:numRef>
              <c:f>Análise_Variação!$B$3:$B$501</c:f>
              <c:numCache>
                <c:formatCode>#,##0.00</c:formatCode>
                <c:ptCount val="499"/>
                <c:pt idx="0">
                  <c:v>63.13</c:v>
                </c:pt>
                <c:pt idx="1">
                  <c:v>64.099999999999994</c:v>
                </c:pt>
                <c:pt idx="2">
                  <c:v>65.5</c:v>
                </c:pt>
                <c:pt idx="3">
                  <c:v>66</c:v>
                </c:pt>
                <c:pt idx="4">
                  <c:v>66.849999999999994</c:v>
                </c:pt>
                <c:pt idx="5">
                  <c:v>66.540000000000006</c:v>
                </c:pt>
                <c:pt idx="6">
                  <c:v>66.2</c:v>
                </c:pt>
                <c:pt idx="7">
                  <c:v>66.19</c:v>
                </c:pt>
                <c:pt idx="8">
                  <c:v>65.06</c:v>
                </c:pt>
                <c:pt idx="9">
                  <c:v>64.63</c:v>
                </c:pt>
                <c:pt idx="10">
                  <c:v>65.680000000000007</c:v>
                </c:pt>
                <c:pt idx="11">
                  <c:v>67.010000000000005</c:v>
                </c:pt>
                <c:pt idx="12">
                  <c:v>66.87</c:v>
                </c:pt>
                <c:pt idx="13">
                  <c:v>65.38</c:v>
                </c:pt>
                <c:pt idx="14">
                  <c:v>65.150000000000006</c:v>
                </c:pt>
                <c:pt idx="15">
                  <c:v>65.13</c:v>
                </c:pt>
                <c:pt idx="16">
                  <c:v>65.28</c:v>
                </c:pt>
                <c:pt idx="17">
                  <c:v>65.540000000000006</c:v>
                </c:pt>
                <c:pt idx="18">
                  <c:v>64.98</c:v>
                </c:pt>
                <c:pt idx="19">
                  <c:v>64.73</c:v>
                </c:pt>
                <c:pt idx="20">
                  <c:v>65.319999999999993</c:v>
                </c:pt>
                <c:pt idx="21">
                  <c:v>64.55</c:v>
                </c:pt>
                <c:pt idx="22">
                  <c:v>65.180000000000007</c:v>
                </c:pt>
                <c:pt idx="23">
                  <c:v>65.540000000000006</c:v>
                </c:pt>
                <c:pt idx="24">
                  <c:v>65.239999999999995</c:v>
                </c:pt>
                <c:pt idx="25">
                  <c:v>65.55</c:v>
                </c:pt>
                <c:pt idx="26">
                  <c:v>65.28</c:v>
                </c:pt>
                <c:pt idx="27">
                  <c:v>65.13</c:v>
                </c:pt>
                <c:pt idx="28">
                  <c:v>65.52</c:v>
                </c:pt>
                <c:pt idx="29">
                  <c:v>65.52</c:v>
                </c:pt>
                <c:pt idx="30">
                  <c:v>66.099999999999994</c:v>
                </c:pt>
                <c:pt idx="31">
                  <c:v>66.87</c:v>
                </c:pt>
                <c:pt idx="32">
                  <c:v>66.92</c:v>
                </c:pt>
                <c:pt idx="33">
                  <c:v>67.36</c:v>
                </c:pt>
                <c:pt idx="34">
                  <c:v>68.44</c:v>
                </c:pt>
                <c:pt idx="35">
                  <c:v>67.81</c:v>
                </c:pt>
                <c:pt idx="36">
                  <c:v>68.27</c:v>
                </c:pt>
                <c:pt idx="37">
                  <c:v>69.709999999999994</c:v>
                </c:pt>
                <c:pt idx="38">
                  <c:v>69.48</c:v>
                </c:pt>
                <c:pt idx="39">
                  <c:v>69.23</c:v>
                </c:pt>
                <c:pt idx="40">
                  <c:v>68.92</c:v>
                </c:pt>
                <c:pt idx="41">
                  <c:v>70.06</c:v>
                </c:pt>
                <c:pt idx="42">
                  <c:v>69.709999999999994</c:v>
                </c:pt>
                <c:pt idx="43">
                  <c:v>69.489999999999995</c:v>
                </c:pt>
                <c:pt idx="44">
                  <c:v>68.510000000000005</c:v>
                </c:pt>
                <c:pt idx="45">
                  <c:v>69.16</c:v>
                </c:pt>
                <c:pt idx="46">
                  <c:v>70.11</c:v>
                </c:pt>
                <c:pt idx="47">
                  <c:v>70.38</c:v>
                </c:pt>
                <c:pt idx="48">
                  <c:v>70.47</c:v>
                </c:pt>
                <c:pt idx="49">
                  <c:v>70</c:v>
                </c:pt>
                <c:pt idx="50">
                  <c:v>70.459999999999994</c:v>
                </c:pt>
                <c:pt idx="51">
                  <c:v>70.989999999999995</c:v>
                </c:pt>
                <c:pt idx="52">
                  <c:v>71.19</c:v>
                </c:pt>
                <c:pt idx="53">
                  <c:v>71.3</c:v>
                </c:pt>
                <c:pt idx="54">
                  <c:v>71.97</c:v>
                </c:pt>
                <c:pt idx="55">
                  <c:v>71.83</c:v>
                </c:pt>
                <c:pt idx="56">
                  <c:v>70.28</c:v>
                </c:pt>
                <c:pt idx="57">
                  <c:v>69.23</c:v>
                </c:pt>
                <c:pt idx="58">
                  <c:v>70.02</c:v>
                </c:pt>
                <c:pt idx="59">
                  <c:v>70.52</c:v>
                </c:pt>
                <c:pt idx="60">
                  <c:v>71.11</c:v>
                </c:pt>
                <c:pt idx="61">
                  <c:v>70.78</c:v>
                </c:pt>
                <c:pt idx="62">
                  <c:v>69.62</c:v>
                </c:pt>
                <c:pt idx="63">
                  <c:v>70.88</c:v>
                </c:pt>
                <c:pt idx="64">
                  <c:v>70.73</c:v>
                </c:pt>
                <c:pt idx="65">
                  <c:v>71.319999999999993</c:v>
                </c:pt>
                <c:pt idx="66">
                  <c:v>71.56</c:v>
                </c:pt>
                <c:pt idx="67">
                  <c:v>72.38</c:v>
                </c:pt>
                <c:pt idx="68">
                  <c:v>73.3</c:v>
                </c:pt>
                <c:pt idx="69">
                  <c:v>73.98</c:v>
                </c:pt>
                <c:pt idx="70">
                  <c:v>74.59</c:v>
                </c:pt>
                <c:pt idx="71">
                  <c:v>74.97</c:v>
                </c:pt>
                <c:pt idx="72">
                  <c:v>74.709999999999994</c:v>
                </c:pt>
                <c:pt idx="73">
                  <c:v>75.69</c:v>
                </c:pt>
                <c:pt idx="74">
                  <c:v>75.59</c:v>
                </c:pt>
                <c:pt idx="75">
                  <c:v>75.34</c:v>
                </c:pt>
                <c:pt idx="76">
                  <c:v>75.48</c:v>
                </c:pt>
                <c:pt idx="77">
                  <c:v>75.319999999999993</c:v>
                </c:pt>
                <c:pt idx="78">
                  <c:v>74.55</c:v>
                </c:pt>
                <c:pt idx="79">
                  <c:v>74.900000000000006</c:v>
                </c:pt>
                <c:pt idx="80">
                  <c:v>75.97</c:v>
                </c:pt>
                <c:pt idx="81">
                  <c:v>76.33</c:v>
                </c:pt>
                <c:pt idx="82">
                  <c:v>76.89</c:v>
                </c:pt>
                <c:pt idx="83">
                  <c:v>76.72</c:v>
                </c:pt>
                <c:pt idx="84">
                  <c:v>76.569999999999993</c:v>
                </c:pt>
                <c:pt idx="85">
                  <c:v>75.53</c:v>
                </c:pt>
                <c:pt idx="86">
                  <c:v>74.72</c:v>
                </c:pt>
                <c:pt idx="87">
                  <c:v>73.959999999999994</c:v>
                </c:pt>
                <c:pt idx="88">
                  <c:v>73.349999999999994</c:v>
                </c:pt>
                <c:pt idx="89">
                  <c:v>73.09</c:v>
                </c:pt>
                <c:pt idx="90">
                  <c:v>72.27</c:v>
                </c:pt>
                <c:pt idx="91">
                  <c:v>71.459999999999994</c:v>
                </c:pt>
                <c:pt idx="92">
                  <c:v>71.73</c:v>
                </c:pt>
                <c:pt idx="93">
                  <c:v>71.52</c:v>
                </c:pt>
                <c:pt idx="94">
                  <c:v>72.62</c:v>
                </c:pt>
                <c:pt idx="95">
                  <c:v>73.52</c:v>
                </c:pt>
                <c:pt idx="96">
                  <c:v>73.27</c:v>
                </c:pt>
                <c:pt idx="97">
                  <c:v>72.11</c:v>
                </c:pt>
                <c:pt idx="98">
                  <c:v>73.319999999999993</c:v>
                </c:pt>
                <c:pt idx="99">
                  <c:v>74.95</c:v>
                </c:pt>
                <c:pt idx="100">
                  <c:v>75.86</c:v>
                </c:pt>
                <c:pt idx="101">
                  <c:v>76.86</c:v>
                </c:pt>
                <c:pt idx="102">
                  <c:v>77.48</c:v>
                </c:pt>
                <c:pt idx="103">
                  <c:v>76.209999999999994</c:v>
                </c:pt>
                <c:pt idx="104">
                  <c:v>75.489999999999995</c:v>
                </c:pt>
                <c:pt idx="105">
                  <c:v>75</c:v>
                </c:pt>
                <c:pt idx="106">
                  <c:v>75.61</c:v>
                </c:pt>
                <c:pt idx="107">
                  <c:v>75.790000000000006</c:v>
                </c:pt>
                <c:pt idx="108">
                  <c:v>74.95</c:v>
                </c:pt>
                <c:pt idx="109">
                  <c:v>74.34</c:v>
                </c:pt>
                <c:pt idx="110">
                  <c:v>74.44</c:v>
                </c:pt>
                <c:pt idx="111">
                  <c:v>74.19</c:v>
                </c:pt>
                <c:pt idx="112">
                  <c:v>74.2</c:v>
                </c:pt>
                <c:pt idx="113">
                  <c:v>74.69</c:v>
                </c:pt>
                <c:pt idx="114">
                  <c:v>74.25</c:v>
                </c:pt>
                <c:pt idx="115">
                  <c:v>73.73</c:v>
                </c:pt>
                <c:pt idx="116">
                  <c:v>74.95</c:v>
                </c:pt>
                <c:pt idx="117">
                  <c:v>74.59</c:v>
                </c:pt>
                <c:pt idx="118">
                  <c:v>75.010000000000005</c:v>
                </c:pt>
                <c:pt idx="119">
                  <c:v>75.709999999999994</c:v>
                </c:pt>
                <c:pt idx="120">
                  <c:v>76.900000000000006</c:v>
                </c:pt>
                <c:pt idx="121">
                  <c:v>78.84</c:v>
                </c:pt>
                <c:pt idx="122">
                  <c:v>78.099999999999994</c:v>
                </c:pt>
                <c:pt idx="123">
                  <c:v>76.95</c:v>
                </c:pt>
                <c:pt idx="124">
                  <c:v>75.16</c:v>
                </c:pt>
                <c:pt idx="125">
                  <c:v>75.67</c:v>
                </c:pt>
                <c:pt idx="126">
                  <c:v>77.12</c:v>
                </c:pt>
                <c:pt idx="127">
                  <c:v>76.42</c:v>
                </c:pt>
                <c:pt idx="128">
                  <c:v>75.09</c:v>
                </c:pt>
                <c:pt idx="129">
                  <c:v>75.400000000000006</c:v>
                </c:pt>
                <c:pt idx="130">
                  <c:v>74.14</c:v>
                </c:pt>
                <c:pt idx="131">
                  <c:v>74.040000000000006</c:v>
                </c:pt>
                <c:pt idx="132">
                  <c:v>73.84</c:v>
                </c:pt>
                <c:pt idx="133">
                  <c:v>74.7</c:v>
                </c:pt>
                <c:pt idx="134">
                  <c:v>75.010000000000005</c:v>
                </c:pt>
                <c:pt idx="135">
                  <c:v>74.48</c:v>
                </c:pt>
                <c:pt idx="136">
                  <c:v>74.62</c:v>
                </c:pt>
                <c:pt idx="137">
                  <c:v>75.650000000000006</c:v>
                </c:pt>
                <c:pt idx="138">
                  <c:v>76.86</c:v>
                </c:pt>
                <c:pt idx="139">
                  <c:v>77.02</c:v>
                </c:pt>
                <c:pt idx="140">
                  <c:v>77.05</c:v>
                </c:pt>
                <c:pt idx="141">
                  <c:v>78.09</c:v>
                </c:pt>
                <c:pt idx="142">
                  <c:v>77.25</c:v>
                </c:pt>
                <c:pt idx="143">
                  <c:v>77.45</c:v>
                </c:pt>
                <c:pt idx="144">
                  <c:v>78.7</c:v>
                </c:pt>
                <c:pt idx="145">
                  <c:v>79.59</c:v>
                </c:pt>
                <c:pt idx="146">
                  <c:v>79.319999999999993</c:v>
                </c:pt>
                <c:pt idx="147">
                  <c:v>79.66</c:v>
                </c:pt>
                <c:pt idx="148">
                  <c:v>79.709999999999994</c:v>
                </c:pt>
                <c:pt idx="149">
                  <c:v>81.69</c:v>
                </c:pt>
                <c:pt idx="150">
                  <c:v>83.96</c:v>
                </c:pt>
                <c:pt idx="151">
                  <c:v>82.57</c:v>
                </c:pt>
                <c:pt idx="152">
                  <c:v>83.71</c:v>
                </c:pt>
                <c:pt idx="153">
                  <c:v>85.24</c:v>
                </c:pt>
                <c:pt idx="154">
                  <c:v>85.58</c:v>
                </c:pt>
                <c:pt idx="155">
                  <c:v>85.48</c:v>
                </c:pt>
                <c:pt idx="156">
                  <c:v>85.2</c:v>
                </c:pt>
                <c:pt idx="157">
                  <c:v>85.51</c:v>
                </c:pt>
                <c:pt idx="158">
                  <c:v>84.9</c:v>
                </c:pt>
                <c:pt idx="159">
                  <c:v>86.72</c:v>
                </c:pt>
                <c:pt idx="160">
                  <c:v>86.42</c:v>
                </c:pt>
                <c:pt idx="161">
                  <c:v>86.18</c:v>
                </c:pt>
                <c:pt idx="162">
                  <c:v>86.39</c:v>
                </c:pt>
                <c:pt idx="163">
                  <c:v>86.54</c:v>
                </c:pt>
                <c:pt idx="164">
                  <c:v>88.9</c:v>
                </c:pt>
                <c:pt idx="165">
                  <c:v>91.58</c:v>
                </c:pt>
                <c:pt idx="166">
                  <c:v>90.31</c:v>
                </c:pt>
                <c:pt idx="167">
                  <c:v>87.12</c:v>
                </c:pt>
                <c:pt idx="168">
                  <c:v>86.35</c:v>
                </c:pt>
                <c:pt idx="169">
                  <c:v>86.15</c:v>
                </c:pt>
                <c:pt idx="170">
                  <c:v>84.25</c:v>
                </c:pt>
                <c:pt idx="171">
                  <c:v>83.56</c:v>
                </c:pt>
                <c:pt idx="172">
                  <c:v>83.83</c:v>
                </c:pt>
                <c:pt idx="173">
                  <c:v>83.68</c:v>
                </c:pt>
                <c:pt idx="174">
                  <c:v>84.21</c:v>
                </c:pt>
                <c:pt idx="175">
                  <c:v>85.21</c:v>
                </c:pt>
                <c:pt idx="176">
                  <c:v>83.78</c:v>
                </c:pt>
                <c:pt idx="177">
                  <c:v>83.06</c:v>
                </c:pt>
                <c:pt idx="178">
                  <c:v>82.82</c:v>
                </c:pt>
                <c:pt idx="179">
                  <c:v>85.06</c:v>
                </c:pt>
                <c:pt idx="180">
                  <c:v>86.94</c:v>
                </c:pt>
                <c:pt idx="181">
                  <c:v>86.29</c:v>
                </c:pt>
                <c:pt idx="182">
                  <c:v>87.36</c:v>
                </c:pt>
                <c:pt idx="183">
                  <c:v>86.01</c:v>
                </c:pt>
                <c:pt idx="184">
                  <c:v>85.51</c:v>
                </c:pt>
                <c:pt idx="185">
                  <c:v>84.88</c:v>
                </c:pt>
                <c:pt idx="186">
                  <c:v>83.44</c:v>
                </c:pt>
                <c:pt idx="187">
                  <c:v>83.2</c:v>
                </c:pt>
                <c:pt idx="188">
                  <c:v>83.99</c:v>
                </c:pt>
                <c:pt idx="189">
                  <c:v>82.93</c:v>
                </c:pt>
                <c:pt idx="190">
                  <c:v>83.56</c:v>
                </c:pt>
                <c:pt idx="191">
                  <c:v>83.66</c:v>
                </c:pt>
                <c:pt idx="192">
                  <c:v>81.94</c:v>
                </c:pt>
                <c:pt idx="193">
                  <c:v>82.82</c:v>
                </c:pt>
                <c:pt idx="194">
                  <c:v>82.39</c:v>
                </c:pt>
                <c:pt idx="195">
                  <c:v>83.12</c:v>
                </c:pt>
                <c:pt idx="196">
                  <c:v>81.62</c:v>
                </c:pt>
                <c:pt idx="197">
                  <c:v>81.19</c:v>
                </c:pt>
                <c:pt idx="198">
                  <c:v>80.89</c:v>
                </c:pt>
                <c:pt idx="199">
                  <c:v>80.430000000000007</c:v>
                </c:pt>
                <c:pt idx="200">
                  <c:v>79.8</c:v>
                </c:pt>
                <c:pt idx="201">
                  <c:v>78.89</c:v>
                </c:pt>
                <c:pt idx="202">
                  <c:v>78.06</c:v>
                </c:pt>
                <c:pt idx="203">
                  <c:v>79.150000000000006</c:v>
                </c:pt>
                <c:pt idx="204">
                  <c:v>78.77</c:v>
                </c:pt>
                <c:pt idx="205">
                  <c:v>78.290000000000006</c:v>
                </c:pt>
                <c:pt idx="206">
                  <c:v>77.42</c:v>
                </c:pt>
                <c:pt idx="207">
                  <c:v>78.650000000000006</c:v>
                </c:pt>
                <c:pt idx="208">
                  <c:v>81.11</c:v>
                </c:pt>
                <c:pt idx="209">
                  <c:v>78.900000000000006</c:v>
                </c:pt>
                <c:pt idx="210">
                  <c:v>78.66</c:v>
                </c:pt>
                <c:pt idx="211">
                  <c:v>79.47</c:v>
                </c:pt>
                <c:pt idx="212">
                  <c:v>80.760000000000005</c:v>
                </c:pt>
                <c:pt idx="213">
                  <c:v>78.98</c:v>
                </c:pt>
                <c:pt idx="214">
                  <c:v>77.95</c:v>
                </c:pt>
                <c:pt idx="215">
                  <c:v>78.77</c:v>
                </c:pt>
                <c:pt idx="216">
                  <c:v>78.22</c:v>
                </c:pt>
                <c:pt idx="217">
                  <c:v>79.27</c:v>
                </c:pt>
                <c:pt idx="218">
                  <c:v>80.069999999999993</c:v>
                </c:pt>
                <c:pt idx="219">
                  <c:v>79.989999999999995</c:v>
                </c:pt>
                <c:pt idx="220">
                  <c:v>80.16</c:v>
                </c:pt>
                <c:pt idx="221">
                  <c:v>79.55</c:v>
                </c:pt>
                <c:pt idx="222">
                  <c:v>79.989999999999995</c:v>
                </c:pt>
                <c:pt idx="223">
                  <c:v>79.069999999999993</c:v>
                </c:pt>
                <c:pt idx="224">
                  <c:v>78.08</c:v>
                </c:pt>
                <c:pt idx="225">
                  <c:v>78.400000000000006</c:v>
                </c:pt>
                <c:pt idx="226">
                  <c:v>77.52</c:v>
                </c:pt>
                <c:pt idx="227">
                  <c:v>78.17</c:v>
                </c:pt>
                <c:pt idx="228">
                  <c:v>77.86</c:v>
                </c:pt>
                <c:pt idx="229">
                  <c:v>77.73</c:v>
                </c:pt>
                <c:pt idx="230">
                  <c:v>78</c:v>
                </c:pt>
                <c:pt idx="231">
                  <c:v>78.77</c:v>
                </c:pt>
                <c:pt idx="232">
                  <c:v>77.03</c:v>
                </c:pt>
                <c:pt idx="233">
                  <c:v>76.150000000000006</c:v>
                </c:pt>
                <c:pt idx="234">
                  <c:v>76.13</c:v>
                </c:pt>
                <c:pt idx="235">
                  <c:v>75.81</c:v>
                </c:pt>
                <c:pt idx="236">
                  <c:v>75.33</c:v>
                </c:pt>
                <c:pt idx="237">
                  <c:v>75.61</c:v>
                </c:pt>
                <c:pt idx="238">
                  <c:v>76.64</c:v>
                </c:pt>
                <c:pt idx="239">
                  <c:v>75.930000000000007</c:v>
                </c:pt>
                <c:pt idx="240">
                  <c:v>75.849999999999994</c:v>
                </c:pt>
                <c:pt idx="241">
                  <c:v>76.33</c:v>
                </c:pt>
                <c:pt idx="242">
                  <c:v>78.03</c:v>
                </c:pt>
                <c:pt idx="243">
                  <c:v>76.819999999999993</c:v>
                </c:pt>
                <c:pt idx="244">
                  <c:v>78.17</c:v>
                </c:pt>
                <c:pt idx="245">
                  <c:v>78.400000000000006</c:v>
                </c:pt>
                <c:pt idx="246">
                  <c:v>77.56</c:v>
                </c:pt>
                <c:pt idx="247">
                  <c:v>78.45</c:v>
                </c:pt>
                <c:pt idx="248">
                  <c:v>79.03</c:v>
                </c:pt>
                <c:pt idx="249">
                  <c:v>80.069999999999993</c:v>
                </c:pt>
                <c:pt idx="250">
                  <c:v>79.599999999999994</c:v>
                </c:pt>
                <c:pt idx="251">
                  <c:v>79.88</c:v>
                </c:pt>
                <c:pt idx="252">
                  <c:v>79.66</c:v>
                </c:pt>
                <c:pt idx="253">
                  <c:v>80.37</c:v>
                </c:pt>
                <c:pt idx="254">
                  <c:v>80.31</c:v>
                </c:pt>
                <c:pt idx="255">
                  <c:v>79.53</c:v>
                </c:pt>
                <c:pt idx="256">
                  <c:v>79.7</c:v>
                </c:pt>
                <c:pt idx="257">
                  <c:v>81.73</c:v>
                </c:pt>
                <c:pt idx="258">
                  <c:v>81.64</c:v>
                </c:pt>
                <c:pt idx="259">
                  <c:v>81.91</c:v>
                </c:pt>
                <c:pt idx="260">
                  <c:v>81.47</c:v>
                </c:pt>
                <c:pt idx="261">
                  <c:v>80.400000000000006</c:v>
                </c:pt>
                <c:pt idx="262">
                  <c:v>80.13</c:v>
                </c:pt>
                <c:pt idx="263">
                  <c:v>80.47</c:v>
                </c:pt>
                <c:pt idx="264">
                  <c:v>79.75</c:v>
                </c:pt>
                <c:pt idx="265">
                  <c:v>79.88</c:v>
                </c:pt>
                <c:pt idx="266">
                  <c:v>79.209999999999994</c:v>
                </c:pt>
                <c:pt idx="267">
                  <c:v>79.319999999999993</c:v>
                </c:pt>
                <c:pt idx="268">
                  <c:v>78.95</c:v>
                </c:pt>
                <c:pt idx="269">
                  <c:v>79.28</c:v>
                </c:pt>
                <c:pt idx="270">
                  <c:v>80.62</c:v>
                </c:pt>
                <c:pt idx="271">
                  <c:v>81</c:v>
                </c:pt>
                <c:pt idx="272">
                  <c:v>79.819999999999993</c:v>
                </c:pt>
                <c:pt idx="273">
                  <c:v>81.14</c:v>
                </c:pt>
                <c:pt idx="274">
                  <c:v>80.86</c:v>
                </c:pt>
                <c:pt idx="275">
                  <c:v>80.849999999999994</c:v>
                </c:pt>
                <c:pt idx="276">
                  <c:v>80.89</c:v>
                </c:pt>
                <c:pt idx="277">
                  <c:v>80.400000000000006</c:v>
                </c:pt>
                <c:pt idx="278">
                  <c:v>79.63</c:v>
                </c:pt>
                <c:pt idx="279">
                  <c:v>80.069999999999993</c:v>
                </c:pt>
                <c:pt idx="280">
                  <c:v>79.48</c:v>
                </c:pt>
                <c:pt idx="281">
                  <c:v>79.5</c:v>
                </c:pt>
                <c:pt idx="282">
                  <c:v>79.819999999999993</c:v>
                </c:pt>
                <c:pt idx="283">
                  <c:v>79.94</c:v>
                </c:pt>
                <c:pt idx="284">
                  <c:v>79.260000000000005</c:v>
                </c:pt>
                <c:pt idx="285">
                  <c:v>79.45</c:v>
                </c:pt>
                <c:pt idx="286">
                  <c:v>79.430000000000007</c:v>
                </c:pt>
                <c:pt idx="287">
                  <c:v>79.23</c:v>
                </c:pt>
                <c:pt idx="288">
                  <c:v>79.06</c:v>
                </c:pt>
                <c:pt idx="289">
                  <c:v>79.400000000000006</c:v>
                </c:pt>
                <c:pt idx="290">
                  <c:v>78.42</c:v>
                </c:pt>
                <c:pt idx="291">
                  <c:v>78.55</c:v>
                </c:pt>
                <c:pt idx="292">
                  <c:v>78.290000000000006</c:v>
                </c:pt>
                <c:pt idx="293">
                  <c:v>78.290000000000006</c:v>
                </c:pt>
                <c:pt idx="294">
                  <c:v>78.41</c:v>
                </c:pt>
                <c:pt idx="295">
                  <c:v>77.489999999999995</c:v>
                </c:pt>
                <c:pt idx="296">
                  <c:v>77.3</c:v>
                </c:pt>
                <c:pt idx="297">
                  <c:v>77.040000000000006</c:v>
                </c:pt>
                <c:pt idx="298">
                  <c:v>77.37</c:v>
                </c:pt>
                <c:pt idx="299">
                  <c:v>77.069999999999993</c:v>
                </c:pt>
                <c:pt idx="300">
                  <c:v>76.959999999999994</c:v>
                </c:pt>
                <c:pt idx="301">
                  <c:v>76</c:v>
                </c:pt>
                <c:pt idx="302">
                  <c:v>76.319999999999993</c:v>
                </c:pt>
                <c:pt idx="303">
                  <c:v>76.459999999999994</c:v>
                </c:pt>
                <c:pt idx="304">
                  <c:v>76.83</c:v>
                </c:pt>
                <c:pt idx="305">
                  <c:v>77.28</c:v>
                </c:pt>
                <c:pt idx="306">
                  <c:v>77.239999999999995</c:v>
                </c:pt>
                <c:pt idx="307">
                  <c:v>77.53</c:v>
                </c:pt>
                <c:pt idx="308">
                  <c:v>78.31</c:v>
                </c:pt>
                <c:pt idx="309">
                  <c:v>79.02</c:v>
                </c:pt>
                <c:pt idx="310">
                  <c:v>78.23</c:v>
                </c:pt>
                <c:pt idx="311">
                  <c:v>78.989999999999995</c:v>
                </c:pt>
                <c:pt idx="312">
                  <c:v>78.64</c:v>
                </c:pt>
                <c:pt idx="313">
                  <c:v>79.069999999999993</c:v>
                </c:pt>
                <c:pt idx="314">
                  <c:v>79.709999999999994</c:v>
                </c:pt>
                <c:pt idx="315">
                  <c:v>80.319999999999993</c:v>
                </c:pt>
                <c:pt idx="316">
                  <c:v>79.73</c:v>
                </c:pt>
                <c:pt idx="317">
                  <c:v>79.849999999999994</c:v>
                </c:pt>
                <c:pt idx="318">
                  <c:v>78.23</c:v>
                </c:pt>
                <c:pt idx="319">
                  <c:v>78.23</c:v>
                </c:pt>
                <c:pt idx="320">
                  <c:v>79.05</c:v>
                </c:pt>
                <c:pt idx="321">
                  <c:v>78.63</c:v>
                </c:pt>
                <c:pt idx="322">
                  <c:v>79.709999999999994</c:v>
                </c:pt>
                <c:pt idx="323">
                  <c:v>78.77</c:v>
                </c:pt>
                <c:pt idx="324">
                  <c:v>79.209999999999994</c:v>
                </c:pt>
                <c:pt idx="325">
                  <c:v>79.64</c:v>
                </c:pt>
                <c:pt idx="326">
                  <c:v>79.31</c:v>
                </c:pt>
                <c:pt idx="327">
                  <c:v>79.680000000000007</c:v>
                </c:pt>
                <c:pt idx="328">
                  <c:v>79.400000000000006</c:v>
                </c:pt>
                <c:pt idx="329">
                  <c:v>78.84</c:v>
                </c:pt>
                <c:pt idx="330">
                  <c:v>78.930000000000007</c:v>
                </c:pt>
                <c:pt idx="331">
                  <c:v>78.900000000000006</c:v>
                </c:pt>
                <c:pt idx="332">
                  <c:v>79.23</c:v>
                </c:pt>
                <c:pt idx="333">
                  <c:v>79.510000000000005</c:v>
                </c:pt>
                <c:pt idx="334">
                  <c:v>79.459999999999994</c:v>
                </c:pt>
                <c:pt idx="335">
                  <c:v>80.040000000000006</c:v>
                </c:pt>
                <c:pt idx="336">
                  <c:v>79.849999999999994</c:v>
                </c:pt>
                <c:pt idx="337">
                  <c:v>79.400000000000006</c:v>
                </c:pt>
                <c:pt idx="338">
                  <c:v>79.739999999999995</c:v>
                </c:pt>
                <c:pt idx="339">
                  <c:v>79.75</c:v>
                </c:pt>
                <c:pt idx="340">
                  <c:v>80.59</c:v>
                </c:pt>
                <c:pt idx="341">
                  <c:v>82.06</c:v>
                </c:pt>
                <c:pt idx="342">
                  <c:v>82.3</c:v>
                </c:pt>
                <c:pt idx="343">
                  <c:v>81.99</c:v>
                </c:pt>
                <c:pt idx="344">
                  <c:v>83.12</c:v>
                </c:pt>
                <c:pt idx="345">
                  <c:v>85.11</c:v>
                </c:pt>
                <c:pt idx="346">
                  <c:v>83.99</c:v>
                </c:pt>
                <c:pt idx="347">
                  <c:v>83.27</c:v>
                </c:pt>
                <c:pt idx="348">
                  <c:v>82.93</c:v>
                </c:pt>
                <c:pt idx="349">
                  <c:v>83.43</c:v>
                </c:pt>
                <c:pt idx="350">
                  <c:v>83.51</c:v>
                </c:pt>
                <c:pt idx="351">
                  <c:v>81.64</c:v>
                </c:pt>
                <c:pt idx="352">
                  <c:v>80.97</c:v>
                </c:pt>
                <c:pt idx="353">
                  <c:v>80.63</c:v>
                </c:pt>
                <c:pt idx="354">
                  <c:v>80.069999999999993</c:v>
                </c:pt>
                <c:pt idx="355">
                  <c:v>80.459999999999994</c:v>
                </c:pt>
                <c:pt idx="356">
                  <c:v>80.52</c:v>
                </c:pt>
                <c:pt idx="357">
                  <c:v>79.7</c:v>
                </c:pt>
                <c:pt idx="358">
                  <c:v>79.459999999999994</c:v>
                </c:pt>
                <c:pt idx="359">
                  <c:v>79.510000000000005</c:v>
                </c:pt>
                <c:pt idx="360">
                  <c:v>79.319999999999993</c:v>
                </c:pt>
                <c:pt idx="361">
                  <c:v>78.489999999999995</c:v>
                </c:pt>
                <c:pt idx="362">
                  <c:v>78.66</c:v>
                </c:pt>
                <c:pt idx="363">
                  <c:v>78.66</c:v>
                </c:pt>
                <c:pt idx="364">
                  <c:v>78.34</c:v>
                </c:pt>
                <c:pt idx="365">
                  <c:v>77.94</c:v>
                </c:pt>
                <c:pt idx="366">
                  <c:v>77.8</c:v>
                </c:pt>
                <c:pt idx="367">
                  <c:v>76.92</c:v>
                </c:pt>
                <c:pt idx="368">
                  <c:v>76.5</c:v>
                </c:pt>
                <c:pt idx="369">
                  <c:v>76.73</c:v>
                </c:pt>
                <c:pt idx="370">
                  <c:v>76.010000000000005</c:v>
                </c:pt>
                <c:pt idx="371">
                  <c:v>75.58</c:v>
                </c:pt>
                <c:pt idx="372">
                  <c:v>75.56</c:v>
                </c:pt>
                <c:pt idx="373">
                  <c:v>75.02</c:v>
                </c:pt>
                <c:pt idx="374">
                  <c:v>74.959999999999994</c:v>
                </c:pt>
                <c:pt idx="375">
                  <c:v>74.849999999999994</c:v>
                </c:pt>
                <c:pt idx="376">
                  <c:v>74.63</c:v>
                </c:pt>
                <c:pt idx="377">
                  <c:v>73.430000000000007</c:v>
                </c:pt>
                <c:pt idx="378">
                  <c:v>72.900000000000006</c:v>
                </c:pt>
                <c:pt idx="379">
                  <c:v>72.47</c:v>
                </c:pt>
                <c:pt idx="380">
                  <c:v>72.63</c:v>
                </c:pt>
                <c:pt idx="381">
                  <c:v>72.569999999999993</c:v>
                </c:pt>
                <c:pt idx="382">
                  <c:v>71.540000000000006</c:v>
                </c:pt>
                <c:pt idx="383">
                  <c:v>72.099999999999994</c:v>
                </c:pt>
                <c:pt idx="384">
                  <c:v>72.81</c:v>
                </c:pt>
                <c:pt idx="385">
                  <c:v>72.94</c:v>
                </c:pt>
                <c:pt idx="386">
                  <c:v>73.900000000000006</c:v>
                </c:pt>
                <c:pt idx="387">
                  <c:v>73.47</c:v>
                </c:pt>
                <c:pt idx="388">
                  <c:v>73.8</c:v>
                </c:pt>
                <c:pt idx="389">
                  <c:v>72.62</c:v>
                </c:pt>
                <c:pt idx="390">
                  <c:v>72.48</c:v>
                </c:pt>
                <c:pt idx="391">
                  <c:v>73.59</c:v>
                </c:pt>
                <c:pt idx="392">
                  <c:v>73.66</c:v>
                </c:pt>
                <c:pt idx="393">
                  <c:v>74.48</c:v>
                </c:pt>
                <c:pt idx="394">
                  <c:v>74.86</c:v>
                </c:pt>
                <c:pt idx="395">
                  <c:v>74.69</c:v>
                </c:pt>
                <c:pt idx="396">
                  <c:v>75.05</c:v>
                </c:pt>
                <c:pt idx="397">
                  <c:v>75.8</c:v>
                </c:pt>
                <c:pt idx="398">
                  <c:v>75.08</c:v>
                </c:pt>
                <c:pt idx="399">
                  <c:v>74.430000000000007</c:v>
                </c:pt>
                <c:pt idx="400">
                  <c:v>74.260000000000005</c:v>
                </c:pt>
                <c:pt idx="401">
                  <c:v>75.22</c:v>
                </c:pt>
                <c:pt idx="402">
                  <c:v>76.099999999999994</c:v>
                </c:pt>
                <c:pt idx="403">
                  <c:v>75.64</c:v>
                </c:pt>
                <c:pt idx="404">
                  <c:v>76.319999999999993</c:v>
                </c:pt>
                <c:pt idx="405">
                  <c:v>75.44</c:v>
                </c:pt>
                <c:pt idx="406">
                  <c:v>75.75</c:v>
                </c:pt>
                <c:pt idx="407">
                  <c:v>77.400000000000006</c:v>
                </c:pt>
                <c:pt idx="408">
                  <c:v>78.510000000000005</c:v>
                </c:pt>
                <c:pt idx="409">
                  <c:v>77.819999999999993</c:v>
                </c:pt>
                <c:pt idx="410">
                  <c:v>78.42</c:v>
                </c:pt>
                <c:pt idx="411">
                  <c:v>77.78</c:v>
                </c:pt>
                <c:pt idx="412">
                  <c:v>77.88</c:v>
                </c:pt>
                <c:pt idx="413">
                  <c:v>74.86</c:v>
                </c:pt>
                <c:pt idx="414">
                  <c:v>74.61</c:v>
                </c:pt>
                <c:pt idx="415">
                  <c:v>74.989999999999995</c:v>
                </c:pt>
                <c:pt idx="416">
                  <c:v>74.48</c:v>
                </c:pt>
                <c:pt idx="417">
                  <c:v>74.459999999999994</c:v>
                </c:pt>
                <c:pt idx="418">
                  <c:v>74.48</c:v>
                </c:pt>
                <c:pt idx="419">
                  <c:v>74.38</c:v>
                </c:pt>
                <c:pt idx="420">
                  <c:v>74.52</c:v>
                </c:pt>
                <c:pt idx="421">
                  <c:v>74.52</c:v>
                </c:pt>
                <c:pt idx="422">
                  <c:v>74.650000000000006</c:v>
                </c:pt>
                <c:pt idx="423">
                  <c:v>76.23</c:v>
                </c:pt>
                <c:pt idx="424">
                  <c:v>75.400000000000006</c:v>
                </c:pt>
                <c:pt idx="425">
                  <c:v>73.77</c:v>
                </c:pt>
                <c:pt idx="426">
                  <c:v>74.180000000000007</c:v>
                </c:pt>
                <c:pt idx="427">
                  <c:v>73.45</c:v>
                </c:pt>
                <c:pt idx="428">
                  <c:v>72.459999999999994</c:v>
                </c:pt>
                <c:pt idx="429">
                  <c:v>71.5</c:v>
                </c:pt>
                <c:pt idx="430">
                  <c:v>70.989999999999995</c:v>
                </c:pt>
                <c:pt idx="431">
                  <c:v>70.61</c:v>
                </c:pt>
                <c:pt idx="432">
                  <c:v>69.95</c:v>
                </c:pt>
                <c:pt idx="433">
                  <c:v>69.61</c:v>
                </c:pt>
                <c:pt idx="434">
                  <c:v>68.52</c:v>
                </c:pt>
                <c:pt idx="435">
                  <c:v>68.16</c:v>
                </c:pt>
                <c:pt idx="436">
                  <c:v>67.959999999999994</c:v>
                </c:pt>
                <c:pt idx="437">
                  <c:v>69.87</c:v>
                </c:pt>
                <c:pt idx="438">
                  <c:v>71.39</c:v>
                </c:pt>
                <c:pt idx="439">
                  <c:v>71.2</c:v>
                </c:pt>
                <c:pt idx="440">
                  <c:v>71.400000000000006</c:v>
                </c:pt>
                <c:pt idx="441">
                  <c:v>72.02</c:v>
                </c:pt>
                <c:pt idx="442">
                  <c:v>71.94</c:v>
                </c:pt>
                <c:pt idx="443">
                  <c:v>72.05</c:v>
                </c:pt>
                <c:pt idx="444">
                  <c:v>71.599999999999994</c:v>
                </c:pt>
                <c:pt idx="445">
                  <c:v>71.2</c:v>
                </c:pt>
                <c:pt idx="446">
                  <c:v>70.25</c:v>
                </c:pt>
                <c:pt idx="447">
                  <c:v>69.349999999999994</c:v>
                </c:pt>
                <c:pt idx="448">
                  <c:v>69.489999999999995</c:v>
                </c:pt>
                <c:pt idx="449">
                  <c:v>69.72</c:v>
                </c:pt>
                <c:pt idx="450">
                  <c:v>70.16</c:v>
                </c:pt>
                <c:pt idx="451">
                  <c:v>70.599999999999994</c:v>
                </c:pt>
                <c:pt idx="452">
                  <c:v>70.099999999999994</c:v>
                </c:pt>
                <c:pt idx="453">
                  <c:v>69.8</c:v>
                </c:pt>
                <c:pt idx="454">
                  <c:v>69.63</c:v>
                </c:pt>
                <c:pt idx="455">
                  <c:v>69.86</c:v>
                </c:pt>
                <c:pt idx="456">
                  <c:v>69.8</c:v>
                </c:pt>
                <c:pt idx="457">
                  <c:v>69.83</c:v>
                </c:pt>
                <c:pt idx="458">
                  <c:v>70</c:v>
                </c:pt>
                <c:pt idx="459">
                  <c:v>69.94</c:v>
                </c:pt>
                <c:pt idx="460">
                  <c:v>69.5</c:v>
                </c:pt>
                <c:pt idx="461">
                  <c:v>68.95</c:v>
                </c:pt>
                <c:pt idx="462">
                  <c:v>68.3</c:v>
                </c:pt>
                <c:pt idx="463">
                  <c:v>68.739999999999995</c:v>
                </c:pt>
                <c:pt idx="464">
                  <c:v>68.099999999999994</c:v>
                </c:pt>
                <c:pt idx="465">
                  <c:v>67.75</c:v>
                </c:pt>
                <c:pt idx="466">
                  <c:v>66.959999999999994</c:v>
                </c:pt>
                <c:pt idx="467">
                  <c:v>68.2</c:v>
                </c:pt>
                <c:pt idx="468">
                  <c:v>68.8</c:v>
                </c:pt>
                <c:pt idx="469">
                  <c:v>67.45</c:v>
                </c:pt>
                <c:pt idx="470">
                  <c:v>67.459999999999994</c:v>
                </c:pt>
                <c:pt idx="471">
                  <c:v>66.8</c:v>
                </c:pt>
                <c:pt idx="472">
                  <c:v>66.459999999999994</c:v>
                </c:pt>
                <c:pt idx="473">
                  <c:v>66.83</c:v>
                </c:pt>
                <c:pt idx="474">
                  <c:v>66.95</c:v>
                </c:pt>
                <c:pt idx="475">
                  <c:v>67</c:v>
                </c:pt>
                <c:pt idx="476">
                  <c:v>67.28</c:v>
                </c:pt>
                <c:pt idx="477">
                  <c:v>67.03</c:v>
                </c:pt>
                <c:pt idx="478">
                  <c:v>66.8</c:v>
                </c:pt>
                <c:pt idx="479">
                  <c:v>66.650000000000006</c:v>
                </c:pt>
                <c:pt idx="480">
                  <c:v>67.2</c:v>
                </c:pt>
                <c:pt idx="481">
                  <c:v>67.489999999999995</c:v>
                </c:pt>
                <c:pt idx="482">
                  <c:v>68</c:v>
                </c:pt>
                <c:pt idx="483">
                  <c:v>67.959999999999994</c:v>
                </c:pt>
                <c:pt idx="484">
                  <c:v>67.63</c:v>
                </c:pt>
                <c:pt idx="485">
                  <c:v>68.2</c:v>
                </c:pt>
                <c:pt idx="486">
                  <c:v>68.36</c:v>
                </c:pt>
                <c:pt idx="487">
                  <c:v>67.989999999999995</c:v>
                </c:pt>
                <c:pt idx="488">
                  <c:v>67</c:v>
                </c:pt>
                <c:pt idx="489">
                  <c:v>68.349999999999994</c:v>
                </c:pt>
                <c:pt idx="490">
                  <c:v>68.2</c:v>
                </c:pt>
                <c:pt idx="491">
                  <c:v>68.040000000000006</c:v>
                </c:pt>
                <c:pt idx="492">
                  <c:v>67.45</c:v>
                </c:pt>
                <c:pt idx="493">
                  <c:v>67.25</c:v>
                </c:pt>
                <c:pt idx="494">
                  <c:v>67.900000000000006</c:v>
                </c:pt>
                <c:pt idx="495">
                  <c:v>67.42</c:v>
                </c:pt>
                <c:pt idx="496">
                  <c:v>68.17</c:v>
                </c:pt>
                <c:pt idx="497">
                  <c:v>68.430000000000007</c:v>
                </c:pt>
                <c:pt idx="498">
                  <c:v>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E-4D6A-8FD1-10E714A3B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435343"/>
        <c:axId val="1092427647"/>
      </c:lineChart>
      <c:dateAx>
        <c:axId val="114043534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27647"/>
        <c:crosses val="autoZero"/>
        <c:auto val="1"/>
        <c:lblOffset val="100"/>
        <c:baseTimeUnit val="days"/>
        <c:majorUnit val="60"/>
        <c:majorTimeUnit val="years"/>
      </c:dateAx>
      <c:valAx>
        <c:axId val="10924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35343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Diária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numRef>
              <c:f>Análise_Variação!$A$3:$A$501</c:f>
              <c:numCache>
                <c:formatCode>m/d/yyyy</c:formatCode>
                <c:ptCount val="499"/>
                <c:pt idx="0">
                  <c:v>45491</c:v>
                </c:pt>
                <c:pt idx="1">
                  <c:v>45492</c:v>
                </c:pt>
                <c:pt idx="2">
                  <c:v>45495</c:v>
                </c:pt>
                <c:pt idx="3">
                  <c:v>45496</c:v>
                </c:pt>
                <c:pt idx="4">
                  <c:v>45497</c:v>
                </c:pt>
                <c:pt idx="5">
                  <c:v>45498</c:v>
                </c:pt>
                <c:pt idx="6">
                  <c:v>45499</c:v>
                </c:pt>
                <c:pt idx="7">
                  <c:v>45502</c:v>
                </c:pt>
                <c:pt idx="8">
                  <c:v>45503</c:v>
                </c:pt>
                <c:pt idx="9">
                  <c:v>45504</c:v>
                </c:pt>
                <c:pt idx="10">
                  <c:v>45505</c:v>
                </c:pt>
                <c:pt idx="11">
                  <c:v>45506</c:v>
                </c:pt>
                <c:pt idx="12">
                  <c:v>45509</c:v>
                </c:pt>
                <c:pt idx="13">
                  <c:v>45510</c:v>
                </c:pt>
                <c:pt idx="14">
                  <c:v>45511</c:v>
                </c:pt>
                <c:pt idx="15">
                  <c:v>45512</c:v>
                </c:pt>
                <c:pt idx="16">
                  <c:v>45513</c:v>
                </c:pt>
                <c:pt idx="17">
                  <c:v>45516</c:v>
                </c:pt>
                <c:pt idx="18">
                  <c:v>45517</c:v>
                </c:pt>
                <c:pt idx="19">
                  <c:v>45518</c:v>
                </c:pt>
                <c:pt idx="20">
                  <c:v>45519</c:v>
                </c:pt>
                <c:pt idx="21">
                  <c:v>45520</c:v>
                </c:pt>
                <c:pt idx="22">
                  <c:v>45523</c:v>
                </c:pt>
                <c:pt idx="23">
                  <c:v>45524</c:v>
                </c:pt>
                <c:pt idx="24">
                  <c:v>45525</c:v>
                </c:pt>
                <c:pt idx="25">
                  <c:v>45526</c:v>
                </c:pt>
                <c:pt idx="26">
                  <c:v>45527</c:v>
                </c:pt>
                <c:pt idx="27">
                  <c:v>45530</c:v>
                </c:pt>
                <c:pt idx="28">
                  <c:v>45531</c:v>
                </c:pt>
                <c:pt idx="29">
                  <c:v>45532</c:v>
                </c:pt>
                <c:pt idx="30">
                  <c:v>45533</c:v>
                </c:pt>
                <c:pt idx="31">
                  <c:v>45534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45544</c:v>
                </c:pt>
                <c:pt idx="38">
                  <c:v>45545</c:v>
                </c:pt>
                <c:pt idx="39">
                  <c:v>45546</c:v>
                </c:pt>
                <c:pt idx="40">
                  <c:v>45547</c:v>
                </c:pt>
                <c:pt idx="41">
                  <c:v>45548</c:v>
                </c:pt>
                <c:pt idx="42">
                  <c:v>45551</c:v>
                </c:pt>
                <c:pt idx="43">
                  <c:v>45552</c:v>
                </c:pt>
                <c:pt idx="44">
                  <c:v>45553</c:v>
                </c:pt>
                <c:pt idx="45">
                  <c:v>45554</c:v>
                </c:pt>
                <c:pt idx="46">
                  <c:v>45555</c:v>
                </c:pt>
                <c:pt idx="47">
                  <c:v>45558</c:v>
                </c:pt>
                <c:pt idx="48">
                  <c:v>45559</c:v>
                </c:pt>
                <c:pt idx="49">
                  <c:v>45560</c:v>
                </c:pt>
                <c:pt idx="50">
                  <c:v>45561</c:v>
                </c:pt>
                <c:pt idx="51">
                  <c:v>45562</c:v>
                </c:pt>
                <c:pt idx="52">
                  <c:v>45565</c:v>
                </c:pt>
                <c:pt idx="53">
                  <c:v>45566</c:v>
                </c:pt>
                <c:pt idx="54">
                  <c:v>45567</c:v>
                </c:pt>
                <c:pt idx="55">
                  <c:v>45568</c:v>
                </c:pt>
                <c:pt idx="56">
                  <c:v>45569</c:v>
                </c:pt>
                <c:pt idx="57">
                  <c:v>45572</c:v>
                </c:pt>
                <c:pt idx="58">
                  <c:v>45573</c:v>
                </c:pt>
                <c:pt idx="59">
                  <c:v>45574</c:v>
                </c:pt>
                <c:pt idx="60">
                  <c:v>45575</c:v>
                </c:pt>
                <c:pt idx="61">
                  <c:v>45576</c:v>
                </c:pt>
                <c:pt idx="62">
                  <c:v>45579</c:v>
                </c:pt>
                <c:pt idx="63">
                  <c:v>45580</c:v>
                </c:pt>
                <c:pt idx="64">
                  <c:v>45581</c:v>
                </c:pt>
                <c:pt idx="65">
                  <c:v>45582</c:v>
                </c:pt>
                <c:pt idx="66">
                  <c:v>45583</c:v>
                </c:pt>
                <c:pt idx="67">
                  <c:v>45586</c:v>
                </c:pt>
                <c:pt idx="68">
                  <c:v>45587</c:v>
                </c:pt>
                <c:pt idx="69">
                  <c:v>45588</c:v>
                </c:pt>
                <c:pt idx="70">
                  <c:v>45589</c:v>
                </c:pt>
                <c:pt idx="71">
                  <c:v>45590</c:v>
                </c:pt>
                <c:pt idx="72">
                  <c:v>45593</c:v>
                </c:pt>
                <c:pt idx="73">
                  <c:v>45594</c:v>
                </c:pt>
                <c:pt idx="74">
                  <c:v>45595</c:v>
                </c:pt>
                <c:pt idx="75">
                  <c:v>45596</c:v>
                </c:pt>
                <c:pt idx="76">
                  <c:v>45597</c:v>
                </c:pt>
                <c:pt idx="77">
                  <c:v>45600</c:v>
                </c:pt>
                <c:pt idx="78">
                  <c:v>45601</c:v>
                </c:pt>
                <c:pt idx="79">
                  <c:v>45602</c:v>
                </c:pt>
                <c:pt idx="80">
                  <c:v>45603</c:v>
                </c:pt>
                <c:pt idx="81">
                  <c:v>45604</c:v>
                </c:pt>
                <c:pt idx="82">
                  <c:v>45607</c:v>
                </c:pt>
                <c:pt idx="83">
                  <c:v>45608</c:v>
                </c:pt>
                <c:pt idx="84">
                  <c:v>45609</c:v>
                </c:pt>
                <c:pt idx="85">
                  <c:v>45610</c:v>
                </c:pt>
                <c:pt idx="86">
                  <c:v>45614</c:v>
                </c:pt>
                <c:pt idx="87">
                  <c:v>45615</c:v>
                </c:pt>
                <c:pt idx="88">
                  <c:v>45617</c:v>
                </c:pt>
                <c:pt idx="89">
                  <c:v>45618</c:v>
                </c:pt>
                <c:pt idx="90">
                  <c:v>45621</c:v>
                </c:pt>
                <c:pt idx="91">
                  <c:v>45622</c:v>
                </c:pt>
                <c:pt idx="92">
                  <c:v>45623</c:v>
                </c:pt>
                <c:pt idx="93">
                  <c:v>45624</c:v>
                </c:pt>
                <c:pt idx="94">
                  <c:v>45625</c:v>
                </c:pt>
                <c:pt idx="95">
                  <c:v>45628</c:v>
                </c:pt>
                <c:pt idx="96">
                  <c:v>45629</c:v>
                </c:pt>
                <c:pt idx="97">
                  <c:v>45630</c:v>
                </c:pt>
                <c:pt idx="98">
                  <c:v>45631</c:v>
                </c:pt>
                <c:pt idx="99">
                  <c:v>45632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45652</c:v>
                </c:pt>
                <c:pt idx="112">
                  <c:v>45653</c:v>
                </c:pt>
                <c:pt idx="113">
                  <c:v>45656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45666</c:v>
                </c:pt>
                <c:pt idx="120">
                  <c:v>45667</c:v>
                </c:pt>
                <c:pt idx="121">
                  <c:v>45670</c:v>
                </c:pt>
                <c:pt idx="122">
                  <c:v>45671</c:v>
                </c:pt>
                <c:pt idx="123">
                  <c:v>45672</c:v>
                </c:pt>
                <c:pt idx="124">
                  <c:v>45673</c:v>
                </c:pt>
                <c:pt idx="125">
                  <c:v>45674</c:v>
                </c:pt>
                <c:pt idx="126">
                  <c:v>45677</c:v>
                </c:pt>
                <c:pt idx="127">
                  <c:v>45678</c:v>
                </c:pt>
                <c:pt idx="128">
                  <c:v>45679</c:v>
                </c:pt>
                <c:pt idx="129">
                  <c:v>45680</c:v>
                </c:pt>
                <c:pt idx="130">
                  <c:v>45681</c:v>
                </c:pt>
                <c:pt idx="131">
                  <c:v>45684</c:v>
                </c:pt>
                <c:pt idx="132">
                  <c:v>45685</c:v>
                </c:pt>
                <c:pt idx="133">
                  <c:v>45686</c:v>
                </c:pt>
                <c:pt idx="134">
                  <c:v>45687</c:v>
                </c:pt>
                <c:pt idx="135">
                  <c:v>45688</c:v>
                </c:pt>
                <c:pt idx="136">
                  <c:v>45691</c:v>
                </c:pt>
                <c:pt idx="137">
                  <c:v>45692</c:v>
                </c:pt>
                <c:pt idx="138">
                  <c:v>45693</c:v>
                </c:pt>
                <c:pt idx="139">
                  <c:v>45694</c:v>
                </c:pt>
                <c:pt idx="140">
                  <c:v>45695</c:v>
                </c:pt>
                <c:pt idx="141">
                  <c:v>45698</c:v>
                </c:pt>
                <c:pt idx="142">
                  <c:v>45699</c:v>
                </c:pt>
                <c:pt idx="143">
                  <c:v>45700</c:v>
                </c:pt>
                <c:pt idx="144">
                  <c:v>45701</c:v>
                </c:pt>
                <c:pt idx="145">
                  <c:v>45702</c:v>
                </c:pt>
                <c:pt idx="146">
                  <c:v>45705</c:v>
                </c:pt>
                <c:pt idx="147">
                  <c:v>45706</c:v>
                </c:pt>
                <c:pt idx="148">
                  <c:v>45707</c:v>
                </c:pt>
                <c:pt idx="149">
                  <c:v>45708</c:v>
                </c:pt>
                <c:pt idx="150">
                  <c:v>45709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45726</c:v>
                </c:pt>
                <c:pt idx="160">
                  <c:v>45727</c:v>
                </c:pt>
                <c:pt idx="161">
                  <c:v>45728</c:v>
                </c:pt>
                <c:pt idx="162">
                  <c:v>45729</c:v>
                </c:pt>
                <c:pt idx="163">
                  <c:v>45730</c:v>
                </c:pt>
                <c:pt idx="164">
                  <c:v>45733</c:v>
                </c:pt>
                <c:pt idx="165">
                  <c:v>45734</c:v>
                </c:pt>
                <c:pt idx="166">
                  <c:v>45735</c:v>
                </c:pt>
                <c:pt idx="167">
                  <c:v>45736</c:v>
                </c:pt>
                <c:pt idx="168">
                  <c:v>45737</c:v>
                </c:pt>
                <c:pt idx="169">
                  <c:v>45740</c:v>
                </c:pt>
                <c:pt idx="170">
                  <c:v>45741</c:v>
                </c:pt>
                <c:pt idx="171">
                  <c:v>45742</c:v>
                </c:pt>
                <c:pt idx="172">
                  <c:v>45743</c:v>
                </c:pt>
                <c:pt idx="173">
                  <c:v>45744</c:v>
                </c:pt>
                <c:pt idx="174">
                  <c:v>45747</c:v>
                </c:pt>
                <c:pt idx="175">
                  <c:v>45748</c:v>
                </c:pt>
                <c:pt idx="176">
                  <c:v>45749</c:v>
                </c:pt>
                <c:pt idx="177">
                  <c:v>45750</c:v>
                </c:pt>
                <c:pt idx="178">
                  <c:v>45751</c:v>
                </c:pt>
                <c:pt idx="179">
                  <c:v>45754</c:v>
                </c:pt>
                <c:pt idx="180">
                  <c:v>45755</c:v>
                </c:pt>
                <c:pt idx="181">
                  <c:v>45756</c:v>
                </c:pt>
                <c:pt idx="182">
                  <c:v>45757</c:v>
                </c:pt>
                <c:pt idx="183">
                  <c:v>45758</c:v>
                </c:pt>
                <c:pt idx="184">
                  <c:v>45761</c:v>
                </c:pt>
                <c:pt idx="185">
                  <c:v>45762</c:v>
                </c:pt>
                <c:pt idx="186">
                  <c:v>45763</c:v>
                </c:pt>
                <c:pt idx="187">
                  <c:v>45764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45775</c:v>
                </c:pt>
                <c:pt idx="193">
                  <c:v>45776</c:v>
                </c:pt>
                <c:pt idx="194">
                  <c:v>45777</c:v>
                </c:pt>
                <c:pt idx="195">
                  <c:v>45779</c:v>
                </c:pt>
                <c:pt idx="196">
                  <c:v>45782</c:v>
                </c:pt>
                <c:pt idx="197">
                  <c:v>45783</c:v>
                </c:pt>
                <c:pt idx="198">
                  <c:v>45784</c:v>
                </c:pt>
                <c:pt idx="199">
                  <c:v>45785</c:v>
                </c:pt>
                <c:pt idx="200">
                  <c:v>45786</c:v>
                </c:pt>
                <c:pt idx="201">
                  <c:v>45789</c:v>
                </c:pt>
                <c:pt idx="202">
                  <c:v>45790</c:v>
                </c:pt>
                <c:pt idx="203">
                  <c:v>45791</c:v>
                </c:pt>
                <c:pt idx="204">
                  <c:v>45792</c:v>
                </c:pt>
                <c:pt idx="205">
                  <c:v>45793</c:v>
                </c:pt>
                <c:pt idx="206">
                  <c:v>45796</c:v>
                </c:pt>
                <c:pt idx="207">
                  <c:v>45797</c:v>
                </c:pt>
                <c:pt idx="208">
                  <c:v>45798</c:v>
                </c:pt>
                <c:pt idx="209">
                  <c:v>45799</c:v>
                </c:pt>
                <c:pt idx="210">
                  <c:v>45800</c:v>
                </c:pt>
                <c:pt idx="211">
                  <c:v>45803</c:v>
                </c:pt>
                <c:pt idx="212">
                  <c:v>45804</c:v>
                </c:pt>
                <c:pt idx="213">
                  <c:v>45805</c:v>
                </c:pt>
                <c:pt idx="214">
                  <c:v>45806</c:v>
                </c:pt>
                <c:pt idx="215">
                  <c:v>45807</c:v>
                </c:pt>
                <c:pt idx="216">
                  <c:v>45810</c:v>
                </c:pt>
                <c:pt idx="217">
                  <c:v>45811</c:v>
                </c:pt>
                <c:pt idx="218">
                  <c:v>45812</c:v>
                </c:pt>
                <c:pt idx="219">
                  <c:v>45813</c:v>
                </c:pt>
                <c:pt idx="220">
                  <c:v>45814</c:v>
                </c:pt>
                <c:pt idx="221">
                  <c:v>45817</c:v>
                </c:pt>
                <c:pt idx="222">
                  <c:v>45818</c:v>
                </c:pt>
                <c:pt idx="223">
                  <c:v>45819</c:v>
                </c:pt>
                <c:pt idx="224">
                  <c:v>45820</c:v>
                </c:pt>
                <c:pt idx="225">
                  <c:v>45821</c:v>
                </c:pt>
                <c:pt idx="226">
                  <c:v>45824</c:v>
                </c:pt>
                <c:pt idx="227">
                  <c:v>45825</c:v>
                </c:pt>
                <c:pt idx="228">
                  <c:v>45826</c:v>
                </c:pt>
                <c:pt idx="229">
                  <c:v>45828</c:v>
                </c:pt>
                <c:pt idx="230">
                  <c:v>45831</c:v>
                </c:pt>
                <c:pt idx="231">
                  <c:v>45832</c:v>
                </c:pt>
                <c:pt idx="232">
                  <c:v>45833</c:v>
                </c:pt>
                <c:pt idx="233">
                  <c:v>45834</c:v>
                </c:pt>
                <c:pt idx="234">
                  <c:v>45835</c:v>
                </c:pt>
                <c:pt idx="235">
                  <c:v>45838</c:v>
                </c:pt>
                <c:pt idx="236">
                  <c:v>45839</c:v>
                </c:pt>
                <c:pt idx="237">
                  <c:v>45840</c:v>
                </c:pt>
                <c:pt idx="238">
                  <c:v>45841</c:v>
                </c:pt>
                <c:pt idx="239">
                  <c:v>45842</c:v>
                </c:pt>
                <c:pt idx="240">
                  <c:v>45845</c:v>
                </c:pt>
                <c:pt idx="241">
                  <c:v>45846</c:v>
                </c:pt>
                <c:pt idx="242">
                  <c:v>45847</c:v>
                </c:pt>
                <c:pt idx="243">
                  <c:v>45848</c:v>
                </c:pt>
                <c:pt idx="244">
                  <c:v>45849</c:v>
                </c:pt>
                <c:pt idx="245">
                  <c:v>45852</c:v>
                </c:pt>
                <c:pt idx="246">
                  <c:v>45853</c:v>
                </c:pt>
                <c:pt idx="247">
                  <c:v>45854</c:v>
                </c:pt>
                <c:pt idx="248">
                  <c:v>45855</c:v>
                </c:pt>
                <c:pt idx="249">
                  <c:v>45856</c:v>
                </c:pt>
                <c:pt idx="250">
                  <c:v>45859</c:v>
                </c:pt>
                <c:pt idx="251">
                  <c:v>45860</c:v>
                </c:pt>
                <c:pt idx="252">
                  <c:v>45861</c:v>
                </c:pt>
                <c:pt idx="253">
                  <c:v>45862</c:v>
                </c:pt>
                <c:pt idx="254">
                  <c:v>45863</c:v>
                </c:pt>
                <c:pt idx="255">
                  <c:v>45866</c:v>
                </c:pt>
                <c:pt idx="256">
                  <c:v>45867</c:v>
                </c:pt>
                <c:pt idx="257">
                  <c:v>45868</c:v>
                </c:pt>
                <c:pt idx="258">
                  <c:v>45869</c:v>
                </c:pt>
                <c:pt idx="259">
                  <c:v>45870</c:v>
                </c:pt>
                <c:pt idx="260">
                  <c:v>45873</c:v>
                </c:pt>
                <c:pt idx="261">
                  <c:v>45874</c:v>
                </c:pt>
                <c:pt idx="262">
                  <c:v>45875</c:v>
                </c:pt>
                <c:pt idx="263">
                  <c:v>45876</c:v>
                </c:pt>
                <c:pt idx="264">
                  <c:v>45877</c:v>
                </c:pt>
                <c:pt idx="265">
                  <c:v>45880</c:v>
                </c:pt>
                <c:pt idx="266">
                  <c:v>45881</c:v>
                </c:pt>
                <c:pt idx="267">
                  <c:v>45882</c:v>
                </c:pt>
                <c:pt idx="268">
                  <c:v>45883</c:v>
                </c:pt>
                <c:pt idx="269">
                  <c:v>45884</c:v>
                </c:pt>
                <c:pt idx="270">
                  <c:v>45887</c:v>
                </c:pt>
                <c:pt idx="271">
                  <c:v>45888</c:v>
                </c:pt>
                <c:pt idx="272">
                  <c:v>45889</c:v>
                </c:pt>
                <c:pt idx="273">
                  <c:v>45890</c:v>
                </c:pt>
                <c:pt idx="274">
                  <c:v>45891</c:v>
                </c:pt>
                <c:pt idx="275">
                  <c:v>45894</c:v>
                </c:pt>
                <c:pt idx="276">
                  <c:v>45895</c:v>
                </c:pt>
                <c:pt idx="277">
                  <c:v>45896</c:v>
                </c:pt>
                <c:pt idx="278">
                  <c:v>45897</c:v>
                </c:pt>
                <c:pt idx="279">
                  <c:v>45898</c:v>
                </c:pt>
                <c:pt idx="280">
                  <c:v>45901</c:v>
                </c:pt>
                <c:pt idx="281">
                  <c:v>45902</c:v>
                </c:pt>
                <c:pt idx="282">
                  <c:v>45903</c:v>
                </c:pt>
                <c:pt idx="283">
                  <c:v>45904</c:v>
                </c:pt>
                <c:pt idx="284">
                  <c:v>45905</c:v>
                </c:pt>
                <c:pt idx="285">
                  <c:v>45908</c:v>
                </c:pt>
                <c:pt idx="286">
                  <c:v>45909</c:v>
                </c:pt>
                <c:pt idx="287">
                  <c:v>45910</c:v>
                </c:pt>
                <c:pt idx="288">
                  <c:v>45911</c:v>
                </c:pt>
                <c:pt idx="289">
                  <c:v>45912</c:v>
                </c:pt>
                <c:pt idx="290">
                  <c:v>45915</c:v>
                </c:pt>
                <c:pt idx="291">
                  <c:v>45916</c:v>
                </c:pt>
                <c:pt idx="292">
                  <c:v>45917</c:v>
                </c:pt>
                <c:pt idx="293">
                  <c:v>45918</c:v>
                </c:pt>
                <c:pt idx="294">
                  <c:v>45919</c:v>
                </c:pt>
                <c:pt idx="295">
                  <c:v>45922</c:v>
                </c:pt>
                <c:pt idx="296">
                  <c:v>45923</c:v>
                </c:pt>
                <c:pt idx="297">
                  <c:v>45924</c:v>
                </c:pt>
                <c:pt idx="298">
                  <c:v>45925</c:v>
                </c:pt>
                <c:pt idx="299">
                  <c:v>45926</c:v>
                </c:pt>
                <c:pt idx="300">
                  <c:v>45929</c:v>
                </c:pt>
                <c:pt idx="301">
                  <c:v>45930</c:v>
                </c:pt>
                <c:pt idx="302">
                  <c:v>45931</c:v>
                </c:pt>
                <c:pt idx="303">
                  <c:v>45932</c:v>
                </c:pt>
                <c:pt idx="304">
                  <c:v>45933</c:v>
                </c:pt>
                <c:pt idx="305">
                  <c:v>45936</c:v>
                </c:pt>
                <c:pt idx="306">
                  <c:v>45937</c:v>
                </c:pt>
                <c:pt idx="307">
                  <c:v>45938</c:v>
                </c:pt>
                <c:pt idx="308">
                  <c:v>45939</c:v>
                </c:pt>
                <c:pt idx="309">
                  <c:v>45940</c:v>
                </c:pt>
                <c:pt idx="310">
                  <c:v>45943</c:v>
                </c:pt>
                <c:pt idx="311">
                  <c:v>45944</c:v>
                </c:pt>
                <c:pt idx="312">
                  <c:v>45945</c:v>
                </c:pt>
                <c:pt idx="313">
                  <c:v>45946</c:v>
                </c:pt>
                <c:pt idx="314">
                  <c:v>45947</c:v>
                </c:pt>
                <c:pt idx="315">
                  <c:v>45950</c:v>
                </c:pt>
                <c:pt idx="316">
                  <c:v>45951</c:v>
                </c:pt>
                <c:pt idx="317">
                  <c:v>45952</c:v>
                </c:pt>
                <c:pt idx="318">
                  <c:v>45953</c:v>
                </c:pt>
                <c:pt idx="319">
                  <c:v>45954</c:v>
                </c:pt>
                <c:pt idx="320">
                  <c:v>45957</c:v>
                </c:pt>
                <c:pt idx="321">
                  <c:v>45958</c:v>
                </c:pt>
                <c:pt idx="322">
                  <c:v>45959</c:v>
                </c:pt>
                <c:pt idx="323">
                  <c:v>45960</c:v>
                </c:pt>
                <c:pt idx="324">
                  <c:v>45961</c:v>
                </c:pt>
                <c:pt idx="325">
                  <c:v>45964</c:v>
                </c:pt>
                <c:pt idx="326">
                  <c:v>45965</c:v>
                </c:pt>
                <c:pt idx="327">
                  <c:v>45966</c:v>
                </c:pt>
                <c:pt idx="328">
                  <c:v>45967</c:v>
                </c:pt>
                <c:pt idx="329">
                  <c:v>45968</c:v>
                </c:pt>
                <c:pt idx="330">
                  <c:v>45971</c:v>
                </c:pt>
                <c:pt idx="331">
                  <c:v>45972</c:v>
                </c:pt>
                <c:pt idx="332">
                  <c:v>45973</c:v>
                </c:pt>
                <c:pt idx="333">
                  <c:v>45974</c:v>
                </c:pt>
                <c:pt idx="334">
                  <c:v>45975</c:v>
                </c:pt>
                <c:pt idx="335">
                  <c:v>45978</c:v>
                </c:pt>
                <c:pt idx="336">
                  <c:v>45979</c:v>
                </c:pt>
                <c:pt idx="337">
                  <c:v>45980</c:v>
                </c:pt>
                <c:pt idx="338">
                  <c:v>45982</c:v>
                </c:pt>
                <c:pt idx="339">
                  <c:v>45985</c:v>
                </c:pt>
                <c:pt idx="340">
                  <c:v>45986</c:v>
                </c:pt>
                <c:pt idx="341">
                  <c:v>45987</c:v>
                </c:pt>
                <c:pt idx="342">
                  <c:v>45988</c:v>
                </c:pt>
                <c:pt idx="343">
                  <c:v>45989</c:v>
                </c:pt>
                <c:pt idx="344">
                  <c:v>45992</c:v>
                </c:pt>
                <c:pt idx="345">
                  <c:v>45993</c:v>
                </c:pt>
                <c:pt idx="346">
                  <c:v>45994</c:v>
                </c:pt>
                <c:pt idx="347">
                  <c:v>45995</c:v>
                </c:pt>
                <c:pt idx="348">
                  <c:v>45996</c:v>
                </c:pt>
                <c:pt idx="349">
                  <c:v>45999</c:v>
                </c:pt>
                <c:pt idx="350">
                  <c:v>46000</c:v>
                </c:pt>
                <c:pt idx="351">
                  <c:v>46001</c:v>
                </c:pt>
                <c:pt idx="352">
                  <c:v>46002</c:v>
                </c:pt>
                <c:pt idx="353">
                  <c:v>46003</c:v>
                </c:pt>
                <c:pt idx="354">
                  <c:v>46006</c:v>
                </c:pt>
                <c:pt idx="355">
                  <c:v>46007</c:v>
                </c:pt>
                <c:pt idx="356">
                  <c:v>46008</c:v>
                </c:pt>
                <c:pt idx="357">
                  <c:v>46009</c:v>
                </c:pt>
                <c:pt idx="358">
                  <c:v>46010</c:v>
                </c:pt>
                <c:pt idx="359">
                  <c:v>46013</c:v>
                </c:pt>
                <c:pt idx="360">
                  <c:v>46014</c:v>
                </c:pt>
                <c:pt idx="361">
                  <c:v>46017</c:v>
                </c:pt>
                <c:pt idx="362">
                  <c:v>46020</c:v>
                </c:pt>
                <c:pt idx="363">
                  <c:v>46021</c:v>
                </c:pt>
                <c:pt idx="364">
                  <c:v>46024</c:v>
                </c:pt>
                <c:pt idx="365">
                  <c:v>46027</c:v>
                </c:pt>
                <c:pt idx="366">
                  <c:v>46028</c:v>
                </c:pt>
                <c:pt idx="367">
                  <c:v>46029</c:v>
                </c:pt>
                <c:pt idx="368">
                  <c:v>46030</c:v>
                </c:pt>
                <c:pt idx="369">
                  <c:v>46031</c:v>
                </c:pt>
                <c:pt idx="370">
                  <c:v>46034</c:v>
                </c:pt>
                <c:pt idx="371">
                  <c:v>46035</c:v>
                </c:pt>
                <c:pt idx="372">
                  <c:v>46036</c:v>
                </c:pt>
                <c:pt idx="373">
                  <c:v>46037</c:v>
                </c:pt>
                <c:pt idx="374">
                  <c:v>46038</c:v>
                </c:pt>
                <c:pt idx="375">
                  <c:v>46041</c:v>
                </c:pt>
                <c:pt idx="376">
                  <c:v>46042</c:v>
                </c:pt>
                <c:pt idx="377">
                  <c:v>46043</c:v>
                </c:pt>
                <c:pt idx="378">
                  <c:v>46044</c:v>
                </c:pt>
                <c:pt idx="379">
                  <c:v>46045</c:v>
                </c:pt>
                <c:pt idx="380">
                  <c:v>46048</c:v>
                </c:pt>
                <c:pt idx="381">
                  <c:v>46049</c:v>
                </c:pt>
                <c:pt idx="382">
                  <c:v>46050</c:v>
                </c:pt>
                <c:pt idx="383">
                  <c:v>46051</c:v>
                </c:pt>
                <c:pt idx="384">
                  <c:v>46052</c:v>
                </c:pt>
                <c:pt idx="385">
                  <c:v>46055</c:v>
                </c:pt>
                <c:pt idx="386">
                  <c:v>46056</c:v>
                </c:pt>
                <c:pt idx="387">
                  <c:v>46057</c:v>
                </c:pt>
                <c:pt idx="388">
                  <c:v>46058</c:v>
                </c:pt>
                <c:pt idx="389">
                  <c:v>46059</c:v>
                </c:pt>
                <c:pt idx="390">
                  <c:v>46062</c:v>
                </c:pt>
                <c:pt idx="391">
                  <c:v>46063</c:v>
                </c:pt>
                <c:pt idx="392">
                  <c:v>46064</c:v>
                </c:pt>
                <c:pt idx="393">
                  <c:v>46065</c:v>
                </c:pt>
                <c:pt idx="394">
                  <c:v>46066</c:v>
                </c:pt>
                <c:pt idx="395">
                  <c:v>46071</c:v>
                </c:pt>
                <c:pt idx="396">
                  <c:v>46072</c:v>
                </c:pt>
                <c:pt idx="397">
                  <c:v>46073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46083</c:v>
                </c:pt>
                <c:pt idx="404">
                  <c:v>46084</c:v>
                </c:pt>
                <c:pt idx="405">
                  <c:v>46085</c:v>
                </c:pt>
                <c:pt idx="406">
                  <c:v>46086</c:v>
                </c:pt>
                <c:pt idx="407">
                  <c:v>46087</c:v>
                </c:pt>
                <c:pt idx="408">
                  <c:v>46090</c:v>
                </c:pt>
                <c:pt idx="409">
                  <c:v>46091</c:v>
                </c:pt>
                <c:pt idx="410">
                  <c:v>46092</c:v>
                </c:pt>
                <c:pt idx="411">
                  <c:v>46093</c:v>
                </c:pt>
                <c:pt idx="412">
                  <c:v>46094</c:v>
                </c:pt>
                <c:pt idx="413">
                  <c:v>46097</c:v>
                </c:pt>
                <c:pt idx="414">
                  <c:v>46098</c:v>
                </c:pt>
                <c:pt idx="415">
                  <c:v>46099</c:v>
                </c:pt>
                <c:pt idx="416">
                  <c:v>46100</c:v>
                </c:pt>
                <c:pt idx="417">
                  <c:v>46101</c:v>
                </c:pt>
                <c:pt idx="418">
                  <c:v>46104</c:v>
                </c:pt>
                <c:pt idx="419">
                  <c:v>46105</c:v>
                </c:pt>
                <c:pt idx="420">
                  <c:v>46106</c:v>
                </c:pt>
                <c:pt idx="421">
                  <c:v>46107</c:v>
                </c:pt>
                <c:pt idx="422">
                  <c:v>46108</c:v>
                </c:pt>
                <c:pt idx="423">
                  <c:v>46111</c:v>
                </c:pt>
                <c:pt idx="424">
                  <c:v>46112</c:v>
                </c:pt>
                <c:pt idx="425">
                  <c:v>46113</c:v>
                </c:pt>
                <c:pt idx="426">
                  <c:v>46114</c:v>
                </c:pt>
                <c:pt idx="427">
                  <c:v>46118</c:v>
                </c:pt>
                <c:pt idx="428">
                  <c:v>46119</c:v>
                </c:pt>
                <c:pt idx="429">
                  <c:v>46120</c:v>
                </c:pt>
                <c:pt idx="430">
                  <c:v>46121</c:v>
                </c:pt>
                <c:pt idx="431">
                  <c:v>46122</c:v>
                </c:pt>
                <c:pt idx="432">
                  <c:v>46125</c:v>
                </c:pt>
                <c:pt idx="433">
                  <c:v>46126</c:v>
                </c:pt>
                <c:pt idx="434">
                  <c:v>46127</c:v>
                </c:pt>
                <c:pt idx="435">
                  <c:v>46128</c:v>
                </c:pt>
                <c:pt idx="436">
                  <c:v>46129</c:v>
                </c:pt>
                <c:pt idx="437">
                  <c:v>46132</c:v>
                </c:pt>
                <c:pt idx="438">
                  <c:v>46134</c:v>
                </c:pt>
                <c:pt idx="439">
                  <c:v>46135</c:v>
                </c:pt>
                <c:pt idx="440">
                  <c:v>46136</c:v>
                </c:pt>
                <c:pt idx="441">
                  <c:v>46139</c:v>
                </c:pt>
                <c:pt idx="442">
                  <c:v>46140</c:v>
                </c:pt>
                <c:pt idx="443">
                  <c:v>46141</c:v>
                </c:pt>
                <c:pt idx="444">
                  <c:v>46142</c:v>
                </c:pt>
                <c:pt idx="445">
                  <c:v>46146</c:v>
                </c:pt>
                <c:pt idx="446">
                  <c:v>46147</c:v>
                </c:pt>
                <c:pt idx="447">
                  <c:v>46148</c:v>
                </c:pt>
                <c:pt idx="448">
                  <c:v>46149</c:v>
                </c:pt>
                <c:pt idx="449">
                  <c:v>46150</c:v>
                </c:pt>
                <c:pt idx="450">
                  <c:v>46153</c:v>
                </c:pt>
                <c:pt idx="451">
                  <c:v>46154</c:v>
                </c:pt>
                <c:pt idx="452">
                  <c:v>46155</c:v>
                </c:pt>
                <c:pt idx="453">
                  <c:v>46156</c:v>
                </c:pt>
                <c:pt idx="454">
                  <c:v>46157</c:v>
                </c:pt>
                <c:pt idx="455">
                  <c:v>46160</c:v>
                </c:pt>
                <c:pt idx="456">
                  <c:v>46161</c:v>
                </c:pt>
                <c:pt idx="457">
                  <c:v>46162</c:v>
                </c:pt>
                <c:pt idx="458">
                  <c:v>46163</c:v>
                </c:pt>
                <c:pt idx="459">
                  <c:v>46164</c:v>
                </c:pt>
                <c:pt idx="460">
                  <c:v>46167</c:v>
                </c:pt>
                <c:pt idx="461">
                  <c:v>46168</c:v>
                </c:pt>
                <c:pt idx="462">
                  <c:v>46169</c:v>
                </c:pt>
                <c:pt idx="463">
                  <c:v>46170</c:v>
                </c:pt>
                <c:pt idx="464">
                  <c:v>46171</c:v>
                </c:pt>
                <c:pt idx="465">
                  <c:v>46174</c:v>
                </c:pt>
                <c:pt idx="466">
                  <c:v>46175</c:v>
                </c:pt>
                <c:pt idx="467">
                  <c:v>46176</c:v>
                </c:pt>
                <c:pt idx="468">
                  <c:v>46178</c:v>
                </c:pt>
                <c:pt idx="469">
                  <c:v>46181</c:v>
                </c:pt>
                <c:pt idx="470">
                  <c:v>46182</c:v>
                </c:pt>
                <c:pt idx="471">
                  <c:v>46183</c:v>
                </c:pt>
                <c:pt idx="472">
                  <c:v>46184</c:v>
                </c:pt>
                <c:pt idx="473">
                  <c:v>46185</c:v>
                </c:pt>
                <c:pt idx="474">
                  <c:v>46188</c:v>
                </c:pt>
                <c:pt idx="475">
                  <c:v>46189</c:v>
                </c:pt>
                <c:pt idx="476">
                  <c:v>46190</c:v>
                </c:pt>
                <c:pt idx="477">
                  <c:v>46191</c:v>
                </c:pt>
                <c:pt idx="478">
                  <c:v>46192</c:v>
                </c:pt>
                <c:pt idx="479">
                  <c:v>46195</c:v>
                </c:pt>
                <c:pt idx="480">
                  <c:v>46196</c:v>
                </c:pt>
                <c:pt idx="481">
                  <c:v>46197</c:v>
                </c:pt>
                <c:pt idx="482">
                  <c:v>46198</c:v>
                </c:pt>
                <c:pt idx="483">
                  <c:v>46199</c:v>
                </c:pt>
                <c:pt idx="484">
                  <c:v>46202</c:v>
                </c:pt>
                <c:pt idx="485">
                  <c:v>46203</c:v>
                </c:pt>
                <c:pt idx="486">
                  <c:v>46204</c:v>
                </c:pt>
                <c:pt idx="487">
                  <c:v>46205</c:v>
                </c:pt>
                <c:pt idx="488">
                  <c:v>46206</c:v>
                </c:pt>
                <c:pt idx="489">
                  <c:v>46209</c:v>
                </c:pt>
                <c:pt idx="490">
                  <c:v>46210</c:v>
                </c:pt>
                <c:pt idx="491">
                  <c:v>46211</c:v>
                </c:pt>
                <c:pt idx="492">
                  <c:v>46212</c:v>
                </c:pt>
                <c:pt idx="493">
                  <c:v>46213</c:v>
                </c:pt>
                <c:pt idx="494">
                  <c:v>46216</c:v>
                </c:pt>
                <c:pt idx="495">
                  <c:v>46217</c:v>
                </c:pt>
                <c:pt idx="496">
                  <c:v>46218</c:v>
                </c:pt>
                <c:pt idx="497">
                  <c:v>46219</c:v>
                </c:pt>
                <c:pt idx="498">
                  <c:v>46220</c:v>
                </c:pt>
              </c:numCache>
            </c:numRef>
          </c:cat>
          <c:val>
            <c:numRef>
              <c:f>Análise_Variação!$C$3:$C$501</c:f>
              <c:numCache>
                <c:formatCode>0.00%</c:formatCode>
                <c:ptCount val="499"/>
                <c:pt idx="0">
                  <c:v>0</c:v>
                </c:pt>
                <c:pt idx="1">
                  <c:v>1.5365119594487435E-2</c:v>
                </c:pt>
                <c:pt idx="2">
                  <c:v>2.1840873634945489E-2</c:v>
                </c:pt>
                <c:pt idx="3">
                  <c:v>7.6335877862595417E-3</c:v>
                </c:pt>
                <c:pt idx="4">
                  <c:v>1.2878787878787793E-2</c:v>
                </c:pt>
                <c:pt idx="5">
                  <c:v>-4.6372475691845638E-3</c:v>
                </c:pt>
                <c:pt idx="6">
                  <c:v>-5.109708446047541E-3</c:v>
                </c:pt>
                <c:pt idx="7">
                  <c:v>-1.510574018127661E-4</c:v>
                </c:pt>
                <c:pt idx="8">
                  <c:v>-1.7072065266656528E-2</c:v>
                </c:pt>
                <c:pt idx="9">
                  <c:v>-6.6092837380880235E-3</c:v>
                </c:pt>
                <c:pt idx="10">
                  <c:v>1.624632523595871E-2</c:v>
                </c:pt>
                <c:pt idx="11">
                  <c:v>2.0249695493300825E-2</c:v>
                </c:pt>
                <c:pt idx="12">
                  <c:v>-2.0892404118788323E-3</c:v>
                </c:pt>
                <c:pt idx="13">
                  <c:v>-2.2282039778675176E-2</c:v>
                </c:pt>
                <c:pt idx="14">
                  <c:v>-3.5178953808502568E-3</c:v>
                </c:pt>
                <c:pt idx="15">
                  <c:v>-3.0698388334628136E-4</c:v>
                </c:pt>
                <c:pt idx="16">
                  <c:v>2.3030861354215522E-3</c:v>
                </c:pt>
                <c:pt idx="17">
                  <c:v>3.9828431372549806E-3</c:v>
                </c:pt>
                <c:pt idx="18">
                  <c:v>-8.5444003661886217E-3</c:v>
                </c:pt>
                <c:pt idx="19">
                  <c:v>-3.8473376423514925E-3</c:v>
                </c:pt>
                <c:pt idx="20">
                  <c:v>9.1147844894174136E-3</c:v>
                </c:pt>
                <c:pt idx="21">
                  <c:v>-1.1788120024494735E-2</c:v>
                </c:pt>
                <c:pt idx="22">
                  <c:v>9.7598760650659897E-3</c:v>
                </c:pt>
                <c:pt idx="23">
                  <c:v>5.5231666155262258E-3</c:v>
                </c:pt>
                <c:pt idx="24">
                  <c:v>-4.5773573390297737E-3</c:v>
                </c:pt>
                <c:pt idx="25">
                  <c:v>4.7516860821582201E-3</c:v>
                </c:pt>
                <c:pt idx="26">
                  <c:v>-4.118993135011381E-3</c:v>
                </c:pt>
                <c:pt idx="27">
                  <c:v>-2.2977941176471461E-3</c:v>
                </c:pt>
                <c:pt idx="28">
                  <c:v>5.9880239520958174E-3</c:v>
                </c:pt>
                <c:pt idx="29">
                  <c:v>0</c:v>
                </c:pt>
                <c:pt idx="30">
                  <c:v>8.852258852258826E-3</c:v>
                </c:pt>
                <c:pt idx="31">
                  <c:v>1.16490166414525E-2</c:v>
                </c:pt>
                <c:pt idx="32">
                  <c:v>7.477194556601937E-4</c:v>
                </c:pt>
                <c:pt idx="33">
                  <c:v>6.5750149432157456E-3</c:v>
                </c:pt>
                <c:pt idx="34">
                  <c:v>1.603325415676957E-2</c:v>
                </c:pt>
                <c:pt idx="35">
                  <c:v>-9.2051431911162399E-3</c:v>
                </c:pt>
                <c:pt idx="36">
                  <c:v>6.7836602271050539E-3</c:v>
                </c:pt>
                <c:pt idx="37">
                  <c:v>2.1092720082027214E-2</c:v>
                </c:pt>
                <c:pt idx="38">
                  <c:v>-3.2993831588005993E-3</c:v>
                </c:pt>
                <c:pt idx="39">
                  <c:v>-3.598157743235463E-3</c:v>
                </c:pt>
                <c:pt idx="40">
                  <c:v>-4.4778275314170486E-3</c:v>
                </c:pt>
                <c:pt idx="41">
                  <c:v>1.6540917005223456E-2</c:v>
                </c:pt>
                <c:pt idx="42">
                  <c:v>-4.9957179560378038E-3</c:v>
                </c:pt>
                <c:pt idx="43">
                  <c:v>-3.1559317171137411E-3</c:v>
                </c:pt>
                <c:pt idx="44">
                  <c:v>-1.4102748596920274E-2</c:v>
                </c:pt>
                <c:pt idx="45">
                  <c:v>9.4876660341554724E-3</c:v>
                </c:pt>
                <c:pt idx="46">
                  <c:v>1.3736263736263778E-2</c:v>
                </c:pt>
                <c:pt idx="47">
                  <c:v>3.8510911424903156E-3</c:v>
                </c:pt>
                <c:pt idx="48">
                  <c:v>1.2787723785166725E-3</c:v>
                </c:pt>
                <c:pt idx="49">
                  <c:v>-6.6695047537959256E-3</c:v>
                </c:pt>
                <c:pt idx="50">
                  <c:v>6.5714285714284825E-3</c:v>
                </c:pt>
                <c:pt idx="51">
                  <c:v>7.5219982969060625E-3</c:v>
                </c:pt>
                <c:pt idx="52">
                  <c:v>2.8172982110156761E-3</c:v>
                </c:pt>
                <c:pt idx="53">
                  <c:v>1.5451608371962276E-3</c:v>
                </c:pt>
                <c:pt idx="54">
                  <c:v>9.3969144460028294E-3</c:v>
                </c:pt>
                <c:pt idx="55">
                  <c:v>-1.9452549673475139E-3</c:v>
                </c:pt>
                <c:pt idx="56">
                  <c:v>-2.1578727551162427E-2</c:v>
                </c:pt>
                <c:pt idx="57">
                  <c:v>-1.494023904382466E-2</c:v>
                </c:pt>
                <c:pt idx="58">
                  <c:v>1.1411237902643248E-2</c:v>
                </c:pt>
                <c:pt idx="59">
                  <c:v>7.1408169094544418E-3</c:v>
                </c:pt>
                <c:pt idx="60">
                  <c:v>8.3664208735111101E-3</c:v>
                </c:pt>
                <c:pt idx="61">
                  <c:v>-4.6406975108985839E-3</c:v>
                </c:pt>
                <c:pt idx="62">
                  <c:v>-1.6388810398417584E-2</c:v>
                </c:pt>
                <c:pt idx="63">
                  <c:v>1.8098247629991251E-2</c:v>
                </c:pt>
                <c:pt idx="64">
                  <c:v>-2.1162528216703089E-3</c:v>
                </c:pt>
                <c:pt idx="65">
                  <c:v>8.341580658843337E-3</c:v>
                </c:pt>
                <c:pt idx="66">
                  <c:v>3.3651149747617654E-3</c:v>
                </c:pt>
                <c:pt idx="67">
                  <c:v>1.1458915595304544E-2</c:v>
                </c:pt>
                <c:pt idx="68">
                  <c:v>1.2710693561757415E-2</c:v>
                </c:pt>
                <c:pt idx="69">
                  <c:v>9.2769440654844049E-3</c:v>
                </c:pt>
                <c:pt idx="70">
                  <c:v>8.2454717491213768E-3</c:v>
                </c:pt>
                <c:pt idx="71">
                  <c:v>5.0945166912454137E-3</c:v>
                </c:pt>
                <c:pt idx="72">
                  <c:v>-3.4680538882220237E-3</c:v>
                </c:pt>
                <c:pt idx="73">
                  <c:v>1.3117387230625138E-2</c:v>
                </c:pt>
                <c:pt idx="74">
                  <c:v>-1.321178491214088E-3</c:v>
                </c:pt>
                <c:pt idx="75">
                  <c:v>-3.307315782510914E-3</c:v>
                </c:pt>
                <c:pt idx="76">
                  <c:v>1.8582426333952822E-3</c:v>
                </c:pt>
                <c:pt idx="77">
                  <c:v>-2.1197668256493214E-3</c:v>
                </c:pt>
                <c:pt idx="78">
                  <c:v>-1.0223048327137494E-2</c:v>
                </c:pt>
                <c:pt idx="79">
                  <c:v>4.6948356807512883E-3</c:v>
                </c:pt>
                <c:pt idx="80">
                  <c:v>1.4285714285714193E-2</c:v>
                </c:pt>
                <c:pt idx="81">
                  <c:v>4.738712649730149E-3</c:v>
                </c:pt>
                <c:pt idx="82">
                  <c:v>7.3365649154985236E-3</c:v>
                </c:pt>
                <c:pt idx="83">
                  <c:v>-2.2109507088048084E-3</c:v>
                </c:pt>
                <c:pt idx="84">
                  <c:v>-1.9551616266945473E-3</c:v>
                </c:pt>
                <c:pt idx="85">
                  <c:v>-1.358234295415949E-2</c:v>
                </c:pt>
                <c:pt idx="86">
                  <c:v>-1.0724215543492682E-2</c:v>
                </c:pt>
                <c:pt idx="87">
                  <c:v>-1.0171306209850175E-2</c:v>
                </c:pt>
                <c:pt idx="88">
                  <c:v>-8.2477014602487762E-3</c:v>
                </c:pt>
                <c:pt idx="89">
                  <c:v>-3.544648943421826E-3</c:v>
                </c:pt>
                <c:pt idx="90">
                  <c:v>-1.1219045012997775E-2</c:v>
                </c:pt>
                <c:pt idx="91">
                  <c:v>-1.1207970112079734E-2</c:v>
                </c:pt>
                <c:pt idx="92">
                  <c:v>3.7783375314862895E-3</c:v>
                </c:pt>
                <c:pt idx="93">
                  <c:v>-2.9276453366793246E-3</c:v>
                </c:pt>
                <c:pt idx="94">
                  <c:v>1.5380313199105265E-2</c:v>
                </c:pt>
                <c:pt idx="95">
                  <c:v>1.2393280088129873E-2</c:v>
                </c:pt>
                <c:pt idx="96">
                  <c:v>-3.4004352557127312E-3</c:v>
                </c:pt>
                <c:pt idx="97">
                  <c:v>-1.5831854783676765E-2</c:v>
                </c:pt>
                <c:pt idx="98">
                  <c:v>1.6779919567327606E-2</c:v>
                </c:pt>
                <c:pt idx="99">
                  <c:v>2.2231314784506406E-2</c:v>
                </c:pt>
                <c:pt idx="100">
                  <c:v>1.2141427618412229E-2</c:v>
                </c:pt>
                <c:pt idx="101">
                  <c:v>1.3182177695755339E-2</c:v>
                </c:pt>
                <c:pt idx="102">
                  <c:v>8.066614623991733E-3</c:v>
                </c:pt>
                <c:pt idx="103">
                  <c:v>-1.639132679401149E-2</c:v>
                </c:pt>
                <c:pt idx="104">
                  <c:v>-9.4475790578664072E-3</c:v>
                </c:pt>
                <c:pt idx="105">
                  <c:v>-6.4909259504569465E-3</c:v>
                </c:pt>
                <c:pt idx="106">
                  <c:v>8.1333333333333258E-3</c:v>
                </c:pt>
                <c:pt idx="107">
                  <c:v>2.3806374818146651E-3</c:v>
                </c:pt>
                <c:pt idx="108">
                  <c:v>-1.1083256366275279E-2</c:v>
                </c:pt>
                <c:pt idx="109">
                  <c:v>-8.1387591727818467E-3</c:v>
                </c:pt>
                <c:pt idx="110">
                  <c:v>1.3451708366961838E-3</c:v>
                </c:pt>
                <c:pt idx="111">
                  <c:v>-3.3584094572810318E-3</c:v>
                </c:pt>
                <c:pt idx="112">
                  <c:v>1.3478905512879252E-4</c:v>
                </c:pt>
                <c:pt idx="113">
                  <c:v>6.6037735849055913E-3</c:v>
                </c:pt>
                <c:pt idx="114">
                  <c:v>-5.8910162002945203E-3</c:v>
                </c:pt>
                <c:pt idx="115">
                  <c:v>-7.0033670033669499E-3</c:v>
                </c:pt>
                <c:pt idx="116">
                  <c:v>1.6546860165468587E-2</c:v>
                </c:pt>
                <c:pt idx="117">
                  <c:v>-4.8032021347564962E-3</c:v>
                </c:pt>
                <c:pt idx="118">
                  <c:v>5.6307816061134429E-3</c:v>
                </c:pt>
                <c:pt idx="119">
                  <c:v>9.332089054792542E-3</c:v>
                </c:pt>
                <c:pt idx="120">
                  <c:v>1.5717870822876925E-2</c:v>
                </c:pt>
                <c:pt idx="121">
                  <c:v>2.5227568270481112E-2</c:v>
                </c:pt>
                <c:pt idx="122">
                  <c:v>-9.3860984271944333E-3</c:v>
                </c:pt>
                <c:pt idx="123">
                  <c:v>-1.4724711907810391E-2</c:v>
                </c:pt>
                <c:pt idx="124">
                  <c:v>-2.3261858349577728E-2</c:v>
                </c:pt>
                <c:pt idx="125">
                  <c:v>6.7855242150080515E-3</c:v>
                </c:pt>
                <c:pt idx="126">
                  <c:v>1.9162151447072853E-2</c:v>
                </c:pt>
                <c:pt idx="127">
                  <c:v>-9.0767634854772156E-3</c:v>
                </c:pt>
                <c:pt idx="128">
                  <c:v>-1.7403820989269802E-2</c:v>
                </c:pt>
                <c:pt idx="129">
                  <c:v>4.1283792781995239E-3</c:v>
                </c:pt>
                <c:pt idx="130">
                  <c:v>-1.6710875331565053E-2</c:v>
                </c:pt>
                <c:pt idx="131">
                  <c:v>-1.3487995683840615E-3</c:v>
                </c:pt>
                <c:pt idx="132">
                  <c:v>-2.7012425715829663E-3</c:v>
                </c:pt>
                <c:pt idx="133">
                  <c:v>1.1646803900325018E-2</c:v>
                </c:pt>
                <c:pt idx="134">
                  <c:v>4.1499330655957465E-3</c:v>
                </c:pt>
                <c:pt idx="135">
                  <c:v>-7.0657245700573405E-3</c:v>
                </c:pt>
                <c:pt idx="136">
                  <c:v>1.8796992481203082E-3</c:v>
                </c:pt>
                <c:pt idx="137">
                  <c:v>1.3803269900830891E-2</c:v>
                </c:pt>
                <c:pt idx="138">
                  <c:v>1.5994712491738186E-2</c:v>
                </c:pt>
                <c:pt idx="139">
                  <c:v>2.0817069997397424E-3</c:v>
                </c:pt>
                <c:pt idx="140">
                  <c:v>3.8950921838484988E-4</c:v>
                </c:pt>
                <c:pt idx="141">
                  <c:v>1.3497728747566598E-2</c:v>
                </c:pt>
                <c:pt idx="142">
                  <c:v>-1.0756819054936655E-2</c:v>
                </c:pt>
                <c:pt idx="143">
                  <c:v>2.5889967637540822E-3</c:v>
                </c:pt>
                <c:pt idx="144">
                  <c:v>1.6139444803098774E-2</c:v>
                </c:pt>
                <c:pt idx="145">
                  <c:v>1.1308767471410425E-2</c:v>
                </c:pt>
                <c:pt idx="146">
                  <c:v>-3.3923859781380857E-3</c:v>
                </c:pt>
                <c:pt idx="147">
                  <c:v>4.2864346949067506E-3</c:v>
                </c:pt>
                <c:pt idx="148">
                  <c:v>6.2766758724575901E-4</c:v>
                </c:pt>
                <c:pt idx="149">
                  <c:v>2.484004516371853E-2</c:v>
                </c:pt>
                <c:pt idx="150">
                  <c:v>2.7787978944791236E-2</c:v>
                </c:pt>
                <c:pt idx="151">
                  <c:v>-1.6555502620295388E-2</c:v>
                </c:pt>
                <c:pt idx="152">
                  <c:v>1.3806467239917653E-2</c:v>
                </c:pt>
                <c:pt idx="153">
                  <c:v>1.8277386214311329E-2</c:v>
                </c:pt>
                <c:pt idx="154">
                  <c:v>3.9887376818395518E-3</c:v>
                </c:pt>
                <c:pt idx="155">
                  <c:v>-1.1684973124561149E-3</c:v>
                </c:pt>
                <c:pt idx="156">
                  <c:v>-3.2756200280767561E-3</c:v>
                </c:pt>
                <c:pt idx="157">
                  <c:v>3.6384976525821863E-3</c:v>
                </c:pt>
                <c:pt idx="158">
                  <c:v>-7.1336685767746395E-3</c:v>
                </c:pt>
                <c:pt idx="159">
                  <c:v>2.1436984687867998E-2</c:v>
                </c:pt>
                <c:pt idx="160">
                  <c:v>-3.4594095940959084E-3</c:v>
                </c:pt>
                <c:pt idx="161">
                  <c:v>-2.777134922471591E-3</c:v>
                </c:pt>
                <c:pt idx="162">
                  <c:v>2.4367602692039188E-3</c:v>
                </c:pt>
                <c:pt idx="163">
                  <c:v>1.7363120731566811E-3</c:v>
                </c:pt>
                <c:pt idx="164">
                  <c:v>2.7270626299976879E-2</c:v>
                </c:pt>
                <c:pt idx="165">
                  <c:v>3.0146231721034786E-2</c:v>
                </c:pt>
                <c:pt idx="166">
                  <c:v>-1.3867656693601179E-2</c:v>
                </c:pt>
                <c:pt idx="167">
                  <c:v>-3.5322777101096201E-2</c:v>
                </c:pt>
                <c:pt idx="168">
                  <c:v>-8.838383838383956E-3</c:v>
                </c:pt>
                <c:pt idx="169">
                  <c:v>-2.316155182397089E-3</c:v>
                </c:pt>
                <c:pt idx="170">
                  <c:v>-2.2054556006964661E-2</c:v>
                </c:pt>
                <c:pt idx="171">
                  <c:v>-8.1899109792284604E-3</c:v>
                </c:pt>
                <c:pt idx="172">
                  <c:v>3.2312111057921974E-3</c:v>
                </c:pt>
                <c:pt idx="173">
                  <c:v>-1.7893355600619287E-3</c:v>
                </c:pt>
                <c:pt idx="174">
                  <c:v>6.3336520076480267E-3</c:v>
                </c:pt>
                <c:pt idx="175">
                  <c:v>1.187507421921387E-2</c:v>
                </c:pt>
                <c:pt idx="176">
                  <c:v>-1.6782067832413951E-2</c:v>
                </c:pt>
                <c:pt idx="177">
                  <c:v>-8.5939365003580674E-3</c:v>
                </c:pt>
                <c:pt idx="178">
                  <c:v>-2.8894774861546965E-3</c:v>
                </c:pt>
                <c:pt idx="179">
                  <c:v>2.7046607099734474E-2</c:v>
                </c:pt>
                <c:pt idx="180">
                  <c:v>2.2102045614860046E-2</c:v>
                </c:pt>
                <c:pt idx="181">
                  <c:v>-7.4764205198986832E-3</c:v>
                </c:pt>
                <c:pt idx="182">
                  <c:v>1.2400046355313398E-2</c:v>
                </c:pt>
                <c:pt idx="183">
                  <c:v>-1.5453296703296638E-2</c:v>
                </c:pt>
                <c:pt idx="184">
                  <c:v>-5.8132775258690848E-3</c:v>
                </c:pt>
                <c:pt idx="185">
                  <c:v>-7.3675593497837637E-3</c:v>
                </c:pt>
                <c:pt idx="186">
                  <c:v>-1.6965127238454263E-2</c:v>
                </c:pt>
                <c:pt idx="187">
                  <c:v>-2.8763183125598622E-3</c:v>
                </c:pt>
                <c:pt idx="188">
                  <c:v>9.4951923076922115E-3</c:v>
                </c:pt>
                <c:pt idx="189">
                  <c:v>-1.2620550065483845E-2</c:v>
                </c:pt>
                <c:pt idx="190">
                  <c:v>7.5967683588568117E-3</c:v>
                </c:pt>
                <c:pt idx="191">
                  <c:v>1.1967448539970597E-3</c:v>
                </c:pt>
                <c:pt idx="192">
                  <c:v>-2.0559407124073618E-2</c:v>
                </c:pt>
                <c:pt idx="193">
                  <c:v>1.0739565535757816E-2</c:v>
                </c:pt>
                <c:pt idx="194">
                  <c:v>-5.1919826128953468E-3</c:v>
                </c:pt>
                <c:pt idx="195">
                  <c:v>8.8602985799247965E-3</c:v>
                </c:pt>
                <c:pt idx="196">
                  <c:v>-1.8046198267564966E-2</c:v>
                </c:pt>
                <c:pt idx="197">
                  <c:v>-5.2683165890713892E-3</c:v>
                </c:pt>
                <c:pt idx="198">
                  <c:v>-3.6950363345239212E-3</c:v>
                </c:pt>
                <c:pt idx="199">
                  <c:v>-5.6867350723203581E-3</c:v>
                </c:pt>
                <c:pt idx="200">
                  <c:v>-7.8328981723238787E-3</c:v>
                </c:pt>
                <c:pt idx="201">
                  <c:v>-1.1403508771929782E-2</c:v>
                </c:pt>
                <c:pt idx="202">
                  <c:v>-1.0520978577766489E-2</c:v>
                </c:pt>
                <c:pt idx="203">
                  <c:v>1.3963617729951363E-2</c:v>
                </c:pt>
                <c:pt idx="204">
                  <c:v>-4.8010107391030909E-3</c:v>
                </c:pt>
                <c:pt idx="205">
                  <c:v>-6.0936904913036659E-3</c:v>
                </c:pt>
                <c:pt idx="206">
                  <c:v>-1.1112530335930572E-2</c:v>
                </c:pt>
                <c:pt idx="207">
                  <c:v>1.5887367605270007E-2</c:v>
                </c:pt>
                <c:pt idx="208">
                  <c:v>3.1277813095994832E-2</c:v>
                </c:pt>
                <c:pt idx="209">
                  <c:v>-2.7246948588336751E-2</c:v>
                </c:pt>
                <c:pt idx="210">
                  <c:v>-3.0418250950571494E-3</c:v>
                </c:pt>
                <c:pt idx="211">
                  <c:v>1.0297482837528633E-2</c:v>
                </c:pt>
                <c:pt idx="212">
                  <c:v>1.6232540581351533E-2</c:v>
                </c:pt>
                <c:pt idx="213">
                  <c:v>-2.2040614165428442E-2</c:v>
                </c:pt>
                <c:pt idx="214">
                  <c:v>-1.3041276272474058E-2</c:v>
                </c:pt>
                <c:pt idx="215">
                  <c:v>1.0519563822963349E-2</c:v>
                </c:pt>
                <c:pt idx="216">
                  <c:v>-6.9823536879522301E-3</c:v>
                </c:pt>
                <c:pt idx="217">
                  <c:v>1.342367680900022E-2</c:v>
                </c:pt>
                <c:pt idx="218">
                  <c:v>1.0092090324208366E-2</c:v>
                </c:pt>
                <c:pt idx="219">
                  <c:v>-9.9912576495564268E-4</c:v>
                </c:pt>
                <c:pt idx="220">
                  <c:v>2.1252656582072976E-3</c:v>
                </c:pt>
                <c:pt idx="221">
                  <c:v>-7.6097804391217494E-3</c:v>
                </c:pt>
                <c:pt idx="222">
                  <c:v>5.5311125078566659E-3</c:v>
                </c:pt>
                <c:pt idx="223">
                  <c:v>-1.1501437679709986E-2</c:v>
                </c:pt>
                <c:pt idx="224">
                  <c:v>-1.2520551410142848E-2</c:v>
                </c:pt>
                <c:pt idx="225">
                  <c:v>4.0983606557377997E-3</c:v>
                </c:pt>
                <c:pt idx="226">
                  <c:v>-1.122448979591849E-2</c:v>
                </c:pt>
                <c:pt idx="227">
                  <c:v>8.3849329205367088E-3</c:v>
                </c:pt>
                <c:pt idx="228">
                  <c:v>-3.9657157477293366E-3</c:v>
                </c:pt>
                <c:pt idx="229">
                  <c:v>-1.6696634985871495E-3</c:v>
                </c:pt>
                <c:pt idx="230">
                  <c:v>3.4735623311462241E-3</c:v>
                </c:pt>
                <c:pt idx="231">
                  <c:v>9.8717948717948201E-3</c:v>
                </c:pt>
                <c:pt idx="232">
                  <c:v>-2.2089628030976197E-2</c:v>
                </c:pt>
                <c:pt idx="233">
                  <c:v>-1.1424120472543106E-2</c:v>
                </c:pt>
                <c:pt idx="234">
                  <c:v>-2.6263952724898531E-4</c:v>
                </c:pt>
                <c:pt idx="235">
                  <c:v>-4.2033363982660341E-3</c:v>
                </c:pt>
                <c:pt idx="236">
                  <c:v>-6.331618519984223E-3</c:v>
                </c:pt>
                <c:pt idx="237">
                  <c:v>3.7169786273729077E-3</c:v>
                </c:pt>
                <c:pt idx="238">
                  <c:v>1.3622536701494527E-2</c:v>
                </c:pt>
                <c:pt idx="239">
                  <c:v>-9.2640918580374973E-3</c:v>
                </c:pt>
                <c:pt idx="240">
                  <c:v>-1.0536020018439682E-3</c:v>
                </c:pt>
                <c:pt idx="241">
                  <c:v>6.3282794990112594E-3</c:v>
                </c:pt>
                <c:pt idx="242">
                  <c:v>2.2271714922049036E-2</c:v>
                </c:pt>
                <c:pt idx="243">
                  <c:v>-1.5506856337306266E-2</c:v>
                </c:pt>
                <c:pt idx="244">
                  <c:v>1.7573548555063899E-2</c:v>
                </c:pt>
                <c:pt idx="245">
                  <c:v>2.9423052321863115E-3</c:v>
                </c:pt>
                <c:pt idx="246">
                  <c:v>-1.0714285714285758E-2</c:v>
                </c:pt>
                <c:pt idx="247">
                  <c:v>1.1474987106756067E-2</c:v>
                </c:pt>
                <c:pt idx="248">
                  <c:v>7.3932441045251535E-3</c:v>
                </c:pt>
                <c:pt idx="249">
                  <c:v>1.315955966088817E-2</c:v>
                </c:pt>
                <c:pt idx="250">
                  <c:v>-5.8698638691145107E-3</c:v>
                </c:pt>
                <c:pt idx="251">
                  <c:v>3.5175879396985069E-3</c:v>
                </c:pt>
                <c:pt idx="252">
                  <c:v>-2.7541311967951786E-3</c:v>
                </c:pt>
                <c:pt idx="253">
                  <c:v>8.9128797388903832E-3</c:v>
                </c:pt>
                <c:pt idx="254">
                  <c:v>-7.4654721911163711E-4</c:v>
                </c:pt>
                <c:pt idx="255">
                  <c:v>-9.7123645872245184E-3</c:v>
                </c:pt>
                <c:pt idx="256">
                  <c:v>2.137558154155686E-3</c:v>
                </c:pt>
                <c:pt idx="257">
                  <c:v>2.5470514429109171E-2</c:v>
                </c:pt>
                <c:pt idx="258">
                  <c:v>-1.1011868346996623E-3</c:v>
                </c:pt>
                <c:pt idx="259">
                  <c:v>3.3072023517882903E-3</c:v>
                </c:pt>
                <c:pt idx="260">
                  <c:v>-5.371749481137807E-3</c:v>
                </c:pt>
                <c:pt idx="261">
                  <c:v>-1.3133668835153961E-2</c:v>
                </c:pt>
                <c:pt idx="262">
                  <c:v>-3.3582089552240076E-3</c:v>
                </c:pt>
                <c:pt idx="263">
                  <c:v>4.2431049544490633E-3</c:v>
                </c:pt>
                <c:pt idx="264">
                  <c:v>-8.9474338262706451E-3</c:v>
                </c:pt>
                <c:pt idx="265">
                  <c:v>1.6300940438870903E-3</c:v>
                </c:pt>
                <c:pt idx="266">
                  <c:v>-8.3875813720581081E-3</c:v>
                </c:pt>
                <c:pt idx="267">
                  <c:v>1.3887135462694034E-3</c:v>
                </c:pt>
                <c:pt idx="268">
                  <c:v>-4.6646495209277652E-3</c:v>
                </c:pt>
                <c:pt idx="269">
                  <c:v>4.1798606713109344E-3</c:v>
                </c:pt>
                <c:pt idx="270">
                  <c:v>1.6902119071644846E-2</c:v>
                </c:pt>
                <c:pt idx="271">
                  <c:v>4.7134706028280253E-3</c:v>
                </c:pt>
                <c:pt idx="272">
                  <c:v>-1.4567901234567986E-2</c:v>
                </c:pt>
                <c:pt idx="273">
                  <c:v>1.6537208719619237E-2</c:v>
                </c:pt>
                <c:pt idx="274">
                  <c:v>-3.4508257333004822E-3</c:v>
                </c:pt>
                <c:pt idx="275">
                  <c:v>-1.2367054167703581E-4</c:v>
                </c:pt>
                <c:pt idx="276">
                  <c:v>4.9474335188628635E-4</c:v>
                </c:pt>
                <c:pt idx="277">
                  <c:v>-6.0576090987760527E-3</c:v>
                </c:pt>
                <c:pt idx="278">
                  <c:v>-9.5771144278608226E-3</c:v>
                </c:pt>
                <c:pt idx="279">
                  <c:v>5.5255556950897624E-3</c:v>
                </c:pt>
                <c:pt idx="280">
                  <c:v>-7.3685525165478865E-3</c:v>
                </c:pt>
                <c:pt idx="281">
                  <c:v>2.5163563160538523E-4</c:v>
                </c:pt>
                <c:pt idx="282">
                  <c:v>4.0251572327043164E-3</c:v>
                </c:pt>
                <c:pt idx="283">
                  <c:v>1.5033826108745247E-3</c:v>
                </c:pt>
                <c:pt idx="284">
                  <c:v>-8.5063797848385376E-3</c:v>
                </c:pt>
                <c:pt idx="285">
                  <c:v>2.3971738581882122E-3</c:v>
                </c:pt>
                <c:pt idx="286">
                  <c:v>-2.5173064820636904E-4</c:v>
                </c:pt>
                <c:pt idx="287">
                  <c:v>-2.5179403248143375E-3</c:v>
                </c:pt>
                <c:pt idx="288">
                  <c:v>-2.1456518995330268E-3</c:v>
                </c:pt>
                <c:pt idx="289">
                  <c:v>4.3005312420946549E-3</c:v>
                </c:pt>
                <c:pt idx="290">
                  <c:v>-1.234256926952146E-2</c:v>
                </c:pt>
                <c:pt idx="291">
                  <c:v>1.6577403723539333E-3</c:v>
                </c:pt>
                <c:pt idx="292">
                  <c:v>-3.3099936346275101E-3</c:v>
                </c:pt>
                <c:pt idx="293">
                  <c:v>0</c:v>
                </c:pt>
                <c:pt idx="294">
                  <c:v>1.5327628049558095E-3</c:v>
                </c:pt>
                <c:pt idx="295">
                  <c:v>-1.1733197296263254E-2</c:v>
                </c:pt>
                <c:pt idx="296">
                  <c:v>-2.4519292811975447E-3</c:v>
                </c:pt>
                <c:pt idx="297">
                  <c:v>-3.3635187580852641E-3</c:v>
                </c:pt>
                <c:pt idx="298">
                  <c:v>4.2834890965731866E-3</c:v>
                </c:pt>
                <c:pt idx="299">
                  <c:v>-3.8774718883289564E-3</c:v>
                </c:pt>
                <c:pt idx="300">
                  <c:v>-1.4272739068379324E-3</c:v>
                </c:pt>
                <c:pt idx="301">
                  <c:v>-1.2474012474012393E-2</c:v>
                </c:pt>
                <c:pt idx="302">
                  <c:v>4.2105263157893843E-3</c:v>
                </c:pt>
                <c:pt idx="303">
                  <c:v>1.8343815513626911E-3</c:v>
                </c:pt>
                <c:pt idx="304">
                  <c:v>4.8391315720638841E-3</c:v>
                </c:pt>
                <c:pt idx="305">
                  <c:v>5.8570870753612237E-3</c:v>
                </c:pt>
                <c:pt idx="306">
                  <c:v>-5.1759834368538113E-4</c:v>
                </c:pt>
                <c:pt idx="307">
                  <c:v>3.7545313309167048E-3</c:v>
                </c:pt>
                <c:pt idx="308">
                  <c:v>1.0060621694827823E-2</c:v>
                </c:pt>
                <c:pt idx="309">
                  <c:v>9.0665304558803957E-3</c:v>
                </c:pt>
                <c:pt idx="310">
                  <c:v>-9.9974689951909911E-3</c:v>
                </c:pt>
                <c:pt idx="311">
                  <c:v>9.714943116451373E-3</c:v>
                </c:pt>
                <c:pt idx="312">
                  <c:v>-4.4309406253955482E-3</c:v>
                </c:pt>
                <c:pt idx="313">
                  <c:v>5.4679552390639952E-3</c:v>
                </c:pt>
                <c:pt idx="314">
                  <c:v>8.0940938409004761E-3</c:v>
                </c:pt>
                <c:pt idx="315">
                  <c:v>7.6527411868021512E-3</c:v>
                </c:pt>
                <c:pt idx="316">
                  <c:v>-7.3456175298803441E-3</c:v>
                </c:pt>
                <c:pt idx="317">
                  <c:v>1.5050796437976965E-3</c:v>
                </c:pt>
                <c:pt idx="318">
                  <c:v>-2.0288040075140769E-2</c:v>
                </c:pt>
                <c:pt idx="319">
                  <c:v>0</c:v>
                </c:pt>
                <c:pt idx="320">
                  <c:v>1.0481912309855467E-2</c:v>
                </c:pt>
                <c:pt idx="321">
                  <c:v>-5.3130929791271563E-3</c:v>
                </c:pt>
                <c:pt idx="322">
                  <c:v>1.3735215566577622E-2</c:v>
                </c:pt>
                <c:pt idx="323">
                  <c:v>-1.1792748714088544E-2</c:v>
                </c:pt>
                <c:pt idx="324">
                  <c:v>5.5858829503617844E-3</c:v>
                </c:pt>
                <c:pt idx="325">
                  <c:v>5.4286074990532365E-3</c:v>
                </c:pt>
                <c:pt idx="326">
                  <c:v>-4.1436464088397571E-3</c:v>
                </c:pt>
                <c:pt idx="327">
                  <c:v>4.6652376749464703E-3</c:v>
                </c:pt>
                <c:pt idx="328">
                  <c:v>-3.5140562248996122E-3</c:v>
                </c:pt>
                <c:pt idx="329">
                  <c:v>-7.0528967254408345E-3</c:v>
                </c:pt>
                <c:pt idx="330">
                  <c:v>1.1415525114155684E-3</c:v>
                </c:pt>
                <c:pt idx="331">
                  <c:v>-3.8008361839606149E-4</c:v>
                </c:pt>
                <c:pt idx="332">
                  <c:v>4.1825095057034002E-3</c:v>
                </c:pt>
                <c:pt idx="333">
                  <c:v>3.5340148933484931E-3</c:v>
                </c:pt>
                <c:pt idx="334">
                  <c:v>-6.2885171676532975E-4</c:v>
                </c:pt>
                <c:pt idx="335">
                  <c:v>7.2992700729928583E-3</c:v>
                </c:pt>
                <c:pt idx="336">
                  <c:v>-2.3738130934534223E-3</c:v>
                </c:pt>
                <c:pt idx="337">
                  <c:v>-5.6355666875389943E-3</c:v>
                </c:pt>
                <c:pt idx="338">
                  <c:v>4.2821158690174955E-3</c:v>
                </c:pt>
                <c:pt idx="339">
                  <c:v>1.2540757461757107E-4</c:v>
                </c:pt>
                <c:pt idx="340">
                  <c:v>1.053291536050161E-2</c:v>
                </c:pt>
                <c:pt idx="341">
                  <c:v>1.8240476485916351E-2</c:v>
                </c:pt>
                <c:pt idx="342">
                  <c:v>2.9246892517669374E-3</c:v>
                </c:pt>
                <c:pt idx="343">
                  <c:v>-3.7667071688943171E-3</c:v>
                </c:pt>
                <c:pt idx="344">
                  <c:v>1.3782168557141233E-2</c:v>
                </c:pt>
                <c:pt idx="345">
                  <c:v>2.3941289701636125E-2</c:v>
                </c:pt>
                <c:pt idx="346">
                  <c:v>-1.3159440723769294E-2</c:v>
                </c:pt>
                <c:pt idx="347">
                  <c:v>-8.57244910108345E-3</c:v>
                </c:pt>
                <c:pt idx="348">
                  <c:v>-4.083103158400255E-3</c:v>
                </c:pt>
                <c:pt idx="349">
                  <c:v>6.0291812371879895E-3</c:v>
                </c:pt>
                <c:pt idx="350">
                  <c:v>9.5888769027925548E-4</c:v>
                </c:pt>
                <c:pt idx="351">
                  <c:v>-2.2392527840977183E-2</c:v>
                </c:pt>
                <c:pt idx="352">
                  <c:v>-8.2067613914747883E-3</c:v>
                </c:pt>
                <c:pt idx="353">
                  <c:v>-4.1990860812647079E-3</c:v>
                </c:pt>
                <c:pt idx="354">
                  <c:v>-6.9453057174749143E-3</c:v>
                </c:pt>
                <c:pt idx="355">
                  <c:v>4.8707381041588685E-3</c:v>
                </c:pt>
                <c:pt idx="356">
                  <c:v>7.4571215510815662E-4</c:v>
                </c:pt>
                <c:pt idx="357">
                  <c:v>-1.0183805265772394E-2</c:v>
                </c:pt>
                <c:pt idx="358">
                  <c:v>-3.0112923462987337E-3</c:v>
                </c:pt>
                <c:pt idx="359">
                  <c:v>6.2924742008572075E-4</c:v>
                </c:pt>
                <c:pt idx="360">
                  <c:v>-2.3896365237078597E-3</c:v>
                </c:pt>
                <c:pt idx="361">
                  <c:v>-1.0463943519919293E-2</c:v>
                </c:pt>
                <c:pt idx="362">
                  <c:v>2.1658810039495695E-3</c:v>
                </c:pt>
                <c:pt idx="363">
                  <c:v>0</c:v>
                </c:pt>
                <c:pt idx="364">
                  <c:v>-4.0681413679124487E-3</c:v>
                </c:pt>
                <c:pt idx="365">
                  <c:v>-5.1059484299209304E-3</c:v>
                </c:pt>
                <c:pt idx="366">
                  <c:v>-1.7962535283551524E-3</c:v>
                </c:pt>
                <c:pt idx="367">
                  <c:v>-1.1311053984575778E-2</c:v>
                </c:pt>
                <c:pt idx="368">
                  <c:v>-5.4602184087363713E-3</c:v>
                </c:pt>
                <c:pt idx="369">
                  <c:v>3.0065359477124704E-3</c:v>
                </c:pt>
                <c:pt idx="370">
                  <c:v>-9.3835527173204598E-3</c:v>
                </c:pt>
                <c:pt idx="371">
                  <c:v>-5.6571503749507542E-3</c:v>
                </c:pt>
                <c:pt idx="372">
                  <c:v>-2.6462026991262266E-4</c:v>
                </c:pt>
                <c:pt idx="373">
                  <c:v>-7.1466384330334332E-3</c:v>
                </c:pt>
                <c:pt idx="374">
                  <c:v>-7.9978672354041956E-4</c:v>
                </c:pt>
                <c:pt idx="375">
                  <c:v>-1.4674493062966842E-3</c:v>
                </c:pt>
                <c:pt idx="376">
                  <c:v>-2.9392117568470123E-3</c:v>
                </c:pt>
                <c:pt idx="377">
                  <c:v>-1.6079324668363777E-2</c:v>
                </c:pt>
                <c:pt idx="378">
                  <c:v>-7.2177584093694822E-3</c:v>
                </c:pt>
                <c:pt idx="379">
                  <c:v>-5.8984910836763623E-3</c:v>
                </c:pt>
                <c:pt idx="380">
                  <c:v>2.2078101283289167E-3</c:v>
                </c:pt>
                <c:pt idx="381">
                  <c:v>-8.2610491532427756E-4</c:v>
                </c:pt>
                <c:pt idx="382">
                  <c:v>-1.4193192779385242E-2</c:v>
                </c:pt>
                <c:pt idx="383">
                  <c:v>7.827788649706291E-3</c:v>
                </c:pt>
                <c:pt idx="384">
                  <c:v>9.847434119278891E-3</c:v>
                </c:pt>
                <c:pt idx="385">
                  <c:v>1.7854690289794734E-3</c:v>
                </c:pt>
                <c:pt idx="386">
                  <c:v>1.3161502604880833E-2</c:v>
                </c:pt>
                <c:pt idx="387">
                  <c:v>-5.8186738836266145E-3</c:v>
                </c:pt>
                <c:pt idx="388">
                  <c:v>4.4916292364230066E-3</c:v>
                </c:pt>
                <c:pt idx="389">
                  <c:v>-1.5989159891598815E-2</c:v>
                </c:pt>
                <c:pt idx="390">
                  <c:v>-1.927843569264673E-3</c:v>
                </c:pt>
                <c:pt idx="391">
                  <c:v>1.5314569536423833E-2</c:v>
                </c:pt>
                <c:pt idx="392">
                  <c:v>9.512161978528764E-4</c:v>
                </c:pt>
                <c:pt idx="393">
                  <c:v>1.1132229161010147E-2</c:v>
                </c:pt>
                <c:pt idx="394">
                  <c:v>5.1020408163264695E-3</c:v>
                </c:pt>
                <c:pt idx="395">
                  <c:v>-2.2709056906225181E-3</c:v>
                </c:pt>
                <c:pt idx="396">
                  <c:v>4.8199223456955338E-3</c:v>
                </c:pt>
                <c:pt idx="397">
                  <c:v>9.9933377748167886E-3</c:v>
                </c:pt>
                <c:pt idx="398">
                  <c:v>-9.4986807387862655E-3</c:v>
                </c:pt>
                <c:pt idx="399">
                  <c:v>-8.6574320724559332E-3</c:v>
                </c:pt>
                <c:pt idx="400">
                  <c:v>-2.2840252586322947E-3</c:v>
                </c:pt>
                <c:pt idx="401">
                  <c:v>1.2927551844869293E-2</c:v>
                </c:pt>
                <c:pt idx="402">
                  <c:v>1.1699016219090606E-2</c:v>
                </c:pt>
                <c:pt idx="403">
                  <c:v>-6.0446780551904567E-3</c:v>
                </c:pt>
                <c:pt idx="404">
                  <c:v>8.9899524061342224E-3</c:v>
                </c:pt>
                <c:pt idx="405">
                  <c:v>-1.1530398322851094E-2</c:v>
                </c:pt>
                <c:pt idx="406">
                  <c:v>4.1092258748674747E-3</c:v>
                </c:pt>
                <c:pt idx="407">
                  <c:v>2.1782178217821857E-2</c:v>
                </c:pt>
                <c:pt idx="408">
                  <c:v>1.4341085271317821E-2</c:v>
                </c:pt>
                <c:pt idx="409">
                  <c:v>-8.7886893389378662E-3</c:v>
                </c:pt>
                <c:pt idx="410">
                  <c:v>7.7101002313031174E-3</c:v>
                </c:pt>
                <c:pt idx="411">
                  <c:v>-8.1611833715888871E-3</c:v>
                </c:pt>
                <c:pt idx="412">
                  <c:v>1.2856775520698677E-3</c:v>
                </c:pt>
                <c:pt idx="413">
                  <c:v>-3.8777606574216694E-2</c:v>
                </c:pt>
                <c:pt idx="414">
                  <c:v>-3.3395671920919048E-3</c:v>
                </c:pt>
                <c:pt idx="415">
                  <c:v>5.0931510521377218E-3</c:v>
                </c:pt>
                <c:pt idx="416">
                  <c:v>-6.8009067875715555E-3</c:v>
                </c:pt>
                <c:pt idx="417">
                  <c:v>-2.6852846401732318E-4</c:v>
                </c:pt>
                <c:pt idx="418">
                  <c:v>2.6860059092143746E-4</c:v>
                </c:pt>
                <c:pt idx="419">
                  <c:v>-1.3426423200860436E-3</c:v>
                </c:pt>
                <c:pt idx="420">
                  <c:v>1.8822264049475743E-3</c:v>
                </c:pt>
                <c:pt idx="421">
                  <c:v>0</c:v>
                </c:pt>
                <c:pt idx="422">
                  <c:v>1.7444981213098453E-3</c:v>
                </c:pt>
                <c:pt idx="423">
                  <c:v>2.1165438713998636E-2</c:v>
                </c:pt>
                <c:pt idx="424">
                  <c:v>-1.0888101797192684E-2</c:v>
                </c:pt>
                <c:pt idx="425">
                  <c:v>-2.1618037135278642E-2</c:v>
                </c:pt>
                <c:pt idx="426">
                  <c:v>5.55781482987679E-3</c:v>
                </c:pt>
                <c:pt idx="427">
                  <c:v>-9.8409274737126431E-3</c:v>
                </c:pt>
                <c:pt idx="428">
                  <c:v>-1.3478556841388822E-2</c:v>
                </c:pt>
                <c:pt idx="429">
                  <c:v>-1.3248688931824369E-2</c:v>
                </c:pt>
                <c:pt idx="430">
                  <c:v>-7.1328671328672044E-3</c:v>
                </c:pt>
                <c:pt idx="431">
                  <c:v>-5.352866600929645E-3</c:v>
                </c:pt>
                <c:pt idx="432">
                  <c:v>-9.3471179719585972E-3</c:v>
                </c:pt>
                <c:pt idx="433">
                  <c:v>-4.8606147248034795E-3</c:v>
                </c:pt>
                <c:pt idx="434">
                  <c:v>-1.5658669731360486E-2</c:v>
                </c:pt>
                <c:pt idx="435">
                  <c:v>-5.2539404553414984E-3</c:v>
                </c:pt>
                <c:pt idx="436">
                  <c:v>-2.9342723004695255E-3</c:v>
                </c:pt>
                <c:pt idx="437">
                  <c:v>2.8104767510300339E-2</c:v>
                </c:pt>
                <c:pt idx="438">
                  <c:v>2.1754687276370345E-2</c:v>
                </c:pt>
                <c:pt idx="439">
                  <c:v>-2.6614371760750486E-3</c:v>
                </c:pt>
                <c:pt idx="440">
                  <c:v>2.8089887640449836E-3</c:v>
                </c:pt>
                <c:pt idx="441">
                  <c:v>8.6834733893556056E-3</c:v>
                </c:pt>
                <c:pt idx="442">
                  <c:v>-1.1108025548458526E-3</c:v>
                </c:pt>
                <c:pt idx="443">
                  <c:v>1.5290519877675763E-3</c:v>
                </c:pt>
                <c:pt idx="444">
                  <c:v>-6.2456627342123922E-3</c:v>
                </c:pt>
                <c:pt idx="445">
                  <c:v>-5.5865921787708311E-3</c:v>
                </c:pt>
                <c:pt idx="446">
                  <c:v>-1.3342696629213523E-2</c:v>
                </c:pt>
                <c:pt idx="447">
                  <c:v>-1.2811387900355953E-2</c:v>
                </c:pt>
                <c:pt idx="448">
                  <c:v>2.0187454938716738E-3</c:v>
                </c:pt>
                <c:pt idx="449">
                  <c:v>3.3098287523385234E-3</c:v>
                </c:pt>
                <c:pt idx="450">
                  <c:v>6.3109581181870012E-3</c:v>
                </c:pt>
                <c:pt idx="451">
                  <c:v>6.2713797035347458E-3</c:v>
                </c:pt>
                <c:pt idx="452">
                  <c:v>-7.0821529745042503E-3</c:v>
                </c:pt>
                <c:pt idx="453">
                  <c:v>-4.2796005706133696E-3</c:v>
                </c:pt>
                <c:pt idx="454">
                  <c:v>-2.4355300859599097E-3</c:v>
                </c:pt>
                <c:pt idx="455">
                  <c:v>3.3031739192877206E-3</c:v>
                </c:pt>
                <c:pt idx="456">
                  <c:v>-8.5886057829948862E-4</c:v>
                </c:pt>
                <c:pt idx="457">
                  <c:v>4.2979942693411374E-4</c:v>
                </c:pt>
                <c:pt idx="458">
                  <c:v>2.4344837462408953E-3</c:v>
                </c:pt>
                <c:pt idx="459">
                  <c:v>-8.5714285714288962E-4</c:v>
                </c:pt>
                <c:pt idx="460">
                  <c:v>-6.2911066628538424E-3</c:v>
                </c:pt>
                <c:pt idx="461">
                  <c:v>-7.9136690647481599E-3</c:v>
                </c:pt>
                <c:pt idx="462">
                  <c:v>-9.4271211022480886E-3</c:v>
                </c:pt>
                <c:pt idx="463">
                  <c:v>6.4421669106881074E-3</c:v>
                </c:pt>
                <c:pt idx="464">
                  <c:v>-9.310445155659014E-3</c:v>
                </c:pt>
                <c:pt idx="465">
                  <c:v>-5.1395007342143074E-3</c:v>
                </c:pt>
                <c:pt idx="466">
                  <c:v>-1.1660516605166144E-2</c:v>
                </c:pt>
                <c:pt idx="467">
                  <c:v>1.8518518518518656E-2</c:v>
                </c:pt>
                <c:pt idx="468">
                  <c:v>8.7976539589441974E-3</c:v>
                </c:pt>
                <c:pt idx="469">
                  <c:v>-1.9622093023255731E-2</c:v>
                </c:pt>
                <c:pt idx="470">
                  <c:v>1.482579688656917E-4</c:v>
                </c:pt>
                <c:pt idx="471">
                  <c:v>-9.7835754521197246E-3</c:v>
                </c:pt>
                <c:pt idx="472">
                  <c:v>-5.0898203592814883E-3</c:v>
                </c:pt>
                <c:pt idx="473">
                  <c:v>5.5672585013542665E-3</c:v>
                </c:pt>
                <c:pt idx="474">
                  <c:v>1.7956007780937386E-3</c:v>
                </c:pt>
                <c:pt idx="475">
                  <c:v>7.468259895443937E-4</c:v>
                </c:pt>
                <c:pt idx="476">
                  <c:v>4.1791044776119573E-3</c:v>
                </c:pt>
                <c:pt idx="477">
                  <c:v>-3.7158145065398335E-3</c:v>
                </c:pt>
                <c:pt idx="478">
                  <c:v>-3.4312994181710274E-3</c:v>
                </c:pt>
                <c:pt idx="479">
                  <c:v>-2.2455089820358006E-3</c:v>
                </c:pt>
                <c:pt idx="480">
                  <c:v>8.2520630157538952E-3</c:v>
                </c:pt>
                <c:pt idx="481">
                  <c:v>4.3154761904760719E-3</c:v>
                </c:pt>
                <c:pt idx="482">
                  <c:v>7.5566750629723683E-3</c:v>
                </c:pt>
                <c:pt idx="483">
                  <c:v>-5.8823529411773906E-4</c:v>
                </c:pt>
                <c:pt idx="484">
                  <c:v>-4.8557975279575971E-3</c:v>
                </c:pt>
                <c:pt idx="485">
                  <c:v>8.4282123318055215E-3</c:v>
                </c:pt>
                <c:pt idx="486">
                  <c:v>2.3460410557184248E-3</c:v>
                </c:pt>
                <c:pt idx="487">
                  <c:v>-5.4125219426565908E-3</c:v>
                </c:pt>
                <c:pt idx="488">
                  <c:v>-1.4560964847771658E-2</c:v>
                </c:pt>
                <c:pt idx="489">
                  <c:v>2.01492537313432E-2</c:v>
                </c:pt>
                <c:pt idx="490">
                  <c:v>-2.1945866861739793E-3</c:v>
                </c:pt>
                <c:pt idx="491">
                  <c:v>-2.3460410557184248E-3</c:v>
                </c:pt>
                <c:pt idx="492">
                  <c:v>-8.6713697824809428E-3</c:v>
                </c:pt>
                <c:pt idx="493">
                  <c:v>-2.9651593773165727E-3</c:v>
                </c:pt>
                <c:pt idx="494">
                  <c:v>9.6654275092937642E-3</c:v>
                </c:pt>
                <c:pt idx="495">
                  <c:v>-7.0692194403535191E-3</c:v>
                </c:pt>
                <c:pt idx="496">
                  <c:v>1.1124295461287452E-2</c:v>
                </c:pt>
                <c:pt idx="497">
                  <c:v>3.8139944257005298E-3</c:v>
                </c:pt>
                <c:pt idx="498">
                  <c:v>5.4069852403914997E-3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1-432C-9457-53AECFFDC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449727"/>
        <c:axId val="1092443967"/>
      </c:barChart>
      <c:dateAx>
        <c:axId val="1140449727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92443967"/>
        <c:crosses val="autoZero"/>
        <c:auto val="1"/>
        <c:lblOffset val="100"/>
        <c:baseTimeUnit val="days"/>
      </c:dateAx>
      <c:valAx>
        <c:axId val="109244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49727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 Diário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Análise_Variação!$A$3:$A$501</c:f>
              <c:numCache>
                <c:formatCode>m/d/yyyy</c:formatCode>
                <c:ptCount val="499"/>
                <c:pt idx="0">
                  <c:v>45491</c:v>
                </c:pt>
                <c:pt idx="1">
                  <c:v>45492</c:v>
                </c:pt>
                <c:pt idx="2">
                  <c:v>45495</c:v>
                </c:pt>
                <c:pt idx="3">
                  <c:v>45496</c:v>
                </c:pt>
                <c:pt idx="4">
                  <c:v>45497</c:v>
                </c:pt>
                <c:pt idx="5">
                  <c:v>45498</c:v>
                </c:pt>
                <c:pt idx="6">
                  <c:v>45499</c:v>
                </c:pt>
                <c:pt idx="7">
                  <c:v>45502</c:v>
                </c:pt>
                <c:pt idx="8">
                  <c:v>45503</c:v>
                </c:pt>
                <c:pt idx="9">
                  <c:v>45504</c:v>
                </c:pt>
                <c:pt idx="10">
                  <c:v>45505</c:v>
                </c:pt>
                <c:pt idx="11">
                  <c:v>45506</c:v>
                </c:pt>
                <c:pt idx="12">
                  <c:v>45509</c:v>
                </c:pt>
                <c:pt idx="13">
                  <c:v>45510</c:v>
                </c:pt>
                <c:pt idx="14">
                  <c:v>45511</c:v>
                </c:pt>
                <c:pt idx="15">
                  <c:v>45512</c:v>
                </c:pt>
                <c:pt idx="16">
                  <c:v>45513</c:v>
                </c:pt>
                <c:pt idx="17">
                  <c:v>45516</c:v>
                </c:pt>
                <c:pt idx="18">
                  <c:v>45517</c:v>
                </c:pt>
                <c:pt idx="19">
                  <c:v>45518</c:v>
                </c:pt>
                <c:pt idx="20">
                  <c:v>45519</c:v>
                </c:pt>
                <c:pt idx="21">
                  <c:v>45520</c:v>
                </c:pt>
                <c:pt idx="22">
                  <c:v>45523</c:v>
                </c:pt>
                <c:pt idx="23">
                  <c:v>45524</c:v>
                </c:pt>
                <c:pt idx="24">
                  <c:v>45525</c:v>
                </c:pt>
                <c:pt idx="25">
                  <c:v>45526</c:v>
                </c:pt>
                <c:pt idx="26">
                  <c:v>45527</c:v>
                </c:pt>
                <c:pt idx="27">
                  <c:v>45530</c:v>
                </c:pt>
                <c:pt idx="28">
                  <c:v>45531</c:v>
                </c:pt>
                <c:pt idx="29">
                  <c:v>45532</c:v>
                </c:pt>
                <c:pt idx="30">
                  <c:v>45533</c:v>
                </c:pt>
                <c:pt idx="31">
                  <c:v>45534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45544</c:v>
                </c:pt>
                <c:pt idx="38">
                  <c:v>45545</c:v>
                </c:pt>
                <c:pt idx="39">
                  <c:v>45546</c:v>
                </c:pt>
                <c:pt idx="40">
                  <c:v>45547</c:v>
                </c:pt>
                <c:pt idx="41">
                  <c:v>45548</c:v>
                </c:pt>
                <c:pt idx="42">
                  <c:v>45551</c:v>
                </c:pt>
                <c:pt idx="43">
                  <c:v>45552</c:v>
                </c:pt>
                <c:pt idx="44">
                  <c:v>45553</c:v>
                </c:pt>
                <c:pt idx="45">
                  <c:v>45554</c:v>
                </c:pt>
                <c:pt idx="46">
                  <c:v>45555</c:v>
                </c:pt>
                <c:pt idx="47">
                  <c:v>45558</c:v>
                </c:pt>
                <c:pt idx="48">
                  <c:v>45559</c:v>
                </c:pt>
                <c:pt idx="49">
                  <c:v>45560</c:v>
                </c:pt>
                <c:pt idx="50">
                  <c:v>45561</c:v>
                </c:pt>
                <c:pt idx="51">
                  <c:v>45562</c:v>
                </c:pt>
                <c:pt idx="52">
                  <c:v>45565</c:v>
                </c:pt>
                <c:pt idx="53">
                  <c:v>45566</c:v>
                </c:pt>
                <c:pt idx="54">
                  <c:v>45567</c:v>
                </c:pt>
                <c:pt idx="55">
                  <c:v>45568</c:v>
                </c:pt>
                <c:pt idx="56">
                  <c:v>45569</c:v>
                </c:pt>
                <c:pt idx="57">
                  <c:v>45572</c:v>
                </c:pt>
                <c:pt idx="58">
                  <c:v>45573</c:v>
                </c:pt>
                <c:pt idx="59">
                  <c:v>45574</c:v>
                </c:pt>
                <c:pt idx="60">
                  <c:v>45575</c:v>
                </c:pt>
                <c:pt idx="61">
                  <c:v>45576</c:v>
                </c:pt>
                <c:pt idx="62">
                  <c:v>45579</c:v>
                </c:pt>
                <c:pt idx="63">
                  <c:v>45580</c:v>
                </c:pt>
                <c:pt idx="64">
                  <c:v>45581</c:v>
                </c:pt>
                <c:pt idx="65">
                  <c:v>45582</c:v>
                </c:pt>
                <c:pt idx="66">
                  <c:v>45583</c:v>
                </c:pt>
                <c:pt idx="67">
                  <c:v>45586</c:v>
                </c:pt>
                <c:pt idx="68">
                  <c:v>45587</c:v>
                </c:pt>
                <c:pt idx="69">
                  <c:v>45588</c:v>
                </c:pt>
                <c:pt idx="70">
                  <c:v>45589</c:v>
                </c:pt>
                <c:pt idx="71">
                  <c:v>45590</c:v>
                </c:pt>
                <c:pt idx="72">
                  <c:v>45593</c:v>
                </c:pt>
                <c:pt idx="73">
                  <c:v>45594</c:v>
                </c:pt>
                <c:pt idx="74">
                  <c:v>45595</c:v>
                </c:pt>
                <c:pt idx="75">
                  <c:v>45596</c:v>
                </c:pt>
                <c:pt idx="76">
                  <c:v>45597</c:v>
                </c:pt>
                <c:pt idx="77">
                  <c:v>45600</c:v>
                </c:pt>
                <c:pt idx="78">
                  <c:v>45601</c:v>
                </c:pt>
                <c:pt idx="79">
                  <c:v>45602</c:v>
                </c:pt>
                <c:pt idx="80">
                  <c:v>45603</c:v>
                </c:pt>
                <c:pt idx="81">
                  <c:v>45604</c:v>
                </c:pt>
                <c:pt idx="82">
                  <c:v>45607</c:v>
                </c:pt>
                <c:pt idx="83">
                  <c:v>45608</c:v>
                </c:pt>
                <c:pt idx="84">
                  <c:v>45609</c:v>
                </c:pt>
                <c:pt idx="85">
                  <c:v>45610</c:v>
                </c:pt>
                <c:pt idx="86">
                  <c:v>45614</c:v>
                </c:pt>
                <c:pt idx="87">
                  <c:v>45615</c:v>
                </c:pt>
                <c:pt idx="88">
                  <c:v>45617</c:v>
                </c:pt>
                <c:pt idx="89">
                  <c:v>45618</c:v>
                </c:pt>
                <c:pt idx="90">
                  <c:v>45621</c:v>
                </c:pt>
                <c:pt idx="91">
                  <c:v>45622</c:v>
                </c:pt>
                <c:pt idx="92">
                  <c:v>45623</c:v>
                </c:pt>
                <c:pt idx="93">
                  <c:v>45624</c:v>
                </c:pt>
                <c:pt idx="94">
                  <c:v>45625</c:v>
                </c:pt>
                <c:pt idx="95">
                  <c:v>45628</c:v>
                </c:pt>
                <c:pt idx="96">
                  <c:v>45629</c:v>
                </c:pt>
                <c:pt idx="97">
                  <c:v>45630</c:v>
                </c:pt>
                <c:pt idx="98">
                  <c:v>45631</c:v>
                </c:pt>
                <c:pt idx="99">
                  <c:v>45632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45652</c:v>
                </c:pt>
                <c:pt idx="112">
                  <c:v>45653</c:v>
                </c:pt>
                <c:pt idx="113">
                  <c:v>45656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45666</c:v>
                </c:pt>
                <c:pt idx="120">
                  <c:v>45667</c:v>
                </c:pt>
                <c:pt idx="121">
                  <c:v>45670</c:v>
                </c:pt>
                <c:pt idx="122">
                  <c:v>45671</c:v>
                </c:pt>
                <c:pt idx="123">
                  <c:v>45672</c:v>
                </c:pt>
                <c:pt idx="124">
                  <c:v>45673</c:v>
                </c:pt>
                <c:pt idx="125">
                  <c:v>45674</c:v>
                </c:pt>
                <c:pt idx="126">
                  <c:v>45677</c:v>
                </c:pt>
                <c:pt idx="127">
                  <c:v>45678</c:v>
                </c:pt>
                <c:pt idx="128">
                  <c:v>45679</c:v>
                </c:pt>
                <c:pt idx="129">
                  <c:v>45680</c:v>
                </c:pt>
                <c:pt idx="130">
                  <c:v>45681</c:v>
                </c:pt>
                <c:pt idx="131">
                  <c:v>45684</c:v>
                </c:pt>
                <c:pt idx="132">
                  <c:v>45685</c:v>
                </c:pt>
                <c:pt idx="133">
                  <c:v>45686</c:v>
                </c:pt>
                <c:pt idx="134">
                  <c:v>45687</c:v>
                </c:pt>
                <c:pt idx="135">
                  <c:v>45688</c:v>
                </c:pt>
                <c:pt idx="136">
                  <c:v>45691</c:v>
                </c:pt>
                <c:pt idx="137">
                  <c:v>45692</c:v>
                </c:pt>
                <c:pt idx="138">
                  <c:v>45693</c:v>
                </c:pt>
                <c:pt idx="139">
                  <c:v>45694</c:v>
                </c:pt>
                <c:pt idx="140">
                  <c:v>45695</c:v>
                </c:pt>
                <c:pt idx="141">
                  <c:v>45698</c:v>
                </c:pt>
                <c:pt idx="142">
                  <c:v>45699</c:v>
                </c:pt>
                <c:pt idx="143">
                  <c:v>45700</c:v>
                </c:pt>
                <c:pt idx="144">
                  <c:v>45701</c:v>
                </c:pt>
                <c:pt idx="145">
                  <c:v>45702</c:v>
                </c:pt>
                <c:pt idx="146">
                  <c:v>45705</c:v>
                </c:pt>
                <c:pt idx="147">
                  <c:v>45706</c:v>
                </c:pt>
                <c:pt idx="148">
                  <c:v>45707</c:v>
                </c:pt>
                <c:pt idx="149">
                  <c:v>45708</c:v>
                </c:pt>
                <c:pt idx="150">
                  <c:v>45709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45726</c:v>
                </c:pt>
                <c:pt idx="160">
                  <c:v>45727</c:v>
                </c:pt>
                <c:pt idx="161">
                  <c:v>45728</c:v>
                </c:pt>
                <c:pt idx="162">
                  <c:v>45729</c:v>
                </c:pt>
                <c:pt idx="163">
                  <c:v>45730</c:v>
                </c:pt>
                <c:pt idx="164">
                  <c:v>45733</c:v>
                </c:pt>
                <c:pt idx="165">
                  <c:v>45734</c:v>
                </c:pt>
                <c:pt idx="166">
                  <c:v>45735</c:v>
                </c:pt>
                <c:pt idx="167">
                  <c:v>45736</c:v>
                </c:pt>
                <c:pt idx="168">
                  <c:v>45737</c:v>
                </c:pt>
                <c:pt idx="169">
                  <c:v>45740</c:v>
                </c:pt>
                <c:pt idx="170">
                  <c:v>45741</c:v>
                </c:pt>
                <c:pt idx="171">
                  <c:v>45742</c:v>
                </c:pt>
                <c:pt idx="172">
                  <c:v>45743</c:v>
                </c:pt>
                <c:pt idx="173">
                  <c:v>45744</c:v>
                </c:pt>
                <c:pt idx="174">
                  <c:v>45747</c:v>
                </c:pt>
                <c:pt idx="175">
                  <c:v>45748</c:v>
                </c:pt>
                <c:pt idx="176">
                  <c:v>45749</c:v>
                </c:pt>
                <c:pt idx="177">
                  <c:v>45750</c:v>
                </c:pt>
                <c:pt idx="178">
                  <c:v>45751</c:v>
                </c:pt>
                <c:pt idx="179">
                  <c:v>45754</c:v>
                </c:pt>
                <c:pt idx="180">
                  <c:v>45755</c:v>
                </c:pt>
                <c:pt idx="181">
                  <c:v>45756</c:v>
                </c:pt>
                <c:pt idx="182">
                  <c:v>45757</c:v>
                </c:pt>
                <c:pt idx="183">
                  <c:v>45758</c:v>
                </c:pt>
                <c:pt idx="184">
                  <c:v>45761</c:v>
                </c:pt>
                <c:pt idx="185">
                  <c:v>45762</c:v>
                </c:pt>
                <c:pt idx="186">
                  <c:v>45763</c:v>
                </c:pt>
                <c:pt idx="187">
                  <c:v>45764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45775</c:v>
                </c:pt>
                <c:pt idx="193">
                  <c:v>45776</c:v>
                </c:pt>
                <c:pt idx="194">
                  <c:v>45777</c:v>
                </c:pt>
                <c:pt idx="195">
                  <c:v>45779</c:v>
                </c:pt>
                <c:pt idx="196">
                  <c:v>45782</c:v>
                </c:pt>
                <c:pt idx="197">
                  <c:v>45783</c:v>
                </c:pt>
                <c:pt idx="198">
                  <c:v>45784</c:v>
                </c:pt>
                <c:pt idx="199">
                  <c:v>45785</c:v>
                </c:pt>
                <c:pt idx="200">
                  <c:v>45786</c:v>
                </c:pt>
                <c:pt idx="201">
                  <c:v>45789</c:v>
                </c:pt>
                <c:pt idx="202">
                  <c:v>45790</c:v>
                </c:pt>
                <c:pt idx="203">
                  <c:v>45791</c:v>
                </c:pt>
                <c:pt idx="204">
                  <c:v>45792</c:v>
                </c:pt>
                <c:pt idx="205">
                  <c:v>45793</c:v>
                </c:pt>
                <c:pt idx="206">
                  <c:v>45796</c:v>
                </c:pt>
                <c:pt idx="207">
                  <c:v>45797</c:v>
                </c:pt>
                <c:pt idx="208">
                  <c:v>45798</c:v>
                </c:pt>
                <c:pt idx="209">
                  <c:v>45799</c:v>
                </c:pt>
                <c:pt idx="210">
                  <c:v>45800</c:v>
                </c:pt>
                <c:pt idx="211">
                  <c:v>45803</c:v>
                </c:pt>
                <c:pt idx="212">
                  <c:v>45804</c:v>
                </c:pt>
                <c:pt idx="213">
                  <c:v>45805</c:v>
                </c:pt>
                <c:pt idx="214">
                  <c:v>45806</c:v>
                </c:pt>
                <c:pt idx="215">
                  <c:v>45807</c:v>
                </c:pt>
                <c:pt idx="216">
                  <c:v>45810</c:v>
                </c:pt>
                <c:pt idx="217">
                  <c:v>45811</c:v>
                </c:pt>
                <c:pt idx="218">
                  <c:v>45812</c:v>
                </c:pt>
                <c:pt idx="219">
                  <c:v>45813</c:v>
                </c:pt>
                <c:pt idx="220">
                  <c:v>45814</c:v>
                </c:pt>
                <c:pt idx="221">
                  <c:v>45817</c:v>
                </c:pt>
                <c:pt idx="222">
                  <c:v>45818</c:v>
                </c:pt>
                <c:pt idx="223">
                  <c:v>45819</c:v>
                </c:pt>
                <c:pt idx="224">
                  <c:v>45820</c:v>
                </c:pt>
                <c:pt idx="225">
                  <c:v>45821</c:v>
                </c:pt>
                <c:pt idx="226">
                  <c:v>45824</c:v>
                </c:pt>
                <c:pt idx="227">
                  <c:v>45825</c:v>
                </c:pt>
                <c:pt idx="228">
                  <c:v>45826</c:v>
                </c:pt>
                <c:pt idx="229">
                  <c:v>45828</c:v>
                </c:pt>
                <c:pt idx="230">
                  <c:v>45831</c:v>
                </c:pt>
                <c:pt idx="231">
                  <c:v>45832</c:v>
                </c:pt>
                <c:pt idx="232">
                  <c:v>45833</c:v>
                </c:pt>
                <c:pt idx="233">
                  <c:v>45834</c:v>
                </c:pt>
                <c:pt idx="234">
                  <c:v>45835</c:v>
                </c:pt>
                <c:pt idx="235">
                  <c:v>45838</c:v>
                </c:pt>
                <c:pt idx="236">
                  <c:v>45839</c:v>
                </c:pt>
                <c:pt idx="237">
                  <c:v>45840</c:v>
                </c:pt>
                <c:pt idx="238">
                  <c:v>45841</c:v>
                </c:pt>
                <c:pt idx="239">
                  <c:v>45842</c:v>
                </c:pt>
                <c:pt idx="240">
                  <c:v>45845</c:v>
                </c:pt>
                <c:pt idx="241">
                  <c:v>45846</c:v>
                </c:pt>
                <c:pt idx="242">
                  <c:v>45847</c:v>
                </c:pt>
                <c:pt idx="243">
                  <c:v>45848</c:v>
                </c:pt>
                <c:pt idx="244">
                  <c:v>45849</c:v>
                </c:pt>
                <c:pt idx="245">
                  <c:v>45852</c:v>
                </c:pt>
                <c:pt idx="246">
                  <c:v>45853</c:v>
                </c:pt>
                <c:pt idx="247">
                  <c:v>45854</c:v>
                </c:pt>
                <c:pt idx="248">
                  <c:v>45855</c:v>
                </c:pt>
                <c:pt idx="249">
                  <c:v>45856</c:v>
                </c:pt>
                <c:pt idx="250">
                  <c:v>45859</c:v>
                </c:pt>
                <c:pt idx="251">
                  <c:v>45860</c:v>
                </c:pt>
                <c:pt idx="252">
                  <c:v>45861</c:v>
                </c:pt>
                <c:pt idx="253">
                  <c:v>45862</c:v>
                </c:pt>
                <c:pt idx="254">
                  <c:v>45863</c:v>
                </c:pt>
                <c:pt idx="255">
                  <c:v>45866</c:v>
                </c:pt>
                <c:pt idx="256">
                  <c:v>45867</c:v>
                </c:pt>
                <c:pt idx="257">
                  <c:v>45868</c:v>
                </c:pt>
                <c:pt idx="258">
                  <c:v>45869</c:v>
                </c:pt>
                <c:pt idx="259">
                  <c:v>45870</c:v>
                </c:pt>
                <c:pt idx="260">
                  <c:v>45873</c:v>
                </c:pt>
                <c:pt idx="261">
                  <c:v>45874</c:v>
                </c:pt>
                <c:pt idx="262">
                  <c:v>45875</c:v>
                </c:pt>
                <c:pt idx="263">
                  <c:v>45876</c:v>
                </c:pt>
                <c:pt idx="264">
                  <c:v>45877</c:v>
                </c:pt>
                <c:pt idx="265">
                  <c:v>45880</c:v>
                </c:pt>
                <c:pt idx="266">
                  <c:v>45881</c:v>
                </c:pt>
                <c:pt idx="267">
                  <c:v>45882</c:v>
                </c:pt>
                <c:pt idx="268">
                  <c:v>45883</c:v>
                </c:pt>
                <c:pt idx="269">
                  <c:v>45884</c:v>
                </c:pt>
                <c:pt idx="270">
                  <c:v>45887</c:v>
                </c:pt>
                <c:pt idx="271">
                  <c:v>45888</c:v>
                </c:pt>
                <c:pt idx="272">
                  <c:v>45889</c:v>
                </c:pt>
                <c:pt idx="273">
                  <c:v>45890</c:v>
                </c:pt>
                <c:pt idx="274">
                  <c:v>45891</c:v>
                </c:pt>
                <c:pt idx="275">
                  <c:v>45894</c:v>
                </c:pt>
                <c:pt idx="276">
                  <c:v>45895</c:v>
                </c:pt>
                <c:pt idx="277">
                  <c:v>45896</c:v>
                </c:pt>
                <c:pt idx="278">
                  <c:v>45897</c:v>
                </c:pt>
                <c:pt idx="279">
                  <c:v>45898</c:v>
                </c:pt>
                <c:pt idx="280">
                  <c:v>45901</c:v>
                </c:pt>
                <c:pt idx="281">
                  <c:v>45902</c:v>
                </c:pt>
                <c:pt idx="282">
                  <c:v>45903</c:v>
                </c:pt>
                <c:pt idx="283">
                  <c:v>45904</c:v>
                </c:pt>
                <c:pt idx="284">
                  <c:v>45905</c:v>
                </c:pt>
                <c:pt idx="285">
                  <c:v>45908</c:v>
                </c:pt>
                <c:pt idx="286">
                  <c:v>45909</c:v>
                </c:pt>
                <c:pt idx="287">
                  <c:v>45910</c:v>
                </c:pt>
                <c:pt idx="288">
                  <c:v>45911</c:v>
                </c:pt>
                <c:pt idx="289">
                  <c:v>45912</c:v>
                </c:pt>
                <c:pt idx="290">
                  <c:v>45915</c:v>
                </c:pt>
                <c:pt idx="291">
                  <c:v>45916</c:v>
                </c:pt>
                <c:pt idx="292">
                  <c:v>45917</c:v>
                </c:pt>
                <c:pt idx="293">
                  <c:v>45918</c:v>
                </c:pt>
                <c:pt idx="294">
                  <c:v>45919</c:v>
                </c:pt>
                <c:pt idx="295">
                  <c:v>45922</c:v>
                </c:pt>
                <c:pt idx="296">
                  <c:v>45923</c:v>
                </c:pt>
                <c:pt idx="297">
                  <c:v>45924</c:v>
                </c:pt>
                <c:pt idx="298">
                  <c:v>45925</c:v>
                </c:pt>
                <c:pt idx="299">
                  <c:v>45926</c:v>
                </c:pt>
                <c:pt idx="300">
                  <c:v>45929</c:v>
                </c:pt>
                <c:pt idx="301">
                  <c:v>45930</c:v>
                </c:pt>
                <c:pt idx="302">
                  <c:v>45931</c:v>
                </c:pt>
                <c:pt idx="303">
                  <c:v>45932</c:v>
                </c:pt>
                <c:pt idx="304">
                  <c:v>45933</c:v>
                </c:pt>
                <c:pt idx="305">
                  <c:v>45936</c:v>
                </c:pt>
                <c:pt idx="306">
                  <c:v>45937</c:v>
                </c:pt>
                <c:pt idx="307">
                  <c:v>45938</c:v>
                </c:pt>
                <c:pt idx="308">
                  <c:v>45939</c:v>
                </c:pt>
                <c:pt idx="309">
                  <c:v>45940</c:v>
                </c:pt>
                <c:pt idx="310">
                  <c:v>45943</c:v>
                </c:pt>
                <c:pt idx="311">
                  <c:v>45944</c:v>
                </c:pt>
                <c:pt idx="312">
                  <c:v>45945</c:v>
                </c:pt>
                <c:pt idx="313">
                  <c:v>45946</c:v>
                </c:pt>
                <c:pt idx="314">
                  <c:v>45947</c:v>
                </c:pt>
                <c:pt idx="315">
                  <c:v>45950</c:v>
                </c:pt>
                <c:pt idx="316">
                  <c:v>45951</c:v>
                </c:pt>
                <c:pt idx="317">
                  <c:v>45952</c:v>
                </c:pt>
                <c:pt idx="318">
                  <c:v>45953</c:v>
                </c:pt>
                <c:pt idx="319">
                  <c:v>45954</c:v>
                </c:pt>
                <c:pt idx="320">
                  <c:v>45957</c:v>
                </c:pt>
                <c:pt idx="321">
                  <c:v>45958</c:v>
                </c:pt>
                <c:pt idx="322">
                  <c:v>45959</c:v>
                </c:pt>
                <c:pt idx="323">
                  <c:v>45960</c:v>
                </c:pt>
                <c:pt idx="324">
                  <c:v>45961</c:v>
                </c:pt>
                <c:pt idx="325">
                  <c:v>45964</c:v>
                </c:pt>
                <c:pt idx="326">
                  <c:v>45965</c:v>
                </c:pt>
                <c:pt idx="327">
                  <c:v>45966</c:v>
                </c:pt>
                <c:pt idx="328">
                  <c:v>45967</c:v>
                </c:pt>
                <c:pt idx="329">
                  <c:v>45968</c:v>
                </c:pt>
                <c:pt idx="330">
                  <c:v>45971</c:v>
                </c:pt>
                <c:pt idx="331">
                  <c:v>45972</c:v>
                </c:pt>
                <c:pt idx="332">
                  <c:v>45973</c:v>
                </c:pt>
                <c:pt idx="333">
                  <c:v>45974</c:v>
                </c:pt>
                <c:pt idx="334">
                  <c:v>45975</c:v>
                </c:pt>
                <c:pt idx="335">
                  <c:v>45978</c:v>
                </c:pt>
                <c:pt idx="336">
                  <c:v>45979</c:v>
                </c:pt>
                <c:pt idx="337">
                  <c:v>45980</c:v>
                </c:pt>
                <c:pt idx="338">
                  <c:v>45982</c:v>
                </c:pt>
                <c:pt idx="339">
                  <c:v>45985</c:v>
                </c:pt>
                <c:pt idx="340">
                  <c:v>45986</c:v>
                </c:pt>
                <c:pt idx="341">
                  <c:v>45987</c:v>
                </c:pt>
                <c:pt idx="342">
                  <c:v>45988</c:v>
                </c:pt>
                <c:pt idx="343">
                  <c:v>45989</c:v>
                </c:pt>
                <c:pt idx="344">
                  <c:v>45992</c:v>
                </c:pt>
                <c:pt idx="345">
                  <c:v>45993</c:v>
                </c:pt>
                <c:pt idx="346">
                  <c:v>45994</c:v>
                </c:pt>
                <c:pt idx="347">
                  <c:v>45995</c:v>
                </c:pt>
                <c:pt idx="348">
                  <c:v>45996</c:v>
                </c:pt>
                <c:pt idx="349">
                  <c:v>45999</c:v>
                </c:pt>
                <c:pt idx="350">
                  <c:v>46000</c:v>
                </c:pt>
                <c:pt idx="351">
                  <c:v>46001</c:v>
                </c:pt>
                <c:pt idx="352">
                  <c:v>46002</c:v>
                </c:pt>
                <c:pt idx="353">
                  <c:v>46003</c:v>
                </c:pt>
                <c:pt idx="354">
                  <c:v>46006</c:v>
                </c:pt>
                <c:pt idx="355">
                  <c:v>46007</c:v>
                </c:pt>
                <c:pt idx="356">
                  <c:v>46008</c:v>
                </c:pt>
                <c:pt idx="357">
                  <c:v>46009</c:v>
                </c:pt>
                <c:pt idx="358">
                  <c:v>46010</c:v>
                </c:pt>
                <c:pt idx="359">
                  <c:v>46013</c:v>
                </c:pt>
                <c:pt idx="360">
                  <c:v>46014</c:v>
                </c:pt>
                <c:pt idx="361">
                  <c:v>46017</c:v>
                </c:pt>
                <c:pt idx="362">
                  <c:v>46020</c:v>
                </c:pt>
                <c:pt idx="363">
                  <c:v>46021</c:v>
                </c:pt>
                <c:pt idx="364">
                  <c:v>46024</c:v>
                </c:pt>
                <c:pt idx="365">
                  <c:v>46027</c:v>
                </c:pt>
                <c:pt idx="366">
                  <c:v>46028</c:v>
                </c:pt>
                <c:pt idx="367">
                  <c:v>46029</c:v>
                </c:pt>
                <c:pt idx="368">
                  <c:v>46030</c:v>
                </c:pt>
                <c:pt idx="369">
                  <c:v>46031</c:v>
                </c:pt>
                <c:pt idx="370">
                  <c:v>46034</c:v>
                </c:pt>
                <c:pt idx="371">
                  <c:v>46035</c:v>
                </c:pt>
                <c:pt idx="372">
                  <c:v>46036</c:v>
                </c:pt>
                <c:pt idx="373">
                  <c:v>46037</c:v>
                </c:pt>
                <c:pt idx="374">
                  <c:v>46038</c:v>
                </c:pt>
                <c:pt idx="375">
                  <c:v>46041</c:v>
                </c:pt>
                <c:pt idx="376">
                  <c:v>46042</c:v>
                </c:pt>
                <c:pt idx="377">
                  <c:v>46043</c:v>
                </c:pt>
                <c:pt idx="378">
                  <c:v>46044</c:v>
                </c:pt>
                <c:pt idx="379">
                  <c:v>46045</c:v>
                </c:pt>
                <c:pt idx="380">
                  <c:v>46048</c:v>
                </c:pt>
                <c:pt idx="381">
                  <c:v>46049</c:v>
                </c:pt>
                <c:pt idx="382">
                  <c:v>46050</c:v>
                </c:pt>
                <c:pt idx="383">
                  <c:v>46051</c:v>
                </c:pt>
                <c:pt idx="384">
                  <c:v>46052</c:v>
                </c:pt>
                <c:pt idx="385">
                  <c:v>46055</c:v>
                </c:pt>
                <c:pt idx="386">
                  <c:v>46056</c:v>
                </c:pt>
                <c:pt idx="387">
                  <c:v>46057</c:v>
                </c:pt>
                <c:pt idx="388">
                  <c:v>46058</c:v>
                </c:pt>
                <c:pt idx="389">
                  <c:v>46059</c:v>
                </c:pt>
                <c:pt idx="390">
                  <c:v>46062</c:v>
                </c:pt>
                <c:pt idx="391">
                  <c:v>46063</c:v>
                </c:pt>
                <c:pt idx="392">
                  <c:v>46064</c:v>
                </c:pt>
                <c:pt idx="393">
                  <c:v>46065</c:v>
                </c:pt>
                <c:pt idx="394">
                  <c:v>46066</c:v>
                </c:pt>
                <c:pt idx="395">
                  <c:v>46071</c:v>
                </c:pt>
                <c:pt idx="396">
                  <c:v>46072</c:v>
                </c:pt>
                <c:pt idx="397">
                  <c:v>46073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46083</c:v>
                </c:pt>
                <c:pt idx="404">
                  <c:v>46084</c:v>
                </c:pt>
                <c:pt idx="405">
                  <c:v>46085</c:v>
                </c:pt>
                <c:pt idx="406">
                  <c:v>46086</c:v>
                </c:pt>
                <c:pt idx="407">
                  <c:v>46087</c:v>
                </c:pt>
                <c:pt idx="408">
                  <c:v>46090</c:v>
                </c:pt>
                <c:pt idx="409">
                  <c:v>46091</c:v>
                </c:pt>
                <c:pt idx="410">
                  <c:v>46092</c:v>
                </c:pt>
                <c:pt idx="411">
                  <c:v>46093</c:v>
                </c:pt>
                <c:pt idx="412">
                  <c:v>46094</c:v>
                </c:pt>
                <c:pt idx="413">
                  <c:v>46097</c:v>
                </c:pt>
                <c:pt idx="414">
                  <c:v>46098</c:v>
                </c:pt>
                <c:pt idx="415">
                  <c:v>46099</c:v>
                </c:pt>
                <c:pt idx="416">
                  <c:v>46100</c:v>
                </c:pt>
                <c:pt idx="417">
                  <c:v>46101</c:v>
                </c:pt>
                <c:pt idx="418">
                  <c:v>46104</c:v>
                </c:pt>
                <c:pt idx="419">
                  <c:v>46105</c:v>
                </c:pt>
                <c:pt idx="420">
                  <c:v>46106</c:v>
                </c:pt>
                <c:pt idx="421">
                  <c:v>46107</c:v>
                </c:pt>
                <c:pt idx="422">
                  <c:v>46108</c:v>
                </c:pt>
                <c:pt idx="423">
                  <c:v>46111</c:v>
                </c:pt>
                <c:pt idx="424">
                  <c:v>46112</c:v>
                </c:pt>
                <c:pt idx="425">
                  <c:v>46113</c:v>
                </c:pt>
                <c:pt idx="426">
                  <c:v>46114</c:v>
                </c:pt>
                <c:pt idx="427">
                  <c:v>46118</c:v>
                </c:pt>
                <c:pt idx="428">
                  <c:v>46119</c:v>
                </c:pt>
                <c:pt idx="429">
                  <c:v>46120</c:v>
                </c:pt>
                <c:pt idx="430">
                  <c:v>46121</c:v>
                </c:pt>
                <c:pt idx="431">
                  <c:v>46122</c:v>
                </c:pt>
                <c:pt idx="432">
                  <c:v>46125</c:v>
                </c:pt>
                <c:pt idx="433">
                  <c:v>46126</c:v>
                </c:pt>
                <c:pt idx="434">
                  <c:v>46127</c:v>
                </c:pt>
                <c:pt idx="435">
                  <c:v>46128</c:v>
                </c:pt>
                <c:pt idx="436">
                  <c:v>46129</c:v>
                </c:pt>
                <c:pt idx="437">
                  <c:v>46132</c:v>
                </c:pt>
                <c:pt idx="438">
                  <c:v>46134</c:v>
                </c:pt>
                <c:pt idx="439">
                  <c:v>46135</c:v>
                </c:pt>
                <c:pt idx="440">
                  <c:v>46136</c:v>
                </c:pt>
                <c:pt idx="441">
                  <c:v>46139</c:v>
                </c:pt>
                <c:pt idx="442">
                  <c:v>46140</c:v>
                </c:pt>
                <c:pt idx="443">
                  <c:v>46141</c:v>
                </c:pt>
                <c:pt idx="444">
                  <c:v>46142</c:v>
                </c:pt>
                <c:pt idx="445">
                  <c:v>46146</c:v>
                </c:pt>
                <c:pt idx="446">
                  <c:v>46147</c:v>
                </c:pt>
                <c:pt idx="447">
                  <c:v>46148</c:v>
                </c:pt>
                <c:pt idx="448">
                  <c:v>46149</c:v>
                </c:pt>
                <c:pt idx="449">
                  <c:v>46150</c:v>
                </c:pt>
                <c:pt idx="450">
                  <c:v>46153</c:v>
                </c:pt>
                <c:pt idx="451">
                  <c:v>46154</c:v>
                </c:pt>
                <c:pt idx="452">
                  <c:v>46155</c:v>
                </c:pt>
                <c:pt idx="453">
                  <c:v>46156</c:v>
                </c:pt>
                <c:pt idx="454">
                  <c:v>46157</c:v>
                </c:pt>
                <c:pt idx="455">
                  <c:v>46160</c:v>
                </c:pt>
                <c:pt idx="456">
                  <c:v>46161</c:v>
                </c:pt>
                <c:pt idx="457">
                  <c:v>46162</c:v>
                </c:pt>
                <c:pt idx="458">
                  <c:v>46163</c:v>
                </c:pt>
                <c:pt idx="459">
                  <c:v>46164</c:v>
                </c:pt>
                <c:pt idx="460">
                  <c:v>46167</c:v>
                </c:pt>
                <c:pt idx="461">
                  <c:v>46168</c:v>
                </c:pt>
                <c:pt idx="462">
                  <c:v>46169</c:v>
                </c:pt>
                <c:pt idx="463">
                  <c:v>46170</c:v>
                </c:pt>
                <c:pt idx="464">
                  <c:v>46171</c:v>
                </c:pt>
                <c:pt idx="465">
                  <c:v>46174</c:v>
                </c:pt>
                <c:pt idx="466">
                  <c:v>46175</c:v>
                </c:pt>
                <c:pt idx="467">
                  <c:v>46176</c:v>
                </c:pt>
                <c:pt idx="468">
                  <c:v>46178</c:v>
                </c:pt>
                <c:pt idx="469">
                  <c:v>46181</c:v>
                </c:pt>
                <c:pt idx="470">
                  <c:v>46182</c:v>
                </c:pt>
                <c:pt idx="471">
                  <c:v>46183</c:v>
                </c:pt>
                <c:pt idx="472">
                  <c:v>46184</c:v>
                </c:pt>
                <c:pt idx="473">
                  <c:v>46185</c:v>
                </c:pt>
                <c:pt idx="474">
                  <c:v>46188</c:v>
                </c:pt>
                <c:pt idx="475">
                  <c:v>46189</c:v>
                </c:pt>
                <c:pt idx="476">
                  <c:v>46190</c:v>
                </c:pt>
                <c:pt idx="477">
                  <c:v>46191</c:v>
                </c:pt>
                <c:pt idx="478">
                  <c:v>46192</c:v>
                </c:pt>
                <c:pt idx="479">
                  <c:v>46195</c:v>
                </c:pt>
                <c:pt idx="480">
                  <c:v>46196</c:v>
                </c:pt>
                <c:pt idx="481">
                  <c:v>46197</c:v>
                </c:pt>
                <c:pt idx="482">
                  <c:v>46198</c:v>
                </c:pt>
                <c:pt idx="483">
                  <c:v>46199</c:v>
                </c:pt>
                <c:pt idx="484">
                  <c:v>46202</c:v>
                </c:pt>
                <c:pt idx="485">
                  <c:v>46203</c:v>
                </c:pt>
                <c:pt idx="486">
                  <c:v>46204</c:v>
                </c:pt>
                <c:pt idx="487">
                  <c:v>46205</c:v>
                </c:pt>
                <c:pt idx="488">
                  <c:v>46206</c:v>
                </c:pt>
                <c:pt idx="489">
                  <c:v>46209</c:v>
                </c:pt>
                <c:pt idx="490">
                  <c:v>46210</c:v>
                </c:pt>
                <c:pt idx="491">
                  <c:v>46211</c:v>
                </c:pt>
                <c:pt idx="492">
                  <c:v>46212</c:v>
                </c:pt>
                <c:pt idx="493">
                  <c:v>46213</c:v>
                </c:pt>
                <c:pt idx="494">
                  <c:v>46216</c:v>
                </c:pt>
                <c:pt idx="495">
                  <c:v>46217</c:v>
                </c:pt>
                <c:pt idx="496">
                  <c:v>46218</c:v>
                </c:pt>
                <c:pt idx="497">
                  <c:v>46219</c:v>
                </c:pt>
                <c:pt idx="498">
                  <c:v>46220</c:v>
                </c:pt>
              </c:numCache>
            </c:numRef>
          </c:cat>
          <c:val>
            <c:numRef>
              <c:f>Análise_Variação!$E$3:$E$501</c:f>
              <c:numCache>
                <c:formatCode>0.00%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-4.6372475691845638E-3</c:v>
                </c:pt>
                <c:pt idx="6">
                  <c:v>-9.7232610321614284E-3</c:v>
                </c:pt>
                <c:pt idx="7">
                  <c:v>-9.8728496634255293E-3</c:v>
                </c:pt>
                <c:pt idx="8">
                  <c:v>-2.6776364996260169E-2</c:v>
                </c:pt>
                <c:pt idx="9">
                  <c:v>-3.3208676140613298E-2</c:v>
                </c:pt>
                <c:pt idx="10">
                  <c:v>-1.7501869857890616E-2</c:v>
                </c:pt>
                <c:pt idx="11">
                  <c:v>0</c:v>
                </c:pt>
                <c:pt idx="12">
                  <c:v>-2.0892404118788323E-3</c:v>
                </c:pt>
                <c:pt idx="13">
                  <c:v>-2.432472765258931E-2</c:v>
                </c:pt>
                <c:pt idx="14">
                  <c:v>-2.7757051186390082E-2</c:v>
                </c:pt>
                <c:pt idx="15">
                  <c:v>-2.8055514102372923E-2</c:v>
                </c:pt>
                <c:pt idx="16">
                  <c:v>-2.5817042232502668E-2</c:v>
                </c:pt>
                <c:pt idx="17">
                  <c:v>-2.1937024324727633E-2</c:v>
                </c:pt>
                <c:pt idx="18">
                  <c:v>-3.0293985972242962E-2</c:v>
                </c:pt>
                <c:pt idx="19">
                  <c:v>-3.4024772422026575E-2</c:v>
                </c:pt>
                <c:pt idx="20">
                  <c:v>-2.522011640053741E-2</c:v>
                </c:pt>
                <c:pt idx="21">
                  <c:v>-3.6710938665870885E-2</c:v>
                </c:pt>
                <c:pt idx="22">
                  <c:v>-2.730935681241603E-2</c:v>
                </c:pt>
                <c:pt idx="23">
                  <c:v>-2.1937024324727633E-2</c:v>
                </c:pt>
                <c:pt idx="24">
                  <c:v>-2.6413968064468142E-2</c:v>
                </c:pt>
                <c:pt idx="25">
                  <c:v>-2.1787792866736426E-2</c:v>
                </c:pt>
                <c:pt idx="26">
                  <c:v>-2.5817042232502668E-2</c:v>
                </c:pt>
                <c:pt idx="27">
                  <c:v>-2.8055514102372923E-2</c:v>
                </c:pt>
                <c:pt idx="28">
                  <c:v>-2.2235487240710474E-2</c:v>
                </c:pt>
                <c:pt idx="29">
                  <c:v>-2.2235487240710474E-2</c:v>
                </c:pt>
                <c:pt idx="30">
                  <c:v>-1.3580062677212517E-2</c:v>
                </c:pt>
                <c:pt idx="31">
                  <c:v>-2.0892404118788323E-3</c:v>
                </c:pt>
                <c:pt idx="32">
                  <c:v>-1.343083121922152E-3</c:v>
                </c:pt>
                <c:pt idx="33">
                  <c:v>0</c:v>
                </c:pt>
                <c:pt idx="34">
                  <c:v>0</c:v>
                </c:pt>
                <c:pt idx="35">
                  <c:v>-9.2051431911162399E-3</c:v>
                </c:pt>
                <c:pt idx="36">
                  <c:v>-2.4839275277615679E-3</c:v>
                </c:pt>
                <c:pt idx="37">
                  <c:v>0</c:v>
                </c:pt>
                <c:pt idx="38">
                  <c:v>-3.2993831588005993E-3</c:v>
                </c:pt>
                <c:pt idx="39">
                  <c:v>-6.8856692009753237E-3</c:v>
                </c:pt>
                <c:pt idx="40">
                  <c:v>-1.1332663893272013E-2</c:v>
                </c:pt>
                <c:pt idx="41">
                  <c:v>0</c:v>
                </c:pt>
                <c:pt idx="42">
                  <c:v>-4.9957179560378038E-3</c:v>
                </c:pt>
                <c:pt idx="43">
                  <c:v>-8.1358835284043307E-3</c:v>
                </c:pt>
                <c:pt idx="44">
                  <c:v>-2.2123893805309693E-2</c:v>
                </c:pt>
                <c:pt idx="45">
                  <c:v>-1.284613188695412E-2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-6.6695047537959256E-3</c:v>
                </c:pt>
                <c:pt idx="50">
                  <c:v>-1.4190435646381603E-4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-1.9452549673475139E-3</c:v>
                </c:pt>
                <c:pt idx="56">
                  <c:v>-2.3482006391552006E-2</c:v>
                </c:pt>
                <c:pt idx="57">
                  <c:v>-3.8071418646658257E-2</c:v>
                </c:pt>
                <c:pt idx="58">
                  <c:v>-2.7094622759483159E-2</c:v>
                </c:pt>
                <c:pt idx="59">
                  <c:v>-2.0147283590384923E-2</c:v>
                </c:pt>
                <c:pt idx="60">
                  <c:v>-1.1949423370848956E-2</c:v>
                </c:pt>
                <c:pt idx="61">
                  <c:v>-1.653466722245377E-2</c:v>
                </c:pt>
                <c:pt idx="62">
                  <c:v>-3.2652494094761626E-2</c:v>
                </c:pt>
                <c:pt idx="63">
                  <c:v>-1.5145199388634201E-2</c:v>
                </c:pt>
                <c:pt idx="64">
                  <c:v>-1.7229401139363554E-2</c:v>
                </c:pt>
                <c:pt idx="65">
                  <c:v>-9.0315409198277845E-3</c:v>
                </c:pt>
                <c:pt idx="66">
                  <c:v>-5.6968181186605061E-3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-3.4680538882220237E-3</c:v>
                </c:pt>
                <c:pt idx="73">
                  <c:v>0</c:v>
                </c:pt>
                <c:pt idx="74">
                  <c:v>-1.321178491214088E-3</c:v>
                </c:pt>
                <c:pt idx="75">
                  <c:v>-4.6241247192494953E-3</c:v>
                </c:pt>
                <c:pt idx="76">
                  <c:v>-2.7744748315496597E-3</c:v>
                </c:pt>
                <c:pt idx="77">
                  <c:v>-4.8883604174924638E-3</c:v>
                </c:pt>
                <c:pt idx="78">
                  <c:v>-1.5061434799841466E-2</c:v>
                </c:pt>
                <c:pt idx="79">
                  <c:v>-1.0437310080591783E-2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-2.2109507088048084E-3</c:v>
                </c:pt>
                <c:pt idx="84">
                  <c:v>-4.1617895695149872E-3</c:v>
                </c:pt>
                <c:pt idx="85">
                  <c:v>-1.768760567043828E-2</c:v>
                </c:pt>
                <c:pt idx="86">
                  <c:v>-2.8222135518272878E-2</c:v>
                </c:pt>
                <c:pt idx="87">
                  <c:v>-3.8106385745870816E-2</c:v>
                </c:pt>
                <c:pt idx="88">
                  <c:v>-4.6039797112758567E-2</c:v>
                </c:pt>
                <c:pt idx="89">
                  <c:v>-4.94212511379893E-2</c:v>
                </c:pt>
                <c:pt idx="90">
                  <c:v>-6.00858369098713E-2</c:v>
                </c:pt>
                <c:pt idx="91">
                  <c:v>-7.0620366757705902E-2</c:v>
                </c:pt>
                <c:pt idx="92">
                  <c:v>-6.7108856808427583E-2</c:v>
                </c:pt>
                <c:pt idx="93">
                  <c:v>-6.9840031213421833E-2</c:v>
                </c:pt>
                <c:pt idx="94">
                  <c:v>-5.5533879568214282E-2</c:v>
                </c:pt>
                <c:pt idx="95">
                  <c:v>-4.3828846403953757E-2</c:v>
                </c:pt>
                <c:pt idx="96">
                  <c:v>-4.7080244505137266E-2</c:v>
                </c:pt>
                <c:pt idx="97">
                  <c:v>-6.2166731694628705E-2</c:v>
                </c:pt>
                <c:pt idx="98">
                  <c:v>-4.6429964884900601E-2</c:v>
                </c:pt>
                <c:pt idx="99">
                  <c:v>-2.5230849265183999E-2</c:v>
                </c:pt>
                <c:pt idx="100">
                  <c:v>-1.3395760176876071E-2</c:v>
                </c:pt>
                <c:pt idx="101">
                  <c:v>-3.9016777214203588E-4</c:v>
                </c:pt>
                <c:pt idx="102">
                  <c:v>0</c:v>
                </c:pt>
                <c:pt idx="103">
                  <c:v>-1.639132679401149E-2</c:v>
                </c:pt>
                <c:pt idx="104">
                  <c:v>-2.568404749612815E-2</c:v>
                </c:pt>
                <c:pt idx="105">
                  <c:v>-3.2008260196179708E-2</c:v>
                </c:pt>
                <c:pt idx="106">
                  <c:v>-2.4135260712441979E-2</c:v>
                </c:pt>
                <c:pt idx="107">
                  <c:v>-2.181208053691272E-2</c:v>
                </c:pt>
                <c:pt idx="108">
                  <c:v>-3.2653588022715556E-2</c:v>
                </c:pt>
                <c:pt idx="109">
                  <c:v>-4.0526587506453285E-2</c:v>
                </c:pt>
                <c:pt idx="110">
                  <c:v>-3.9235931853381596E-2</c:v>
                </c:pt>
                <c:pt idx="111">
                  <c:v>-4.2462570986060995E-2</c:v>
                </c:pt>
                <c:pt idx="112">
                  <c:v>-4.2333505420753759E-2</c:v>
                </c:pt>
                <c:pt idx="113">
                  <c:v>-3.6009292720702198E-2</c:v>
                </c:pt>
                <c:pt idx="114">
                  <c:v>-4.1688177594217911E-2</c:v>
                </c:pt>
                <c:pt idx="115">
                  <c:v>-4.8399586990191014E-2</c:v>
                </c:pt>
                <c:pt idx="116">
                  <c:v>-3.2653588022715556E-2</c:v>
                </c:pt>
                <c:pt idx="117">
                  <c:v>-3.7299948373773879E-2</c:v>
                </c:pt>
                <c:pt idx="118">
                  <c:v>-3.1879194630872465E-2</c:v>
                </c:pt>
                <c:pt idx="119">
                  <c:v>-2.284460505937029E-2</c:v>
                </c:pt>
                <c:pt idx="120">
                  <c:v>-7.4858027878161879E-3</c:v>
                </c:pt>
                <c:pt idx="121">
                  <c:v>0</c:v>
                </c:pt>
                <c:pt idx="122">
                  <c:v>-9.3860984271944333E-3</c:v>
                </c:pt>
                <c:pt idx="123">
                  <c:v>-2.3972602739726033E-2</c:v>
                </c:pt>
                <c:pt idx="124">
                  <c:v>-4.6676813800101559E-2</c:v>
                </c:pt>
                <c:pt idx="125">
                  <c:v>-4.0208016235413514E-2</c:v>
                </c:pt>
                <c:pt idx="126">
                  <c:v>-2.181633688483002E-2</c:v>
                </c:pt>
                <c:pt idx="127">
                  <c:v>-3.0695078640284139E-2</c:v>
                </c:pt>
                <c:pt idx="128">
                  <c:v>-4.7564687975646877E-2</c:v>
                </c:pt>
                <c:pt idx="129">
                  <c:v>-4.3632673769660041E-2</c:v>
                </c:pt>
                <c:pt idx="130">
                  <c:v>-5.9614408929477454E-2</c:v>
                </c:pt>
                <c:pt idx="131">
                  <c:v>-6.0882800608827968E-2</c:v>
                </c:pt>
                <c:pt idx="132">
                  <c:v>-6.3419583967529169E-2</c:v>
                </c:pt>
                <c:pt idx="133">
                  <c:v>-5.2511415525114159E-2</c:v>
                </c:pt>
                <c:pt idx="134">
                  <c:v>-4.8579401319127323E-2</c:v>
                </c:pt>
                <c:pt idx="135">
                  <c:v>-5.5301877219685429E-2</c:v>
                </c:pt>
                <c:pt idx="136">
                  <c:v>-5.3526128868594605E-2</c:v>
                </c:pt>
                <c:pt idx="137">
                  <c:v>-4.0461694571283582E-2</c:v>
                </c:pt>
                <c:pt idx="138">
                  <c:v>-2.5114155251141603E-2</c:v>
                </c:pt>
                <c:pt idx="139">
                  <c:v>-2.3084728564180711E-2</c:v>
                </c:pt>
                <c:pt idx="140">
                  <c:v>-2.2704211060375522E-2</c:v>
                </c:pt>
                <c:pt idx="141">
                  <c:v>-9.5129375951293754E-3</c:v>
                </c:pt>
                <c:pt idx="142">
                  <c:v>-2.0167427701674321E-2</c:v>
                </c:pt>
                <c:pt idx="143">
                  <c:v>-1.7630644342973116E-2</c:v>
                </c:pt>
                <c:pt idx="144">
                  <c:v>-1.7757483510908239E-3</c:v>
                </c:pt>
                <c:pt idx="145">
                  <c:v>0</c:v>
                </c:pt>
                <c:pt idx="146">
                  <c:v>-3.3923859781380857E-3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-1.6555502620295388E-2</c:v>
                </c:pt>
                <c:pt idx="152">
                  <c:v>-2.9776083849452121E-3</c:v>
                </c:pt>
                <c:pt idx="153">
                  <c:v>0</c:v>
                </c:pt>
                <c:pt idx="154">
                  <c:v>0</c:v>
                </c:pt>
                <c:pt idx="155">
                  <c:v>-1.1684973124561149E-3</c:v>
                </c:pt>
                <c:pt idx="156">
                  <c:v>-4.4402897873334363E-3</c:v>
                </c:pt>
                <c:pt idx="157">
                  <c:v>-8.1794811871924731E-4</c:v>
                </c:pt>
                <c:pt idx="158">
                  <c:v>-7.9457817247019467E-3</c:v>
                </c:pt>
                <c:pt idx="159">
                  <c:v>0</c:v>
                </c:pt>
                <c:pt idx="160">
                  <c:v>-3.4594095940959084E-3</c:v>
                </c:pt>
                <c:pt idx="161">
                  <c:v>-6.2269372693726024E-3</c:v>
                </c:pt>
                <c:pt idx="162">
                  <c:v>-3.8053505535055156E-3</c:v>
                </c:pt>
                <c:pt idx="163">
                  <c:v>-2.0756457564574792E-3</c:v>
                </c:pt>
                <c:pt idx="164">
                  <c:v>0</c:v>
                </c:pt>
                <c:pt idx="165">
                  <c:v>0</c:v>
                </c:pt>
                <c:pt idx="166">
                  <c:v>-1.3867656693601179E-2</c:v>
                </c:pt>
                <c:pt idx="167">
                  <c:v>-4.8700589648394778E-2</c:v>
                </c:pt>
                <c:pt idx="168">
                  <c:v>-5.7108538982310594E-2</c:v>
                </c:pt>
                <c:pt idx="169">
                  <c:v>-5.9292421926184675E-2</c:v>
                </c:pt>
                <c:pt idx="170">
                  <c:v>-8.0039309892989713E-2</c:v>
                </c:pt>
                <c:pt idx="171">
                  <c:v>-8.7573706049355715E-2</c:v>
                </c:pt>
                <c:pt idx="172">
                  <c:v>-8.462546407512557E-2</c:v>
                </c:pt>
                <c:pt idx="173">
                  <c:v>-8.6263376283031143E-2</c:v>
                </c:pt>
                <c:pt idx="174">
                  <c:v>-8.047608648176463E-2</c:v>
                </c:pt>
                <c:pt idx="175">
                  <c:v>-6.9556671762393593E-2</c:v>
                </c:pt>
                <c:pt idx="176">
                  <c:v>-8.5171434811094099E-2</c:v>
                </c:pt>
                <c:pt idx="177">
                  <c:v>-9.3033413409041227E-2</c:v>
                </c:pt>
                <c:pt idx="178">
                  <c:v>-9.5654072941690385E-2</c:v>
                </c:pt>
                <c:pt idx="179">
                  <c:v>-7.1194583970299152E-2</c:v>
                </c:pt>
                <c:pt idx="180">
                  <c:v>-5.0666084297881643E-2</c:v>
                </c:pt>
                <c:pt idx="181">
                  <c:v>-5.7763703865472728E-2</c:v>
                </c:pt>
                <c:pt idx="182">
                  <c:v>-4.6079930115745786E-2</c:v>
                </c:pt>
                <c:pt idx="183">
                  <c:v>-6.082113998689663E-2</c:v>
                </c:pt>
                <c:pt idx="184">
                  <c:v>-6.6280847346582156E-2</c:v>
                </c:pt>
                <c:pt idx="185">
                  <c:v>-7.3160078619786018E-2</c:v>
                </c:pt>
                <c:pt idx="186">
                  <c:v>-8.8884035815680287E-2</c:v>
                </c:pt>
                <c:pt idx="187">
                  <c:v>-9.1504695348329279E-2</c:v>
                </c:pt>
                <c:pt idx="188">
                  <c:v>-8.2878357720026247E-2</c:v>
                </c:pt>
                <c:pt idx="189">
                  <c:v>-9.4452937322559424E-2</c:v>
                </c:pt>
                <c:pt idx="190">
                  <c:v>-8.7573706049355715E-2</c:v>
                </c:pt>
                <c:pt idx="191">
                  <c:v>-8.6481764577418671E-2</c:v>
                </c:pt>
                <c:pt idx="192">
                  <c:v>-0.10526315789473685</c:v>
                </c:pt>
                <c:pt idx="193">
                  <c:v>-9.5654072941690385E-2</c:v>
                </c:pt>
                <c:pt idx="194">
                  <c:v>-0.10034942127101985</c:v>
                </c:pt>
                <c:pt idx="195">
                  <c:v>-9.2378248525878948E-2</c:v>
                </c:pt>
                <c:pt idx="196">
                  <c:v>-0.10875737060493551</c:v>
                </c:pt>
                <c:pt idx="197">
                  <c:v>-0.11345271893426513</c:v>
                </c:pt>
                <c:pt idx="198">
                  <c:v>-0.11672854335007642</c:v>
                </c:pt>
                <c:pt idx="199">
                  <c:v>-0.12175147412098702</c:v>
                </c:pt>
                <c:pt idx="200">
                  <c:v>-0.12863070539419089</c:v>
                </c:pt>
                <c:pt idx="201">
                  <c:v>-0.1385673727888185</c:v>
                </c:pt>
                <c:pt idx="202">
                  <c:v>-0.14763048700589645</c:v>
                </c:pt>
                <c:pt idx="203">
                  <c:v>-0.13572832496178197</c:v>
                </c:pt>
                <c:pt idx="204">
                  <c:v>-0.13987770255514306</c:v>
                </c:pt>
                <c:pt idx="205">
                  <c:v>-0.14511902162044105</c:v>
                </c:pt>
                <c:pt idx="206">
                  <c:v>-0.15461891242629391</c:v>
                </c:pt>
                <c:pt idx="207">
                  <c:v>-0.14118803232146748</c:v>
                </c:pt>
                <c:pt idx="208">
                  <c:v>-0.1143262721118148</c:v>
                </c:pt>
                <c:pt idx="209">
                  <c:v>-0.13845817864162474</c:v>
                </c:pt>
                <c:pt idx="210">
                  <c:v>-0.14107883817427389</c:v>
                </c:pt>
                <c:pt idx="211">
                  <c:v>-0.13223411225158332</c:v>
                </c:pt>
                <c:pt idx="212">
                  <c:v>-0.1181480672635946</c:v>
                </c:pt>
                <c:pt idx="213">
                  <c:v>-0.13758462546407507</c:v>
                </c:pt>
                <c:pt idx="214">
                  <c:v>-0.14883162262502725</c:v>
                </c:pt>
                <c:pt idx="215">
                  <c:v>-0.13987770255514306</c:v>
                </c:pt>
                <c:pt idx="216">
                  <c:v>-0.14588338065079712</c:v>
                </c:pt>
                <c:pt idx="217">
                  <c:v>-0.13441799519545755</c:v>
                </c:pt>
                <c:pt idx="218">
                  <c:v>-0.12568246341996075</c:v>
                </c:pt>
                <c:pt idx="219">
                  <c:v>-0.12655601659751042</c:v>
                </c:pt>
                <c:pt idx="220">
                  <c:v>-0.12469971609521732</c:v>
                </c:pt>
                <c:pt idx="221">
                  <c:v>-0.13136055907403366</c:v>
                </c:pt>
                <c:pt idx="222">
                  <c:v>-0.12655601659751042</c:v>
                </c:pt>
                <c:pt idx="223">
                  <c:v>-0.13660187813933178</c:v>
                </c:pt>
                <c:pt idx="224">
                  <c:v>-0.14741209871150907</c:v>
                </c:pt>
                <c:pt idx="225">
                  <c:v>-0.14391788600131025</c:v>
                </c:pt>
                <c:pt idx="226">
                  <c:v>-0.15352697095435688</c:v>
                </c:pt>
                <c:pt idx="227">
                  <c:v>-0.14642935138676563</c:v>
                </c:pt>
                <c:pt idx="228">
                  <c:v>-0.14981436994977068</c:v>
                </c:pt>
                <c:pt idx="229">
                  <c:v>-0.15123389386328887</c:v>
                </c:pt>
                <c:pt idx="230">
                  <c:v>-0.14828565188905873</c:v>
                </c:pt>
                <c:pt idx="231">
                  <c:v>-0.13987770255514306</c:v>
                </c:pt>
                <c:pt idx="232">
                  <c:v>-0.15887748416684863</c:v>
                </c:pt>
                <c:pt idx="233">
                  <c:v>-0.1684865691198951</c:v>
                </c:pt>
                <c:pt idx="234">
                  <c:v>-0.16870495741428262</c:v>
                </c:pt>
                <c:pt idx="235">
                  <c:v>-0.1721991701244813</c:v>
                </c:pt>
                <c:pt idx="236">
                  <c:v>-0.17744048918977942</c:v>
                </c:pt>
                <c:pt idx="237">
                  <c:v>-0.17438305306835553</c:v>
                </c:pt>
                <c:pt idx="238">
                  <c:v>-0.16313605590740335</c:v>
                </c:pt>
                <c:pt idx="239">
                  <c:v>-0.17088884035815671</c:v>
                </c:pt>
                <c:pt idx="240">
                  <c:v>-0.17176239353570652</c:v>
                </c:pt>
                <c:pt idx="241">
                  <c:v>-0.1665210744704084</c:v>
                </c:pt>
                <c:pt idx="242">
                  <c:v>-0.14795806944747758</c:v>
                </c:pt>
                <c:pt idx="243">
                  <c:v>-0.16117056125791662</c:v>
                </c:pt>
                <c:pt idx="244">
                  <c:v>-0.14642935138676563</c:v>
                </c:pt>
                <c:pt idx="245">
                  <c:v>-0.14391788600131025</c:v>
                </c:pt>
                <c:pt idx="246">
                  <c:v>-0.15309019436558197</c:v>
                </c:pt>
                <c:pt idx="247">
                  <c:v>-0.14337191526534174</c:v>
                </c:pt>
                <c:pt idx="248">
                  <c:v>-0.13703865472810656</c:v>
                </c:pt>
                <c:pt idx="249">
                  <c:v>-0.12568246341996075</c:v>
                </c:pt>
                <c:pt idx="250">
                  <c:v>-0.13081458833806511</c:v>
                </c:pt>
                <c:pt idx="251">
                  <c:v>-0.12775715221664122</c:v>
                </c:pt>
                <c:pt idx="252">
                  <c:v>-0.13015942345490283</c:v>
                </c:pt>
                <c:pt idx="253">
                  <c:v>-0.12240663900414932</c:v>
                </c:pt>
                <c:pt idx="254">
                  <c:v>-0.1230618038873116</c:v>
                </c:pt>
                <c:pt idx="255">
                  <c:v>-0.13157894736842102</c:v>
                </c:pt>
                <c:pt idx="256">
                  <c:v>-0.12972264686612792</c:v>
                </c:pt>
                <c:pt idx="257">
                  <c:v>-0.1075562349858047</c:v>
                </c:pt>
                <c:pt idx="258">
                  <c:v>-0.10853898231054813</c:v>
                </c:pt>
                <c:pt idx="259">
                  <c:v>-0.10559074033631799</c:v>
                </c:pt>
                <c:pt idx="260">
                  <c:v>-0.11039528281284122</c:v>
                </c:pt>
                <c:pt idx="261">
                  <c:v>-0.12207905656256816</c:v>
                </c:pt>
                <c:pt idx="262">
                  <c:v>-0.12502729853679845</c:v>
                </c:pt>
                <c:pt idx="263">
                  <c:v>-0.12131469753221227</c:v>
                </c:pt>
                <c:pt idx="264">
                  <c:v>-0.1291766761301594</c:v>
                </c:pt>
                <c:pt idx="265">
                  <c:v>-0.12775715221664122</c:v>
                </c:pt>
                <c:pt idx="266">
                  <c:v>-0.13507316007861983</c:v>
                </c:pt>
                <c:pt idx="267">
                  <c:v>-0.13387202445948904</c:v>
                </c:pt>
                <c:pt idx="268">
                  <c:v>-0.1379122079056562</c:v>
                </c:pt>
                <c:pt idx="269">
                  <c:v>-0.13430880104826379</c:v>
                </c:pt>
                <c:pt idx="270">
                  <c:v>-0.11967678532430655</c:v>
                </c:pt>
                <c:pt idx="271">
                  <c:v>-0.11552740773094561</c:v>
                </c:pt>
                <c:pt idx="272">
                  <c:v>-0.1284123170998035</c:v>
                </c:pt>
                <c:pt idx="273">
                  <c:v>-0.11399868967023365</c:v>
                </c:pt>
                <c:pt idx="274">
                  <c:v>-0.11705612579165756</c:v>
                </c:pt>
                <c:pt idx="275">
                  <c:v>-0.11716531993885132</c:v>
                </c:pt>
                <c:pt idx="276">
                  <c:v>-0.11672854335007642</c:v>
                </c:pt>
                <c:pt idx="277">
                  <c:v>-0.12207905656256816</c:v>
                </c:pt>
                <c:pt idx="278">
                  <c:v>-0.13048700589648399</c:v>
                </c:pt>
                <c:pt idx="279">
                  <c:v>-0.12568246341996075</c:v>
                </c:pt>
                <c:pt idx="280">
                  <c:v>-0.13212491810438953</c:v>
                </c:pt>
                <c:pt idx="281">
                  <c:v>-0.13190652981000217</c:v>
                </c:pt>
                <c:pt idx="282">
                  <c:v>-0.1284123170998035</c:v>
                </c:pt>
                <c:pt idx="283">
                  <c:v>-0.12710198733347894</c:v>
                </c:pt>
                <c:pt idx="284">
                  <c:v>-0.13452718934265115</c:v>
                </c:pt>
                <c:pt idx="285">
                  <c:v>-0.13245250054597069</c:v>
                </c:pt>
                <c:pt idx="286">
                  <c:v>-0.13267088884035808</c:v>
                </c:pt>
                <c:pt idx="287">
                  <c:v>-0.1348547717842323</c:v>
                </c:pt>
                <c:pt idx="288">
                  <c:v>-0.1367110722865254</c:v>
                </c:pt>
                <c:pt idx="289">
                  <c:v>-0.1329984712819392</c:v>
                </c:pt>
                <c:pt idx="290">
                  <c:v>-0.14369949770692286</c:v>
                </c:pt>
                <c:pt idx="291">
                  <c:v>-0.14227997379340468</c:v>
                </c:pt>
                <c:pt idx="292">
                  <c:v>-0.14511902162044105</c:v>
                </c:pt>
                <c:pt idx="293">
                  <c:v>-0.14511902162044105</c:v>
                </c:pt>
                <c:pt idx="294">
                  <c:v>-0.14380869185411663</c:v>
                </c:pt>
                <c:pt idx="295">
                  <c:v>-0.15385455339593801</c:v>
                </c:pt>
                <c:pt idx="296">
                  <c:v>-0.1559292421926185</c:v>
                </c:pt>
                <c:pt idx="297">
                  <c:v>-0.15876829001965487</c:v>
                </c:pt>
                <c:pt idx="298">
                  <c:v>-0.15516488316226243</c:v>
                </c:pt>
                <c:pt idx="299">
                  <c:v>-0.15844070757807388</c:v>
                </c:pt>
                <c:pt idx="300">
                  <c:v>-0.15964184319720467</c:v>
                </c:pt>
                <c:pt idx="301">
                  <c:v>-0.17012448132780081</c:v>
                </c:pt>
                <c:pt idx="302">
                  <c:v>-0.16663026861760216</c:v>
                </c:pt>
                <c:pt idx="303">
                  <c:v>-0.16510155055689021</c:v>
                </c:pt>
                <c:pt idx="304">
                  <c:v>-0.16106136711072286</c:v>
                </c:pt>
                <c:pt idx="305">
                  <c:v>-0.15614763048700586</c:v>
                </c:pt>
                <c:pt idx="306">
                  <c:v>-0.15658440707578078</c:v>
                </c:pt>
                <c:pt idx="307">
                  <c:v>-0.15341777680716312</c:v>
                </c:pt>
                <c:pt idx="308">
                  <c:v>-0.14490063332605368</c:v>
                </c:pt>
                <c:pt idx="309">
                  <c:v>-0.13714784887530032</c:v>
                </c:pt>
                <c:pt idx="310">
                  <c:v>-0.14577418650360335</c:v>
                </c:pt>
                <c:pt idx="311">
                  <c:v>-0.13747543131688145</c:v>
                </c:pt>
                <c:pt idx="312">
                  <c:v>-0.14129722646866125</c:v>
                </c:pt>
                <c:pt idx="313">
                  <c:v>-0.13660187813933178</c:v>
                </c:pt>
                <c:pt idx="314">
                  <c:v>-0.12961345271893432</c:v>
                </c:pt>
                <c:pt idx="315">
                  <c:v>-0.12295260974011799</c:v>
                </c:pt>
                <c:pt idx="316">
                  <c:v>-0.12939506442454679</c:v>
                </c:pt>
                <c:pt idx="317">
                  <c:v>-0.12808473465822237</c:v>
                </c:pt>
                <c:pt idx="318">
                  <c:v>-0.14577418650360335</c:v>
                </c:pt>
                <c:pt idx="319">
                  <c:v>-0.14577418650360335</c:v>
                </c:pt>
                <c:pt idx="320">
                  <c:v>-0.13682026643371917</c:v>
                </c:pt>
                <c:pt idx="321">
                  <c:v>-0.14140642061585501</c:v>
                </c:pt>
                <c:pt idx="322">
                  <c:v>-0.12961345271893432</c:v>
                </c:pt>
                <c:pt idx="323">
                  <c:v>-0.13987770255514306</c:v>
                </c:pt>
                <c:pt idx="324">
                  <c:v>-0.13507316007861983</c:v>
                </c:pt>
                <c:pt idx="325">
                  <c:v>-0.13037781174929022</c:v>
                </c:pt>
                <c:pt idx="326">
                  <c:v>-0.13398121860668263</c:v>
                </c:pt>
                <c:pt idx="327">
                  <c:v>-0.12994103516051531</c:v>
                </c:pt>
                <c:pt idx="328">
                  <c:v>-0.1329984712819392</c:v>
                </c:pt>
                <c:pt idx="329">
                  <c:v>-0.13911334352478702</c:v>
                </c:pt>
                <c:pt idx="330">
                  <c:v>-0.13813059620004359</c:v>
                </c:pt>
                <c:pt idx="331">
                  <c:v>-0.13845817864162474</c:v>
                </c:pt>
                <c:pt idx="332">
                  <c:v>-0.1348547717842323</c:v>
                </c:pt>
                <c:pt idx="333">
                  <c:v>-0.13179733566280841</c:v>
                </c:pt>
                <c:pt idx="334">
                  <c:v>-0.13234330639877709</c:v>
                </c:pt>
                <c:pt idx="335">
                  <c:v>-0.12601004586154174</c:v>
                </c:pt>
                <c:pt idx="336">
                  <c:v>-0.12808473465822237</c:v>
                </c:pt>
                <c:pt idx="337">
                  <c:v>-0.1329984712819392</c:v>
                </c:pt>
                <c:pt idx="338">
                  <c:v>-0.12928587027735317</c:v>
                </c:pt>
                <c:pt idx="339">
                  <c:v>-0.1291766761301594</c:v>
                </c:pt>
                <c:pt idx="340">
                  <c:v>-0.1200043677658877</c:v>
                </c:pt>
                <c:pt idx="341">
                  <c:v>-0.10395282812841228</c:v>
                </c:pt>
                <c:pt idx="342">
                  <c:v>-0.10133216859576329</c:v>
                </c:pt>
                <c:pt idx="343">
                  <c:v>-0.10471718715876834</c:v>
                </c:pt>
                <c:pt idx="344">
                  <c:v>-9.2378248525878948E-2</c:v>
                </c:pt>
                <c:pt idx="345">
                  <c:v>-7.0648613234330623E-2</c:v>
                </c:pt>
                <c:pt idx="346">
                  <c:v>-8.2878357720026247E-2</c:v>
                </c:pt>
                <c:pt idx="347">
                  <c:v>-9.0740336317973389E-2</c:v>
                </c:pt>
                <c:pt idx="348">
                  <c:v>-9.4452937322559424E-2</c:v>
                </c:pt>
                <c:pt idx="349">
                  <c:v>-8.8993229962873899E-2</c:v>
                </c:pt>
                <c:pt idx="350">
                  <c:v>-8.811967678532423E-2</c:v>
                </c:pt>
                <c:pt idx="351">
                  <c:v>-0.10853898231054813</c:v>
                </c:pt>
                <c:pt idx="352">
                  <c:v>-0.11585499017252675</c:v>
                </c:pt>
                <c:pt idx="353">
                  <c:v>-0.11956759117711294</c:v>
                </c:pt>
                <c:pt idx="354">
                  <c:v>-0.12568246341996075</c:v>
                </c:pt>
                <c:pt idx="355">
                  <c:v>-0.12142389167940604</c:v>
                </c:pt>
                <c:pt idx="356">
                  <c:v>-0.12076872679624374</c:v>
                </c:pt>
                <c:pt idx="357">
                  <c:v>-0.12972264686612792</c:v>
                </c:pt>
                <c:pt idx="358">
                  <c:v>-0.13234330639877709</c:v>
                </c:pt>
                <c:pt idx="359">
                  <c:v>-0.13179733566280841</c:v>
                </c:pt>
                <c:pt idx="360">
                  <c:v>-0.13387202445948904</c:v>
                </c:pt>
                <c:pt idx="361">
                  <c:v>-0.14293513867656699</c:v>
                </c:pt>
                <c:pt idx="362">
                  <c:v>-0.14107883817427389</c:v>
                </c:pt>
                <c:pt idx="363">
                  <c:v>-0.14107883817427389</c:v>
                </c:pt>
                <c:pt idx="364">
                  <c:v>-0.14457305088447253</c:v>
                </c:pt>
                <c:pt idx="365">
                  <c:v>-0.14894081677222101</c:v>
                </c:pt>
                <c:pt idx="366">
                  <c:v>-0.15046953483293296</c:v>
                </c:pt>
                <c:pt idx="367">
                  <c:v>-0.16007861978597943</c:v>
                </c:pt>
                <c:pt idx="368">
                  <c:v>-0.1646647739681153</c:v>
                </c:pt>
                <c:pt idx="369">
                  <c:v>-0.16215330858265992</c:v>
                </c:pt>
                <c:pt idx="370">
                  <c:v>-0.17001528718060704</c:v>
                </c:pt>
                <c:pt idx="371">
                  <c:v>-0.17471063550993668</c:v>
                </c:pt>
                <c:pt idx="372">
                  <c:v>-0.17492902380432404</c:v>
                </c:pt>
                <c:pt idx="373">
                  <c:v>-0.18082550775278447</c:v>
                </c:pt>
                <c:pt idx="374">
                  <c:v>-0.18148067263594678</c:v>
                </c:pt>
                <c:pt idx="375">
                  <c:v>-0.18268180825507757</c:v>
                </c:pt>
                <c:pt idx="376">
                  <c:v>-0.18508407949333919</c:v>
                </c:pt>
                <c:pt idx="377">
                  <c:v>-0.19818737715658433</c:v>
                </c:pt>
                <c:pt idx="378">
                  <c:v>-0.20397466695785099</c:v>
                </c:pt>
                <c:pt idx="379">
                  <c:v>-0.2086700152871806</c:v>
                </c:pt>
                <c:pt idx="380">
                  <c:v>-0.20692290893208126</c:v>
                </c:pt>
                <c:pt idx="381">
                  <c:v>-0.20757807381524357</c:v>
                </c:pt>
                <c:pt idx="382">
                  <c:v>-0.21882507097619558</c:v>
                </c:pt>
                <c:pt idx="383">
                  <c:v>-0.21271019873334793</c:v>
                </c:pt>
                <c:pt idx="384">
                  <c:v>-0.20495741428259442</c:v>
                </c:pt>
                <c:pt idx="385">
                  <c:v>-0.20353789036907624</c:v>
                </c:pt>
                <c:pt idx="386">
                  <c:v>-0.19305525223847994</c:v>
                </c:pt>
                <c:pt idx="387">
                  <c:v>-0.19775060056780958</c:v>
                </c:pt>
                <c:pt idx="388">
                  <c:v>-0.19414719371041714</c:v>
                </c:pt>
                <c:pt idx="389">
                  <c:v>-0.20703210307927489</c:v>
                </c:pt>
                <c:pt idx="390">
                  <c:v>-0.20856082113998684</c:v>
                </c:pt>
                <c:pt idx="391">
                  <c:v>-0.19644027080148499</c:v>
                </c:pt>
                <c:pt idx="392">
                  <c:v>-0.19567591177112909</c:v>
                </c:pt>
                <c:pt idx="393">
                  <c:v>-0.18672199170124476</c:v>
                </c:pt>
                <c:pt idx="394">
                  <c:v>-0.18257261410788381</c:v>
                </c:pt>
                <c:pt idx="395">
                  <c:v>-0.18442891461017691</c:v>
                </c:pt>
                <c:pt idx="396">
                  <c:v>-0.18049792531120334</c:v>
                </c:pt>
                <c:pt idx="397">
                  <c:v>-0.17230836427167506</c:v>
                </c:pt>
                <c:pt idx="398">
                  <c:v>-0.18017034286962219</c:v>
                </c:pt>
                <c:pt idx="399">
                  <c:v>-0.18726796243721328</c:v>
                </c:pt>
                <c:pt idx="400">
                  <c:v>-0.18912426293950638</c:v>
                </c:pt>
                <c:pt idx="401">
                  <c:v>-0.17864162480891024</c:v>
                </c:pt>
                <c:pt idx="402">
                  <c:v>-0.16903253985586378</c:v>
                </c:pt>
                <c:pt idx="403">
                  <c:v>-0.17405547062677437</c:v>
                </c:pt>
                <c:pt idx="404">
                  <c:v>-0.16663026861760216</c:v>
                </c:pt>
                <c:pt idx="405">
                  <c:v>-0.17623935357064863</c:v>
                </c:pt>
                <c:pt idx="406">
                  <c:v>-0.17285433500764358</c:v>
                </c:pt>
                <c:pt idx="407">
                  <c:v>-0.1548373007206813</c:v>
                </c:pt>
                <c:pt idx="408">
                  <c:v>-0.14271675038217943</c:v>
                </c:pt>
                <c:pt idx="409">
                  <c:v>-0.1502511465385456</c:v>
                </c:pt>
                <c:pt idx="410">
                  <c:v>-0.14369949770692286</c:v>
                </c:pt>
                <c:pt idx="411">
                  <c:v>-0.15068792312732035</c:v>
                </c:pt>
                <c:pt idx="412">
                  <c:v>-0.14959598165538329</c:v>
                </c:pt>
                <c:pt idx="413">
                  <c:v>-0.18257261410788381</c:v>
                </c:pt>
                <c:pt idx="414">
                  <c:v>-0.18530246778772658</c:v>
                </c:pt>
                <c:pt idx="415">
                  <c:v>-0.18115309019436562</c:v>
                </c:pt>
                <c:pt idx="416">
                  <c:v>-0.18672199170124476</c:v>
                </c:pt>
                <c:pt idx="417">
                  <c:v>-0.18694037999563229</c:v>
                </c:pt>
                <c:pt idx="418">
                  <c:v>-0.18672199170124476</c:v>
                </c:pt>
                <c:pt idx="419">
                  <c:v>-0.18781393317318196</c:v>
                </c:pt>
                <c:pt idx="420">
                  <c:v>-0.18628521511247001</c:v>
                </c:pt>
                <c:pt idx="421">
                  <c:v>-0.18628521511247001</c:v>
                </c:pt>
                <c:pt idx="422">
                  <c:v>-0.18486569119895166</c:v>
                </c:pt>
                <c:pt idx="423">
                  <c:v>-0.16761301594234543</c:v>
                </c:pt>
                <c:pt idx="424">
                  <c:v>-0.17667613015942338</c:v>
                </c:pt>
                <c:pt idx="425">
                  <c:v>-0.19447477615199829</c:v>
                </c:pt>
                <c:pt idx="426">
                  <c:v>-0.18999781611705605</c:v>
                </c:pt>
                <c:pt idx="427">
                  <c:v>-0.19796898886219694</c:v>
                </c:pt>
                <c:pt idx="428">
                  <c:v>-0.20877920943437436</c:v>
                </c:pt>
                <c:pt idx="429">
                  <c:v>-0.2192618475649705</c:v>
                </c:pt>
                <c:pt idx="430">
                  <c:v>-0.2248307490718498</c:v>
                </c:pt>
                <c:pt idx="431">
                  <c:v>-0.22898012666521073</c:v>
                </c:pt>
                <c:pt idx="432">
                  <c:v>-0.23618694037999557</c:v>
                </c:pt>
                <c:pt idx="433">
                  <c:v>-0.23989954138458178</c:v>
                </c:pt>
                <c:pt idx="434">
                  <c:v>-0.25180170342869623</c:v>
                </c:pt>
                <c:pt idx="435">
                  <c:v>-0.2557326927276698</c:v>
                </c:pt>
                <c:pt idx="436">
                  <c:v>-0.25791657567154408</c:v>
                </c:pt>
                <c:pt idx="437">
                  <c:v>-0.23706049355754524</c:v>
                </c:pt>
                <c:pt idx="438">
                  <c:v>-0.22046298318410132</c:v>
                </c:pt>
                <c:pt idx="439">
                  <c:v>-0.22253767198078178</c:v>
                </c:pt>
                <c:pt idx="440">
                  <c:v>-0.22035378903690755</c:v>
                </c:pt>
                <c:pt idx="441">
                  <c:v>-0.2135837519108976</c:v>
                </c:pt>
                <c:pt idx="442">
                  <c:v>-0.21445730508844726</c:v>
                </c:pt>
                <c:pt idx="443">
                  <c:v>-0.21325616946931647</c:v>
                </c:pt>
                <c:pt idx="444">
                  <c:v>-0.21816990609303347</c:v>
                </c:pt>
                <c:pt idx="445">
                  <c:v>-0.22253767198078178</c:v>
                </c:pt>
                <c:pt idx="446">
                  <c:v>-0.23291111596418432</c:v>
                </c:pt>
                <c:pt idx="447">
                  <c:v>-0.24273858921161831</c:v>
                </c:pt>
                <c:pt idx="448">
                  <c:v>-0.24120987115090636</c:v>
                </c:pt>
                <c:pt idx="449">
                  <c:v>-0.23869840576545098</c:v>
                </c:pt>
                <c:pt idx="450">
                  <c:v>-0.23389386328892775</c:v>
                </c:pt>
                <c:pt idx="451">
                  <c:v>-0.22908932081240449</c:v>
                </c:pt>
                <c:pt idx="452">
                  <c:v>-0.23454902817209003</c:v>
                </c:pt>
                <c:pt idx="453">
                  <c:v>-0.23782485258790131</c:v>
                </c:pt>
                <c:pt idx="454">
                  <c:v>-0.23968115309019439</c:v>
                </c:pt>
                <c:pt idx="455">
                  <c:v>-0.23716968770473901</c:v>
                </c:pt>
                <c:pt idx="456">
                  <c:v>-0.23782485258790131</c:v>
                </c:pt>
                <c:pt idx="457">
                  <c:v>-0.23749727014632016</c:v>
                </c:pt>
                <c:pt idx="458">
                  <c:v>-0.23564096964402706</c:v>
                </c:pt>
                <c:pt idx="459">
                  <c:v>-0.23629613452718937</c:v>
                </c:pt>
                <c:pt idx="460">
                  <c:v>-0.2411006770037126</c:v>
                </c:pt>
                <c:pt idx="461">
                  <c:v>-0.24710635509936663</c:v>
                </c:pt>
                <c:pt idx="462">
                  <c:v>-0.25420397466695788</c:v>
                </c:pt>
                <c:pt idx="463">
                  <c:v>-0.24939943219043464</c:v>
                </c:pt>
                <c:pt idx="464">
                  <c:v>-0.2563878576108321</c:v>
                </c:pt>
                <c:pt idx="465">
                  <c:v>-0.26020965276261193</c:v>
                </c:pt>
                <c:pt idx="466">
                  <c:v>-0.2688359903909151</c:v>
                </c:pt>
                <c:pt idx="467">
                  <c:v>-0.25529591613889491</c:v>
                </c:pt>
                <c:pt idx="468">
                  <c:v>-0.24874426730727234</c:v>
                </c:pt>
                <c:pt idx="469">
                  <c:v>-0.26348547717842319</c:v>
                </c:pt>
                <c:pt idx="470">
                  <c:v>-0.26337628303122956</c:v>
                </c:pt>
                <c:pt idx="471">
                  <c:v>-0.27058309674601444</c:v>
                </c:pt>
                <c:pt idx="472">
                  <c:v>-0.27429569775060064</c:v>
                </c:pt>
                <c:pt idx="473">
                  <c:v>-0.27025551430443329</c:v>
                </c:pt>
                <c:pt idx="474">
                  <c:v>-0.26894518453810873</c:v>
                </c:pt>
                <c:pt idx="475">
                  <c:v>-0.26839921380214021</c:v>
                </c:pt>
                <c:pt idx="476">
                  <c:v>-0.26534177768071626</c:v>
                </c:pt>
                <c:pt idx="477">
                  <c:v>-0.26807163136055906</c:v>
                </c:pt>
                <c:pt idx="478">
                  <c:v>-0.27058309674601444</c:v>
                </c:pt>
                <c:pt idx="479">
                  <c:v>-0.27222100895391999</c:v>
                </c:pt>
                <c:pt idx="480">
                  <c:v>-0.26621533085826593</c:v>
                </c:pt>
                <c:pt idx="481">
                  <c:v>-0.26304870058964841</c:v>
                </c:pt>
                <c:pt idx="482">
                  <c:v>-0.25747979908276913</c:v>
                </c:pt>
                <c:pt idx="483">
                  <c:v>-0.25791657567154408</c:v>
                </c:pt>
                <c:pt idx="484">
                  <c:v>-0.26151998252893649</c:v>
                </c:pt>
                <c:pt idx="485">
                  <c:v>-0.25529591613889491</c:v>
                </c:pt>
                <c:pt idx="486">
                  <c:v>-0.25354880978379557</c:v>
                </c:pt>
                <c:pt idx="487">
                  <c:v>-0.25758899322996293</c:v>
                </c:pt>
                <c:pt idx="488">
                  <c:v>-0.26839921380214021</c:v>
                </c:pt>
                <c:pt idx="489">
                  <c:v>-0.25365800393098936</c:v>
                </c:pt>
                <c:pt idx="490">
                  <c:v>-0.25529591613889491</c:v>
                </c:pt>
                <c:pt idx="491">
                  <c:v>-0.25704302249399424</c:v>
                </c:pt>
                <c:pt idx="492">
                  <c:v>-0.26348547717842319</c:v>
                </c:pt>
                <c:pt idx="493">
                  <c:v>-0.26566936012229742</c:v>
                </c:pt>
                <c:pt idx="494">
                  <c:v>-0.25857174055470616</c:v>
                </c:pt>
                <c:pt idx="495">
                  <c:v>-0.26381305962000434</c:v>
                </c:pt>
                <c:pt idx="496">
                  <c:v>-0.25562349858047606</c:v>
                </c:pt>
                <c:pt idx="497">
                  <c:v>-0.25278445075343953</c:v>
                </c:pt>
                <c:pt idx="498">
                  <c:v>-0.24874426730727234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D-46D5-B2EB-EB74198B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445951"/>
        <c:axId val="1092440127"/>
      </c:areaChart>
      <c:dateAx>
        <c:axId val="11814459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0127"/>
        <c:crosses val="autoZero"/>
        <c:auto val="1"/>
        <c:lblOffset val="100"/>
        <c:baseTimeUnit val="days"/>
        <c:majorUnit val="60"/>
        <c:majorTimeUnit val="years"/>
      </c:dateAx>
      <c:valAx>
        <c:axId val="109244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45951"/>
        <c:crosses val="autoZero"/>
        <c:crossBetween val="midCat"/>
      </c:valAx>
      <c:spPr>
        <a:solidFill>
          <a:srgbClr val="FFF5F5"/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ED7D3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Mensal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ED7D3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Análise_Variação!$M$3:$M$27</c:f>
              <c:strCache>
                <c:ptCount val="25"/>
                <c:pt idx="0">
                  <c:v>jul/24</c:v>
                </c:pt>
                <c:pt idx="1">
                  <c:v>Ago/2024</c:v>
                </c:pt>
                <c:pt idx="2">
                  <c:v>Set/2024</c:v>
                </c:pt>
                <c:pt idx="3">
                  <c:v>Out/2024</c:v>
                </c:pt>
                <c:pt idx="4">
                  <c:v>nov/24</c:v>
                </c:pt>
                <c:pt idx="5">
                  <c:v>Dez/2024</c:v>
                </c:pt>
                <c:pt idx="6">
                  <c:v>jan/25</c:v>
                </c:pt>
                <c:pt idx="7">
                  <c:v>Fev/2025</c:v>
                </c:pt>
                <c:pt idx="8">
                  <c:v>mar/25</c:v>
                </c:pt>
                <c:pt idx="9">
                  <c:v>Abr/2025</c:v>
                </c:pt>
                <c:pt idx="10">
                  <c:v>Mai/2025</c:v>
                </c:pt>
                <c:pt idx="11">
                  <c:v>jun/25</c:v>
                </c:pt>
                <c:pt idx="12">
                  <c:v>jul/25</c:v>
                </c:pt>
                <c:pt idx="13">
                  <c:v>Ago/2025</c:v>
                </c:pt>
                <c:pt idx="14">
                  <c:v>Set/2025</c:v>
                </c:pt>
                <c:pt idx="15">
                  <c:v>Out/2025</c:v>
                </c:pt>
                <c:pt idx="16">
                  <c:v>nov/25</c:v>
                </c:pt>
                <c:pt idx="17">
                  <c:v>Dez/2025</c:v>
                </c:pt>
                <c:pt idx="18">
                  <c:v>jan/26</c:v>
                </c:pt>
                <c:pt idx="19">
                  <c:v>Fev/2026</c:v>
                </c:pt>
                <c:pt idx="20">
                  <c:v>mar/26</c:v>
                </c:pt>
                <c:pt idx="21">
                  <c:v>Abr/2026</c:v>
                </c:pt>
                <c:pt idx="22">
                  <c:v>Mai/2026</c:v>
                </c:pt>
                <c:pt idx="23">
                  <c:v>jun/26</c:v>
                </c:pt>
                <c:pt idx="24">
                  <c:v>jul/26</c:v>
                </c:pt>
              </c:strCache>
            </c:strRef>
          </c:cat>
          <c:val>
            <c:numRef>
              <c:f>Análise_Variação!$O$3:$O$27</c:f>
              <c:numCache>
                <c:formatCode>0.00%</c:formatCode>
                <c:ptCount val="25"/>
                <c:pt idx="0">
                  <c:v>0</c:v>
                </c:pt>
                <c:pt idx="1">
                  <c:v>1.8118148599269149E-2</c:v>
                </c:pt>
                <c:pt idx="2">
                  <c:v>6.6247943771496814E-2</c:v>
                </c:pt>
                <c:pt idx="3">
                  <c:v>5.8625525946704164E-2</c:v>
                </c:pt>
                <c:pt idx="4">
                  <c:v>-3.7890832008479057E-2</c:v>
                </c:pt>
                <c:pt idx="5">
                  <c:v>2.8504544202698885E-2</c:v>
                </c:pt>
                <c:pt idx="6">
                  <c:v>-2.8116213683223156E-3</c:v>
                </c:pt>
                <c:pt idx="7">
                  <c:v>0.14769065520945218</c:v>
                </c:pt>
                <c:pt idx="8">
                  <c:v>-3.1586335985026933E-3</c:v>
                </c:pt>
                <c:pt idx="9">
                  <c:v>-3.3094707193991241E-2</c:v>
                </c:pt>
                <c:pt idx="10">
                  <c:v>-4.3937371040174832E-2</c:v>
                </c:pt>
                <c:pt idx="11">
                  <c:v>-4.3671448521010507E-2</c:v>
                </c:pt>
                <c:pt idx="12">
                  <c:v>8.7348997743262949E-2</c:v>
                </c:pt>
                <c:pt idx="13">
                  <c:v>-2.9666707361738404E-2</c:v>
                </c:pt>
                <c:pt idx="14">
                  <c:v>-3.9758429793658914E-2</c:v>
                </c:pt>
                <c:pt idx="15">
                  <c:v>3.7866876310272544E-2</c:v>
                </c:pt>
                <c:pt idx="16">
                  <c:v>4.9362454235576454E-2</c:v>
                </c:pt>
                <c:pt idx="17">
                  <c:v>-5.3657362848893261E-2</c:v>
                </c:pt>
                <c:pt idx="18">
                  <c:v>-7.4370709382150957E-2</c:v>
                </c:pt>
                <c:pt idx="19">
                  <c:v>4.5186100810328138E-2</c:v>
                </c:pt>
                <c:pt idx="20">
                  <c:v>-3.0617608409986841E-2</c:v>
                </c:pt>
                <c:pt idx="21">
                  <c:v>-2.941575166056665E-2</c:v>
                </c:pt>
                <c:pt idx="22">
                  <c:v>-5.3770949720670314E-2</c:v>
                </c:pt>
                <c:pt idx="23">
                  <c:v>9.0036900369003612E-3</c:v>
                </c:pt>
                <c:pt idx="24">
                  <c:v>6.4365125804563741E-3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D-4386-9CD4-EBFAEF074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469215"/>
        <c:axId val="1092452127"/>
      </c:barChart>
      <c:catAx>
        <c:axId val="11404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52127"/>
        <c:crosses val="autoZero"/>
        <c:auto val="1"/>
        <c:lblAlgn val="ctr"/>
        <c:lblOffset val="100"/>
        <c:noMultiLvlLbl val="0"/>
      </c:catAx>
      <c:valAx>
        <c:axId val="10924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69215"/>
        <c:crosses val="autoZero"/>
        <c:crossBetween val="between"/>
      </c:valAx>
      <c:spPr>
        <a:solidFill>
          <a:srgbClr val="FFF8F3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Bandas de Desvio Padrão - Comparativo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Dashboard!$O$23</c:f>
              <c:strCache>
                <c:ptCount val="1"/>
                <c:pt idx="0">
                  <c:v>Diário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Dashboard!$N$24:$N$30</c:f>
              <c:strCache>
                <c:ptCount val="7"/>
                <c:pt idx="0">
                  <c:v>-3σ</c:v>
                </c:pt>
                <c:pt idx="1">
                  <c:v>-2σ</c:v>
                </c:pt>
                <c:pt idx="2">
                  <c:v>-1σ</c:v>
                </c:pt>
                <c:pt idx="3">
                  <c:v>Média</c:v>
                </c:pt>
                <c:pt idx="4">
                  <c:v>+1σ</c:v>
                </c:pt>
                <c:pt idx="5">
                  <c:v>+2σ</c:v>
                </c:pt>
                <c:pt idx="6">
                  <c:v>+3σ</c:v>
                </c:pt>
              </c:strCache>
            </c:strRef>
          </c:cat>
          <c:val>
            <c:numRef>
              <c:f>Dashboard!$O$24:$O$30</c:f>
              <c:numCache>
                <c:formatCode>0.00%</c:formatCode>
                <c:ptCount val="7"/>
                <c:pt idx="0">
                  <c:v>-3.0800030994894759E-2</c:v>
                </c:pt>
                <c:pt idx="1">
                  <c:v>-2.0458005374174176E-2</c:v>
                </c:pt>
                <c:pt idx="2">
                  <c:v>-1.0115979753453592E-2</c:v>
                </c:pt>
                <c:pt idx="3">
                  <c:v>2.2604586726699218E-4</c:v>
                </c:pt>
                <c:pt idx="4">
                  <c:v>1.0568071487987576E-2</c:v>
                </c:pt>
                <c:pt idx="5">
                  <c:v>2.091009710870816E-2</c:v>
                </c:pt>
                <c:pt idx="6">
                  <c:v>3.1252122729428747E-2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5-494A-819D-DBAA2BE7B829}"/>
            </c:ext>
          </c:extLst>
        </c:ser>
        <c:ser>
          <c:idx val="1"/>
          <c:order val="1"/>
          <c:tx>
            <c:strRef>
              <c:f>Dashboard!$P$23</c:f>
              <c:strCache>
                <c:ptCount val="1"/>
                <c:pt idx="0">
                  <c:v>Semanal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Dashboard!$N$24:$N$30</c:f>
              <c:strCache>
                <c:ptCount val="7"/>
                <c:pt idx="0">
                  <c:v>-3σ</c:v>
                </c:pt>
                <c:pt idx="1">
                  <c:v>-2σ</c:v>
                </c:pt>
                <c:pt idx="2">
                  <c:v>-1σ</c:v>
                </c:pt>
                <c:pt idx="3">
                  <c:v>Média</c:v>
                </c:pt>
                <c:pt idx="4">
                  <c:v>+1σ</c:v>
                </c:pt>
                <c:pt idx="5">
                  <c:v>+2σ</c:v>
                </c:pt>
                <c:pt idx="6">
                  <c:v>+3σ</c:v>
                </c:pt>
              </c:strCache>
            </c:strRef>
          </c:cat>
          <c:val>
            <c:numRef>
              <c:f>Dashboard!$P$24:$P$30</c:f>
              <c:numCache>
                <c:formatCode>0.00%</c:formatCode>
                <c:ptCount val="7"/>
                <c:pt idx="0">
                  <c:v>-6.2791208819187969E-2</c:v>
                </c:pt>
                <c:pt idx="1">
                  <c:v>-4.1563992978812886E-2</c:v>
                </c:pt>
                <c:pt idx="2">
                  <c:v>-2.0336777138437814E-2</c:v>
                </c:pt>
                <c:pt idx="3">
                  <c:v>8.904387019372579E-4</c:v>
                </c:pt>
                <c:pt idx="4">
                  <c:v>2.2117654542312331E-2</c:v>
                </c:pt>
                <c:pt idx="5">
                  <c:v>4.3344870382687403E-2</c:v>
                </c:pt>
                <c:pt idx="6">
                  <c:v>6.4572086223062472E-2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65-494A-819D-DBAA2BE7B829}"/>
            </c:ext>
          </c:extLst>
        </c:ser>
        <c:ser>
          <c:idx val="2"/>
          <c:order val="2"/>
          <c:tx>
            <c:strRef>
              <c:f>Dashboard!$Q$23</c:f>
              <c:strCache>
                <c:ptCount val="1"/>
                <c:pt idx="0">
                  <c:v>Mensal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Dashboard!$N$24:$N$30</c:f>
              <c:strCache>
                <c:ptCount val="7"/>
                <c:pt idx="0">
                  <c:v>-3σ</c:v>
                </c:pt>
                <c:pt idx="1">
                  <c:v>-2σ</c:v>
                </c:pt>
                <c:pt idx="2">
                  <c:v>-1σ</c:v>
                </c:pt>
                <c:pt idx="3">
                  <c:v>Média</c:v>
                </c:pt>
                <c:pt idx="4">
                  <c:v>+1σ</c:v>
                </c:pt>
                <c:pt idx="5">
                  <c:v>+2σ</c:v>
                </c:pt>
                <c:pt idx="6">
                  <c:v>+3σ</c:v>
                </c:pt>
              </c:strCache>
            </c:strRef>
          </c:cat>
          <c:val>
            <c:numRef>
              <c:f>Dashboard!$Q$24:$Q$30</c:f>
              <c:numCache>
                <c:formatCode>0.00%</c:formatCode>
                <c:ptCount val="7"/>
                <c:pt idx="0">
                  <c:v>-0.1575992401578887</c:v>
                </c:pt>
                <c:pt idx="1">
                  <c:v>-0.10397491959778314</c:v>
                </c:pt>
                <c:pt idx="2">
                  <c:v>-5.0350599037677572E-2</c:v>
                </c:pt>
                <c:pt idx="3">
                  <c:v>3.2737215224279991E-3</c:v>
                </c:pt>
                <c:pt idx="4">
                  <c:v>5.6898042082533566E-2</c:v>
                </c:pt>
                <c:pt idx="5">
                  <c:v>0.11052236264263914</c:v>
                </c:pt>
                <c:pt idx="6">
                  <c:v>0.1641466832027447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65-494A-819D-DBAA2BE7B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458015"/>
        <c:axId val="1748000351"/>
      </c:barChart>
      <c:catAx>
        <c:axId val="118145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00351"/>
        <c:crosses val="autoZero"/>
        <c:auto val="1"/>
        <c:lblAlgn val="ctr"/>
        <c:lblOffset val="100"/>
        <c:noMultiLvlLbl val="0"/>
      </c:catAx>
      <c:valAx>
        <c:axId val="174800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58015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 - Comparativo por Período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Dashboard!$O$32</c:f>
              <c:strCache>
                <c:ptCount val="1"/>
                <c:pt idx="0">
                  <c:v>Diário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Dashboard!$N$33:$N$34</c:f>
              <c:strCache>
                <c:ptCount val="2"/>
                <c:pt idx="0">
                  <c:v>DD Máximo</c:v>
                </c:pt>
                <c:pt idx="1">
                  <c:v>DD Médio</c:v>
                </c:pt>
              </c:strCache>
            </c:strRef>
          </c:cat>
          <c:val>
            <c:numRef>
              <c:f>Dashboard!$O$33:$O$34</c:f>
              <c:numCache>
                <c:formatCode>0.00%</c:formatCode>
                <c:ptCount val="2"/>
                <c:pt idx="0">
                  <c:v>-0.27429569775060064</c:v>
                </c:pt>
                <c:pt idx="1">
                  <c:v>-0.11457431134581388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B-43B5-B01F-00A59517D22A}"/>
            </c:ext>
          </c:extLst>
        </c:ser>
        <c:ser>
          <c:idx val="1"/>
          <c:order val="1"/>
          <c:tx>
            <c:strRef>
              <c:f>Dashboard!$P$32</c:f>
              <c:strCache>
                <c:ptCount val="1"/>
                <c:pt idx="0">
                  <c:v>Semanal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Dashboard!$N$33:$N$34</c:f>
              <c:strCache>
                <c:ptCount val="2"/>
                <c:pt idx="0">
                  <c:v>DD Máximo</c:v>
                </c:pt>
                <c:pt idx="1">
                  <c:v>DD Médio</c:v>
                </c:pt>
              </c:strCache>
            </c:strRef>
          </c:cat>
          <c:val>
            <c:numRef>
              <c:f>Dashboard!$P$33:$P$34</c:f>
              <c:numCache>
                <c:formatCode>0.00%</c:formatCode>
                <c:ptCount val="2"/>
                <c:pt idx="0">
                  <c:v>-0.22810261150912881</c:v>
                </c:pt>
                <c:pt idx="1">
                  <c:v>-7.9455481849291146E-2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B-43B5-B01F-00A59517D22A}"/>
            </c:ext>
          </c:extLst>
        </c:ser>
        <c:ser>
          <c:idx val="2"/>
          <c:order val="2"/>
          <c:tx>
            <c:strRef>
              <c:f>Dashboard!$Q$32</c:f>
              <c:strCache>
                <c:ptCount val="1"/>
                <c:pt idx="0">
                  <c:v>Mensal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Dashboard!$N$33:$N$34</c:f>
              <c:strCache>
                <c:ptCount val="2"/>
                <c:pt idx="0">
                  <c:v>DD Máximo</c:v>
                </c:pt>
                <c:pt idx="1">
                  <c:v>DD Médio</c:v>
                </c:pt>
              </c:strCache>
            </c:strRef>
          </c:cat>
          <c:val>
            <c:numRef>
              <c:f>Dashboard!$Q$33:$Q$34</c:f>
              <c:numCache>
                <c:formatCode>0.00%</c:formatCode>
                <c:ptCount val="2"/>
                <c:pt idx="0">
                  <c:v>-0.20741693963500238</c:v>
                </c:pt>
                <c:pt idx="1">
                  <c:v>-7.432665289363799E-2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B-43B5-B01F-00A59517D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481679"/>
        <c:axId val="1092446847"/>
      </c:barChart>
      <c:catAx>
        <c:axId val="118148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6847"/>
        <c:crosses val="autoZero"/>
        <c:auto val="1"/>
        <c:lblAlgn val="ctr"/>
        <c:lblOffset val="100"/>
        <c:noMultiLvlLbl val="0"/>
      </c:catAx>
      <c:valAx>
        <c:axId val="109244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81679"/>
        <c:crosses val="autoZero"/>
        <c:crossBetween val="between"/>
      </c:valAx>
      <c:spPr>
        <a:solidFill>
          <a:srgbClr val="FFF5F5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Canal de Regressão Linear - Preço À Vista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Fechamento</c:v>
          </c:tx>
          <c:spPr>
            <a:ln w="19050" cap="rnd">
              <a:solidFill>
                <a:srgbClr val="2F549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Análise_À_Vista!$AB$3:$AB$1136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Análise_À_Vista!$AC$3:$AC$1136</c:f>
              <c:numCache>
                <c:formatCode>#,##0.00</c:formatCode>
                <c:ptCount val="1134"/>
                <c:pt idx="0">
                  <c:v>92.01</c:v>
                </c:pt>
                <c:pt idx="1">
                  <c:v>92.72</c:v>
                </c:pt>
                <c:pt idx="2">
                  <c:v>92.81</c:v>
                </c:pt>
                <c:pt idx="3">
                  <c:v>93.28</c:v>
                </c:pt>
                <c:pt idx="4">
                  <c:v>93.52</c:v>
                </c:pt>
                <c:pt idx="5">
                  <c:v>94.43</c:v>
                </c:pt>
                <c:pt idx="6">
                  <c:v>95.13</c:v>
                </c:pt>
                <c:pt idx="7">
                  <c:v>95.27</c:v>
                </c:pt>
                <c:pt idx="8">
                  <c:v>96.5</c:v>
                </c:pt>
                <c:pt idx="9">
                  <c:v>96.77</c:v>
                </c:pt>
                <c:pt idx="10">
                  <c:v>97.16</c:v>
                </c:pt>
                <c:pt idx="11">
                  <c:v>97.39</c:v>
                </c:pt>
                <c:pt idx="12">
                  <c:v>97.7</c:v>
                </c:pt>
                <c:pt idx="13">
                  <c:v>98.13</c:v>
                </c:pt>
                <c:pt idx="14">
                  <c:v>98.33</c:v>
                </c:pt>
                <c:pt idx="15">
                  <c:v>97.93</c:v>
                </c:pt>
                <c:pt idx="16">
                  <c:v>97.76</c:v>
                </c:pt>
                <c:pt idx="17">
                  <c:v>97.9</c:v>
                </c:pt>
                <c:pt idx="18">
                  <c:v>97.37</c:v>
                </c:pt>
                <c:pt idx="19">
                  <c:v>97.4</c:v>
                </c:pt>
                <c:pt idx="20">
                  <c:v>97.42</c:v>
                </c:pt>
                <c:pt idx="21">
                  <c:v>97.4</c:v>
                </c:pt>
                <c:pt idx="22">
                  <c:v>97.14</c:v>
                </c:pt>
                <c:pt idx="23">
                  <c:v>96.82</c:v>
                </c:pt>
                <c:pt idx="24">
                  <c:v>97.13</c:v>
                </c:pt>
                <c:pt idx="25">
                  <c:v>96.97</c:v>
                </c:pt>
                <c:pt idx="26">
                  <c:v>97.14</c:v>
                </c:pt>
                <c:pt idx="27">
                  <c:v>96.93</c:v>
                </c:pt>
                <c:pt idx="28">
                  <c:v>97.08</c:v>
                </c:pt>
                <c:pt idx="29">
                  <c:v>97.05</c:v>
                </c:pt>
                <c:pt idx="30">
                  <c:v>95.98</c:v>
                </c:pt>
                <c:pt idx="31">
                  <c:v>96.55</c:v>
                </c:pt>
                <c:pt idx="32">
                  <c:v>96.53</c:v>
                </c:pt>
                <c:pt idx="33">
                  <c:v>96.51</c:v>
                </c:pt>
                <c:pt idx="34">
                  <c:v>96.49</c:v>
                </c:pt>
                <c:pt idx="35">
                  <c:v>96.52</c:v>
                </c:pt>
                <c:pt idx="36">
                  <c:v>96.8</c:v>
                </c:pt>
                <c:pt idx="37">
                  <c:v>96.85</c:v>
                </c:pt>
                <c:pt idx="38">
                  <c:v>96.89</c:v>
                </c:pt>
                <c:pt idx="39">
                  <c:v>97.34</c:v>
                </c:pt>
                <c:pt idx="40">
                  <c:v>97.2</c:v>
                </c:pt>
                <c:pt idx="41">
                  <c:v>97.72</c:v>
                </c:pt>
                <c:pt idx="42">
                  <c:v>98.15</c:v>
                </c:pt>
                <c:pt idx="43">
                  <c:v>100.19</c:v>
                </c:pt>
                <c:pt idx="44">
                  <c:v>101.36</c:v>
                </c:pt>
                <c:pt idx="45">
                  <c:v>101.25</c:v>
                </c:pt>
                <c:pt idx="46">
                  <c:v>101.42</c:v>
                </c:pt>
                <c:pt idx="47">
                  <c:v>103.57</c:v>
                </c:pt>
                <c:pt idx="48">
                  <c:v>103.9</c:v>
                </c:pt>
                <c:pt idx="49">
                  <c:v>103.87</c:v>
                </c:pt>
                <c:pt idx="50">
                  <c:v>103.74</c:v>
                </c:pt>
                <c:pt idx="51">
                  <c:v>103.57</c:v>
                </c:pt>
                <c:pt idx="52">
                  <c:v>102.59</c:v>
                </c:pt>
                <c:pt idx="53">
                  <c:v>102.63</c:v>
                </c:pt>
                <c:pt idx="54">
                  <c:v>101.29</c:v>
                </c:pt>
                <c:pt idx="55">
                  <c:v>99.93</c:v>
                </c:pt>
                <c:pt idx="56">
                  <c:v>99.2</c:v>
                </c:pt>
                <c:pt idx="57">
                  <c:v>96.98</c:v>
                </c:pt>
                <c:pt idx="58">
                  <c:v>96.16</c:v>
                </c:pt>
                <c:pt idx="59">
                  <c:v>92.77</c:v>
                </c:pt>
                <c:pt idx="60">
                  <c:v>92.7</c:v>
                </c:pt>
                <c:pt idx="61">
                  <c:v>93.09</c:v>
                </c:pt>
                <c:pt idx="62">
                  <c:v>92.04</c:v>
                </c:pt>
                <c:pt idx="63">
                  <c:v>91.55</c:v>
                </c:pt>
                <c:pt idx="64">
                  <c:v>90.19</c:v>
                </c:pt>
                <c:pt idx="65">
                  <c:v>89.46</c:v>
                </c:pt>
                <c:pt idx="66">
                  <c:v>89.06</c:v>
                </c:pt>
                <c:pt idx="67">
                  <c:v>89.02</c:v>
                </c:pt>
                <c:pt idx="68">
                  <c:v>88.9</c:v>
                </c:pt>
                <c:pt idx="69">
                  <c:v>88.17</c:v>
                </c:pt>
                <c:pt idx="70">
                  <c:v>87.56</c:v>
                </c:pt>
                <c:pt idx="71">
                  <c:v>87.3</c:v>
                </c:pt>
                <c:pt idx="72">
                  <c:v>87.63</c:v>
                </c:pt>
                <c:pt idx="73">
                  <c:v>88.03</c:v>
                </c:pt>
                <c:pt idx="74">
                  <c:v>87.87</c:v>
                </c:pt>
                <c:pt idx="75">
                  <c:v>87.93</c:v>
                </c:pt>
                <c:pt idx="76">
                  <c:v>88.71</c:v>
                </c:pt>
                <c:pt idx="77">
                  <c:v>88.51</c:v>
                </c:pt>
                <c:pt idx="78">
                  <c:v>88.21</c:v>
                </c:pt>
                <c:pt idx="79">
                  <c:v>88.38</c:v>
                </c:pt>
                <c:pt idx="80">
                  <c:v>88.25</c:v>
                </c:pt>
                <c:pt idx="81">
                  <c:v>87.87</c:v>
                </c:pt>
                <c:pt idx="82">
                  <c:v>87.6</c:v>
                </c:pt>
                <c:pt idx="83">
                  <c:v>87.55</c:v>
                </c:pt>
                <c:pt idx="84">
                  <c:v>87.41</c:v>
                </c:pt>
                <c:pt idx="85">
                  <c:v>86.63</c:v>
                </c:pt>
                <c:pt idx="86">
                  <c:v>86.15</c:v>
                </c:pt>
                <c:pt idx="87">
                  <c:v>85.83</c:v>
                </c:pt>
                <c:pt idx="88">
                  <c:v>86.08</c:v>
                </c:pt>
                <c:pt idx="89">
                  <c:v>86.4</c:v>
                </c:pt>
                <c:pt idx="90">
                  <c:v>86.54</c:v>
                </c:pt>
                <c:pt idx="91">
                  <c:v>87.97</c:v>
                </c:pt>
                <c:pt idx="92">
                  <c:v>89.09</c:v>
                </c:pt>
                <c:pt idx="93">
                  <c:v>89.28</c:v>
                </c:pt>
                <c:pt idx="94">
                  <c:v>89.23</c:v>
                </c:pt>
                <c:pt idx="95">
                  <c:v>88.48</c:v>
                </c:pt>
                <c:pt idx="96">
                  <c:v>88.03</c:v>
                </c:pt>
                <c:pt idx="97">
                  <c:v>87.43</c:v>
                </c:pt>
                <c:pt idx="98">
                  <c:v>87.33</c:v>
                </c:pt>
                <c:pt idx="99">
                  <c:v>86.99</c:v>
                </c:pt>
                <c:pt idx="100">
                  <c:v>86.9</c:v>
                </c:pt>
                <c:pt idx="101">
                  <c:v>86.84</c:v>
                </c:pt>
                <c:pt idx="102">
                  <c:v>86.25</c:v>
                </c:pt>
                <c:pt idx="103">
                  <c:v>85.8</c:v>
                </c:pt>
                <c:pt idx="104">
                  <c:v>85.52</c:v>
                </c:pt>
                <c:pt idx="105">
                  <c:v>85.07</c:v>
                </c:pt>
                <c:pt idx="106">
                  <c:v>84.8</c:v>
                </c:pt>
                <c:pt idx="107">
                  <c:v>85.56</c:v>
                </c:pt>
                <c:pt idx="108">
                  <c:v>85.86</c:v>
                </c:pt>
                <c:pt idx="109">
                  <c:v>85.85</c:v>
                </c:pt>
                <c:pt idx="110">
                  <c:v>85.42</c:v>
                </c:pt>
                <c:pt idx="111">
                  <c:v>85.41</c:v>
                </c:pt>
                <c:pt idx="112">
                  <c:v>86.42</c:v>
                </c:pt>
                <c:pt idx="113">
                  <c:v>86.25</c:v>
                </c:pt>
                <c:pt idx="114">
                  <c:v>86.32</c:v>
                </c:pt>
                <c:pt idx="115">
                  <c:v>87.42</c:v>
                </c:pt>
                <c:pt idx="116">
                  <c:v>87.15</c:v>
                </c:pt>
                <c:pt idx="117">
                  <c:v>87.04</c:v>
                </c:pt>
                <c:pt idx="118">
                  <c:v>85.92</c:v>
                </c:pt>
                <c:pt idx="119">
                  <c:v>85.65</c:v>
                </c:pt>
                <c:pt idx="120">
                  <c:v>84.75</c:v>
                </c:pt>
                <c:pt idx="121">
                  <c:v>83.9</c:v>
                </c:pt>
                <c:pt idx="122">
                  <c:v>84.85</c:v>
                </c:pt>
                <c:pt idx="123">
                  <c:v>83.55</c:v>
                </c:pt>
                <c:pt idx="124">
                  <c:v>83.16</c:v>
                </c:pt>
                <c:pt idx="125">
                  <c:v>83.24</c:v>
                </c:pt>
                <c:pt idx="126">
                  <c:v>82.6</c:v>
                </c:pt>
                <c:pt idx="127">
                  <c:v>82.19</c:v>
                </c:pt>
                <c:pt idx="128">
                  <c:v>81.680000000000007</c:v>
                </c:pt>
                <c:pt idx="129">
                  <c:v>81.5</c:v>
                </c:pt>
                <c:pt idx="130">
                  <c:v>82.36</c:v>
                </c:pt>
                <c:pt idx="131">
                  <c:v>83.12</c:v>
                </c:pt>
                <c:pt idx="132">
                  <c:v>82.73</c:v>
                </c:pt>
                <c:pt idx="133">
                  <c:v>82.58</c:v>
                </c:pt>
                <c:pt idx="134">
                  <c:v>82.46</c:v>
                </c:pt>
                <c:pt idx="135">
                  <c:v>82.36</c:v>
                </c:pt>
                <c:pt idx="136">
                  <c:v>81.67</c:v>
                </c:pt>
                <c:pt idx="137">
                  <c:v>81.41</c:v>
                </c:pt>
                <c:pt idx="138">
                  <c:v>80.849999999999994</c:v>
                </c:pt>
                <c:pt idx="139">
                  <c:v>80.06</c:v>
                </c:pt>
                <c:pt idx="140">
                  <c:v>80.2</c:v>
                </c:pt>
                <c:pt idx="141">
                  <c:v>81.27</c:v>
                </c:pt>
                <c:pt idx="142">
                  <c:v>81.400000000000006</c:v>
                </c:pt>
                <c:pt idx="143">
                  <c:v>81.78</c:v>
                </c:pt>
                <c:pt idx="144">
                  <c:v>82.93</c:v>
                </c:pt>
                <c:pt idx="145">
                  <c:v>82.64</c:v>
                </c:pt>
                <c:pt idx="146">
                  <c:v>82.58</c:v>
                </c:pt>
                <c:pt idx="147">
                  <c:v>82.41</c:v>
                </c:pt>
                <c:pt idx="148">
                  <c:v>82.24</c:v>
                </c:pt>
                <c:pt idx="149">
                  <c:v>81.91</c:v>
                </c:pt>
                <c:pt idx="150">
                  <c:v>82.05</c:v>
                </c:pt>
                <c:pt idx="151">
                  <c:v>81.63</c:v>
                </c:pt>
                <c:pt idx="152">
                  <c:v>82.76</c:v>
                </c:pt>
                <c:pt idx="153">
                  <c:v>81.94</c:v>
                </c:pt>
                <c:pt idx="154">
                  <c:v>81.55</c:v>
                </c:pt>
                <c:pt idx="155">
                  <c:v>81.41</c:v>
                </c:pt>
                <c:pt idx="156">
                  <c:v>82.11</c:v>
                </c:pt>
                <c:pt idx="157">
                  <c:v>82.77</c:v>
                </c:pt>
                <c:pt idx="158">
                  <c:v>82.1</c:v>
                </c:pt>
                <c:pt idx="159">
                  <c:v>82.16</c:v>
                </c:pt>
                <c:pt idx="160">
                  <c:v>81.900000000000006</c:v>
                </c:pt>
                <c:pt idx="161">
                  <c:v>82.69</c:v>
                </c:pt>
                <c:pt idx="162">
                  <c:v>82.77</c:v>
                </c:pt>
                <c:pt idx="163">
                  <c:v>83.31</c:v>
                </c:pt>
                <c:pt idx="164">
                  <c:v>83.6</c:v>
                </c:pt>
                <c:pt idx="165">
                  <c:v>83.8</c:v>
                </c:pt>
                <c:pt idx="166">
                  <c:v>83.73</c:v>
                </c:pt>
                <c:pt idx="167">
                  <c:v>83.94</c:v>
                </c:pt>
                <c:pt idx="168">
                  <c:v>83.66</c:v>
                </c:pt>
                <c:pt idx="169">
                  <c:v>83.39</c:v>
                </c:pt>
                <c:pt idx="170">
                  <c:v>83.26</c:v>
                </c:pt>
                <c:pt idx="171">
                  <c:v>83.54</c:v>
                </c:pt>
                <c:pt idx="172">
                  <c:v>83.25</c:v>
                </c:pt>
                <c:pt idx="173">
                  <c:v>83.43</c:v>
                </c:pt>
                <c:pt idx="174">
                  <c:v>83.95</c:v>
                </c:pt>
                <c:pt idx="175">
                  <c:v>83.72</c:v>
                </c:pt>
                <c:pt idx="176">
                  <c:v>84.28</c:v>
                </c:pt>
                <c:pt idx="177">
                  <c:v>84.55</c:v>
                </c:pt>
                <c:pt idx="178">
                  <c:v>84.35</c:v>
                </c:pt>
                <c:pt idx="179">
                  <c:v>84.02</c:v>
                </c:pt>
                <c:pt idx="180">
                  <c:v>84.21</c:v>
                </c:pt>
                <c:pt idx="181">
                  <c:v>84.24</c:v>
                </c:pt>
                <c:pt idx="182">
                  <c:v>84.56</c:v>
                </c:pt>
                <c:pt idx="183">
                  <c:v>84.54</c:v>
                </c:pt>
                <c:pt idx="184">
                  <c:v>84.58</c:v>
                </c:pt>
                <c:pt idx="185">
                  <c:v>84.72</c:v>
                </c:pt>
                <c:pt idx="186">
                  <c:v>84.25</c:v>
                </c:pt>
                <c:pt idx="187">
                  <c:v>84.24</c:v>
                </c:pt>
                <c:pt idx="188">
                  <c:v>84.42</c:v>
                </c:pt>
                <c:pt idx="189">
                  <c:v>84.14</c:v>
                </c:pt>
                <c:pt idx="190">
                  <c:v>83.27</c:v>
                </c:pt>
                <c:pt idx="191">
                  <c:v>82.91</c:v>
                </c:pt>
                <c:pt idx="192">
                  <c:v>83.04</c:v>
                </c:pt>
                <c:pt idx="193">
                  <c:v>83.05</c:v>
                </c:pt>
                <c:pt idx="194">
                  <c:v>83.5</c:v>
                </c:pt>
                <c:pt idx="195">
                  <c:v>83.86</c:v>
                </c:pt>
                <c:pt idx="196">
                  <c:v>84.42</c:v>
                </c:pt>
                <c:pt idx="197">
                  <c:v>84.67</c:v>
                </c:pt>
                <c:pt idx="198">
                  <c:v>84.86</c:v>
                </c:pt>
                <c:pt idx="199">
                  <c:v>85.38</c:v>
                </c:pt>
                <c:pt idx="200">
                  <c:v>85.41</c:v>
                </c:pt>
                <c:pt idx="201">
                  <c:v>85.21</c:v>
                </c:pt>
                <c:pt idx="202">
                  <c:v>85.28</c:v>
                </c:pt>
                <c:pt idx="203">
                  <c:v>85.08</c:v>
                </c:pt>
                <c:pt idx="204">
                  <c:v>84.91</c:v>
                </c:pt>
                <c:pt idx="205">
                  <c:v>85.12</c:v>
                </c:pt>
                <c:pt idx="206">
                  <c:v>85.35</c:v>
                </c:pt>
                <c:pt idx="207">
                  <c:v>85.69</c:v>
                </c:pt>
                <c:pt idx="208">
                  <c:v>85.35</c:v>
                </c:pt>
                <c:pt idx="209">
                  <c:v>85.11</c:v>
                </c:pt>
                <c:pt idx="210">
                  <c:v>84.76</c:v>
                </c:pt>
                <c:pt idx="211">
                  <c:v>84.95</c:v>
                </c:pt>
                <c:pt idx="212">
                  <c:v>85.19</c:v>
                </c:pt>
                <c:pt idx="213">
                  <c:v>85.3</c:v>
                </c:pt>
                <c:pt idx="214">
                  <c:v>84.76</c:v>
                </c:pt>
                <c:pt idx="215">
                  <c:v>84.48</c:v>
                </c:pt>
                <c:pt idx="216">
                  <c:v>83.74</c:v>
                </c:pt>
                <c:pt idx="217">
                  <c:v>84</c:v>
                </c:pt>
                <c:pt idx="218">
                  <c:v>83.69</c:v>
                </c:pt>
                <c:pt idx="219">
                  <c:v>84.06</c:v>
                </c:pt>
                <c:pt idx="220">
                  <c:v>84.77</c:v>
                </c:pt>
                <c:pt idx="221">
                  <c:v>85.08</c:v>
                </c:pt>
                <c:pt idx="222">
                  <c:v>85.19</c:v>
                </c:pt>
                <c:pt idx="223">
                  <c:v>85.51</c:v>
                </c:pt>
                <c:pt idx="224">
                  <c:v>85.87</c:v>
                </c:pt>
                <c:pt idx="225">
                  <c:v>85.48</c:v>
                </c:pt>
                <c:pt idx="226">
                  <c:v>85.96</c:v>
                </c:pt>
                <c:pt idx="227">
                  <c:v>85.76</c:v>
                </c:pt>
                <c:pt idx="228">
                  <c:v>86.2</c:v>
                </c:pt>
                <c:pt idx="229">
                  <c:v>86</c:v>
                </c:pt>
                <c:pt idx="230">
                  <c:v>86.03</c:v>
                </c:pt>
                <c:pt idx="231">
                  <c:v>85.54</c:v>
                </c:pt>
                <c:pt idx="232">
                  <c:v>86.1</c:v>
                </c:pt>
                <c:pt idx="233">
                  <c:v>86.19</c:v>
                </c:pt>
                <c:pt idx="234">
                  <c:v>85.9</c:v>
                </c:pt>
                <c:pt idx="235">
                  <c:v>86.08</c:v>
                </c:pt>
                <c:pt idx="236">
                  <c:v>86.15</c:v>
                </c:pt>
                <c:pt idx="237">
                  <c:v>86</c:v>
                </c:pt>
                <c:pt idx="238">
                  <c:v>85.79</c:v>
                </c:pt>
                <c:pt idx="239">
                  <c:v>85.91</c:v>
                </c:pt>
                <c:pt idx="240">
                  <c:v>86.44</c:v>
                </c:pt>
                <c:pt idx="241">
                  <c:v>86.05</c:v>
                </c:pt>
                <c:pt idx="242">
                  <c:v>85.98</c:v>
                </c:pt>
                <c:pt idx="243">
                  <c:v>85.82</c:v>
                </c:pt>
                <c:pt idx="244">
                  <c:v>85.58</c:v>
                </c:pt>
                <c:pt idx="245">
                  <c:v>85.8</c:v>
                </c:pt>
                <c:pt idx="246">
                  <c:v>85.79</c:v>
                </c:pt>
                <c:pt idx="247">
                  <c:v>86.61</c:v>
                </c:pt>
                <c:pt idx="248">
                  <c:v>86.42</c:v>
                </c:pt>
                <c:pt idx="249">
                  <c:v>86.07</c:v>
                </c:pt>
                <c:pt idx="250">
                  <c:v>86.09</c:v>
                </c:pt>
                <c:pt idx="251">
                  <c:v>86.07</c:v>
                </c:pt>
                <c:pt idx="252">
                  <c:v>86.35</c:v>
                </c:pt>
                <c:pt idx="253">
                  <c:v>87.72</c:v>
                </c:pt>
                <c:pt idx="254">
                  <c:v>87.5</c:v>
                </c:pt>
                <c:pt idx="255">
                  <c:v>87.27</c:v>
                </c:pt>
                <c:pt idx="256">
                  <c:v>87.33</c:v>
                </c:pt>
                <c:pt idx="257">
                  <c:v>87.19</c:v>
                </c:pt>
                <c:pt idx="258">
                  <c:v>86.86</c:v>
                </c:pt>
                <c:pt idx="259">
                  <c:v>86.87</c:v>
                </c:pt>
                <c:pt idx="260">
                  <c:v>86.39</c:v>
                </c:pt>
                <c:pt idx="261">
                  <c:v>86.19</c:v>
                </c:pt>
                <c:pt idx="262">
                  <c:v>85.9</c:v>
                </c:pt>
                <c:pt idx="263">
                  <c:v>85.38</c:v>
                </c:pt>
                <c:pt idx="264">
                  <c:v>85.33</c:v>
                </c:pt>
                <c:pt idx="265">
                  <c:v>85.43</c:v>
                </c:pt>
                <c:pt idx="266">
                  <c:v>85.17</c:v>
                </c:pt>
                <c:pt idx="267">
                  <c:v>85.22</c:v>
                </c:pt>
                <c:pt idx="268">
                  <c:v>84.88</c:v>
                </c:pt>
                <c:pt idx="269">
                  <c:v>84.74</c:v>
                </c:pt>
                <c:pt idx="270">
                  <c:v>84.95</c:v>
                </c:pt>
                <c:pt idx="271">
                  <c:v>85.49</c:v>
                </c:pt>
                <c:pt idx="272">
                  <c:v>85.76</c:v>
                </c:pt>
                <c:pt idx="273">
                  <c:v>85.04</c:v>
                </c:pt>
                <c:pt idx="274">
                  <c:v>84.98</c:v>
                </c:pt>
                <c:pt idx="275">
                  <c:v>85.12</c:v>
                </c:pt>
                <c:pt idx="276">
                  <c:v>84.87</c:v>
                </c:pt>
                <c:pt idx="277">
                  <c:v>84.9</c:v>
                </c:pt>
                <c:pt idx="278">
                  <c:v>85.96</c:v>
                </c:pt>
                <c:pt idx="279">
                  <c:v>86.03</c:v>
                </c:pt>
                <c:pt idx="280">
                  <c:v>85.86</c:v>
                </c:pt>
                <c:pt idx="281">
                  <c:v>86.26</c:v>
                </c:pt>
                <c:pt idx="282">
                  <c:v>86.06</c:v>
                </c:pt>
                <c:pt idx="283">
                  <c:v>86.24</c:v>
                </c:pt>
                <c:pt idx="284">
                  <c:v>85.73</c:v>
                </c:pt>
                <c:pt idx="285">
                  <c:v>86.06</c:v>
                </c:pt>
                <c:pt idx="286">
                  <c:v>86.22</c:v>
                </c:pt>
                <c:pt idx="287">
                  <c:v>85.83</c:v>
                </c:pt>
                <c:pt idx="288">
                  <c:v>86.4</c:v>
                </c:pt>
                <c:pt idx="289">
                  <c:v>86.08</c:v>
                </c:pt>
                <c:pt idx="290">
                  <c:v>86.11</c:v>
                </c:pt>
                <c:pt idx="291">
                  <c:v>86.36</c:v>
                </c:pt>
                <c:pt idx="292">
                  <c:v>86.22</c:v>
                </c:pt>
                <c:pt idx="293">
                  <c:v>86.15</c:v>
                </c:pt>
                <c:pt idx="294">
                  <c:v>85.84</c:v>
                </c:pt>
                <c:pt idx="295">
                  <c:v>86.03</c:v>
                </c:pt>
                <c:pt idx="296">
                  <c:v>85.47</c:v>
                </c:pt>
                <c:pt idx="297">
                  <c:v>85.32</c:v>
                </c:pt>
                <c:pt idx="298">
                  <c:v>85.61</c:v>
                </c:pt>
                <c:pt idx="299">
                  <c:v>85.42</c:v>
                </c:pt>
                <c:pt idx="300">
                  <c:v>85.49</c:v>
                </c:pt>
                <c:pt idx="301">
                  <c:v>85.37</c:v>
                </c:pt>
                <c:pt idx="302">
                  <c:v>85.24</c:v>
                </c:pt>
                <c:pt idx="303">
                  <c:v>84.66</c:v>
                </c:pt>
                <c:pt idx="304">
                  <c:v>84.46</c:v>
                </c:pt>
                <c:pt idx="305">
                  <c:v>84.36</c:v>
                </c:pt>
                <c:pt idx="306">
                  <c:v>83.91</c:v>
                </c:pt>
                <c:pt idx="307">
                  <c:v>84.18</c:v>
                </c:pt>
                <c:pt idx="308">
                  <c:v>84</c:v>
                </c:pt>
                <c:pt idx="309">
                  <c:v>83.39</c:v>
                </c:pt>
                <c:pt idx="310">
                  <c:v>83.17</c:v>
                </c:pt>
                <c:pt idx="311">
                  <c:v>82.9</c:v>
                </c:pt>
                <c:pt idx="312">
                  <c:v>82.6</c:v>
                </c:pt>
                <c:pt idx="313">
                  <c:v>82.4</c:v>
                </c:pt>
                <c:pt idx="314">
                  <c:v>81.12</c:v>
                </c:pt>
                <c:pt idx="315">
                  <c:v>80.89</c:v>
                </c:pt>
                <c:pt idx="316">
                  <c:v>80.239999999999995</c:v>
                </c:pt>
                <c:pt idx="317">
                  <c:v>79.39</c:v>
                </c:pt>
                <c:pt idx="318">
                  <c:v>78.34</c:v>
                </c:pt>
                <c:pt idx="319">
                  <c:v>77.66</c:v>
                </c:pt>
                <c:pt idx="320">
                  <c:v>76.88</c:v>
                </c:pt>
                <c:pt idx="321">
                  <c:v>75.989999999999995</c:v>
                </c:pt>
                <c:pt idx="322">
                  <c:v>75.290000000000006</c:v>
                </c:pt>
                <c:pt idx="323">
                  <c:v>73.92</c:v>
                </c:pt>
                <c:pt idx="324">
                  <c:v>72.760000000000005</c:v>
                </c:pt>
                <c:pt idx="325">
                  <c:v>70.599999999999994</c:v>
                </c:pt>
                <c:pt idx="326">
                  <c:v>70.11</c:v>
                </c:pt>
                <c:pt idx="327">
                  <c:v>69.75</c:v>
                </c:pt>
                <c:pt idx="328">
                  <c:v>68.680000000000007</c:v>
                </c:pt>
                <c:pt idx="329">
                  <c:v>67.709999999999994</c:v>
                </c:pt>
                <c:pt idx="330">
                  <c:v>65.61</c:v>
                </c:pt>
                <c:pt idx="331">
                  <c:v>64.5</c:v>
                </c:pt>
                <c:pt idx="332">
                  <c:v>64.150000000000006</c:v>
                </c:pt>
                <c:pt idx="333">
                  <c:v>62.85</c:v>
                </c:pt>
                <c:pt idx="334">
                  <c:v>62.32</c:v>
                </c:pt>
                <c:pt idx="335">
                  <c:v>61.75</c:v>
                </c:pt>
                <c:pt idx="336">
                  <c:v>60.46</c:v>
                </c:pt>
                <c:pt idx="337">
                  <c:v>60.13</c:v>
                </c:pt>
                <c:pt idx="338">
                  <c:v>58.69</c:v>
                </c:pt>
                <c:pt idx="339">
                  <c:v>58.79</c:v>
                </c:pt>
                <c:pt idx="340">
                  <c:v>58.83</c:v>
                </c:pt>
                <c:pt idx="341">
                  <c:v>58.84</c:v>
                </c:pt>
                <c:pt idx="342">
                  <c:v>57.43</c:v>
                </c:pt>
                <c:pt idx="343">
                  <c:v>56.51</c:v>
                </c:pt>
                <c:pt idx="344">
                  <c:v>56.04</c:v>
                </c:pt>
                <c:pt idx="345">
                  <c:v>55.83</c:v>
                </c:pt>
                <c:pt idx="346">
                  <c:v>55.16</c:v>
                </c:pt>
                <c:pt idx="347">
                  <c:v>54.56</c:v>
                </c:pt>
                <c:pt idx="348">
                  <c:v>55</c:v>
                </c:pt>
                <c:pt idx="349">
                  <c:v>54.82</c:v>
                </c:pt>
                <c:pt idx="350">
                  <c:v>54.83</c:v>
                </c:pt>
                <c:pt idx="351">
                  <c:v>54.27</c:v>
                </c:pt>
                <c:pt idx="352">
                  <c:v>53.77</c:v>
                </c:pt>
                <c:pt idx="353">
                  <c:v>53.9</c:v>
                </c:pt>
                <c:pt idx="354">
                  <c:v>53.72</c:v>
                </c:pt>
                <c:pt idx="355">
                  <c:v>53.63</c:v>
                </c:pt>
                <c:pt idx="356">
                  <c:v>54.07</c:v>
                </c:pt>
                <c:pt idx="357">
                  <c:v>53.72</c:v>
                </c:pt>
                <c:pt idx="358">
                  <c:v>53.73</c:v>
                </c:pt>
                <c:pt idx="359">
                  <c:v>53.77</c:v>
                </c:pt>
                <c:pt idx="360">
                  <c:v>54.07</c:v>
                </c:pt>
                <c:pt idx="361">
                  <c:v>54.33</c:v>
                </c:pt>
                <c:pt idx="362">
                  <c:v>54.35</c:v>
                </c:pt>
                <c:pt idx="363">
                  <c:v>54.36</c:v>
                </c:pt>
                <c:pt idx="364">
                  <c:v>54.47</c:v>
                </c:pt>
                <c:pt idx="365">
                  <c:v>54.83</c:v>
                </c:pt>
                <c:pt idx="366">
                  <c:v>55.52</c:v>
                </c:pt>
                <c:pt idx="367">
                  <c:v>57.07</c:v>
                </c:pt>
                <c:pt idx="368">
                  <c:v>57.36</c:v>
                </c:pt>
                <c:pt idx="369">
                  <c:v>57.41</c:v>
                </c:pt>
                <c:pt idx="370">
                  <c:v>57.67</c:v>
                </c:pt>
                <c:pt idx="371">
                  <c:v>56.36</c:v>
                </c:pt>
                <c:pt idx="372">
                  <c:v>56.12</c:v>
                </c:pt>
                <c:pt idx="373">
                  <c:v>55.36</c:v>
                </c:pt>
                <c:pt idx="374">
                  <c:v>55.53</c:v>
                </c:pt>
                <c:pt idx="375">
                  <c:v>55.68</c:v>
                </c:pt>
                <c:pt idx="376">
                  <c:v>56.12</c:v>
                </c:pt>
                <c:pt idx="377">
                  <c:v>55.35</c:v>
                </c:pt>
                <c:pt idx="378">
                  <c:v>55.88</c:v>
                </c:pt>
                <c:pt idx="379">
                  <c:v>55.79</c:v>
                </c:pt>
                <c:pt idx="380">
                  <c:v>55.24</c:v>
                </c:pt>
                <c:pt idx="381">
                  <c:v>55.29</c:v>
                </c:pt>
                <c:pt idx="382">
                  <c:v>54.06</c:v>
                </c:pt>
                <c:pt idx="383">
                  <c:v>54.28</c:v>
                </c:pt>
                <c:pt idx="384">
                  <c:v>54.52</c:v>
                </c:pt>
                <c:pt idx="385">
                  <c:v>54.57</c:v>
                </c:pt>
                <c:pt idx="386">
                  <c:v>55.04</c:v>
                </c:pt>
                <c:pt idx="387">
                  <c:v>54.68</c:v>
                </c:pt>
                <c:pt idx="388">
                  <c:v>53.74</c:v>
                </c:pt>
                <c:pt idx="389">
                  <c:v>55.06</c:v>
                </c:pt>
                <c:pt idx="390">
                  <c:v>55.28</c:v>
                </c:pt>
                <c:pt idx="391">
                  <c:v>55.12</c:v>
                </c:pt>
                <c:pt idx="392">
                  <c:v>54.71</c:v>
                </c:pt>
                <c:pt idx="393">
                  <c:v>54.92</c:v>
                </c:pt>
                <c:pt idx="394">
                  <c:v>53.62</c:v>
                </c:pt>
                <c:pt idx="395">
                  <c:v>53.75</c:v>
                </c:pt>
                <c:pt idx="396">
                  <c:v>53.22</c:v>
                </c:pt>
                <c:pt idx="397">
                  <c:v>53.47</c:v>
                </c:pt>
                <c:pt idx="398">
                  <c:v>53.19</c:v>
                </c:pt>
                <c:pt idx="399">
                  <c:v>53.13</c:v>
                </c:pt>
                <c:pt idx="400">
                  <c:v>52.96</c:v>
                </c:pt>
                <c:pt idx="401">
                  <c:v>52.97</c:v>
                </c:pt>
                <c:pt idx="402">
                  <c:v>52.65</c:v>
                </c:pt>
                <c:pt idx="403">
                  <c:v>52.84</c:v>
                </c:pt>
                <c:pt idx="404">
                  <c:v>53.26</c:v>
                </c:pt>
                <c:pt idx="405">
                  <c:v>53.33</c:v>
                </c:pt>
                <c:pt idx="406">
                  <c:v>53.19</c:v>
                </c:pt>
                <c:pt idx="407">
                  <c:v>53.22</c:v>
                </c:pt>
                <c:pt idx="408">
                  <c:v>53.55</c:v>
                </c:pt>
                <c:pt idx="409">
                  <c:v>53.65</c:v>
                </c:pt>
                <c:pt idx="410">
                  <c:v>53.47</c:v>
                </c:pt>
                <c:pt idx="411">
                  <c:v>53.96</c:v>
                </c:pt>
                <c:pt idx="412">
                  <c:v>53.56</c:v>
                </c:pt>
                <c:pt idx="413">
                  <c:v>53.38</c:v>
                </c:pt>
                <c:pt idx="414">
                  <c:v>53.44</c:v>
                </c:pt>
                <c:pt idx="415">
                  <c:v>53.5</c:v>
                </c:pt>
                <c:pt idx="416">
                  <c:v>53.7</c:v>
                </c:pt>
                <c:pt idx="417">
                  <c:v>53.54</c:v>
                </c:pt>
                <c:pt idx="418">
                  <c:v>53.88</c:v>
                </c:pt>
                <c:pt idx="419">
                  <c:v>53.82</c:v>
                </c:pt>
                <c:pt idx="420">
                  <c:v>54</c:v>
                </c:pt>
                <c:pt idx="421">
                  <c:v>53.86</c:v>
                </c:pt>
                <c:pt idx="422">
                  <c:v>54.56</c:v>
                </c:pt>
                <c:pt idx="423">
                  <c:v>53.82</c:v>
                </c:pt>
                <c:pt idx="424">
                  <c:v>53.28</c:v>
                </c:pt>
                <c:pt idx="425">
                  <c:v>53.06</c:v>
                </c:pt>
                <c:pt idx="426">
                  <c:v>53.99</c:v>
                </c:pt>
                <c:pt idx="427">
                  <c:v>53.87</c:v>
                </c:pt>
                <c:pt idx="428">
                  <c:v>53.82</c:v>
                </c:pt>
                <c:pt idx="429">
                  <c:v>54.29</c:v>
                </c:pt>
                <c:pt idx="430">
                  <c:v>54.34</c:v>
                </c:pt>
                <c:pt idx="431">
                  <c:v>54.43</c:v>
                </c:pt>
                <c:pt idx="432">
                  <c:v>54.9</c:v>
                </c:pt>
                <c:pt idx="433">
                  <c:v>55.73</c:v>
                </c:pt>
                <c:pt idx="434">
                  <c:v>55.97</c:v>
                </c:pt>
                <c:pt idx="435">
                  <c:v>56.39</c:v>
                </c:pt>
                <c:pt idx="436">
                  <c:v>57.02</c:v>
                </c:pt>
                <c:pt idx="437">
                  <c:v>57.47</c:v>
                </c:pt>
                <c:pt idx="438">
                  <c:v>58.08</c:v>
                </c:pt>
                <c:pt idx="439">
                  <c:v>57.81</c:v>
                </c:pt>
                <c:pt idx="440">
                  <c:v>58.47</c:v>
                </c:pt>
                <c:pt idx="441">
                  <c:v>59.19</c:v>
                </c:pt>
                <c:pt idx="442">
                  <c:v>59.72</c:v>
                </c:pt>
                <c:pt idx="443">
                  <c:v>59.96</c:v>
                </c:pt>
                <c:pt idx="444">
                  <c:v>60.52</c:v>
                </c:pt>
                <c:pt idx="445">
                  <c:v>60.34</c:v>
                </c:pt>
                <c:pt idx="446">
                  <c:v>59.74</c:v>
                </c:pt>
                <c:pt idx="447">
                  <c:v>59.42</c:v>
                </c:pt>
                <c:pt idx="448">
                  <c:v>58.81</c:v>
                </c:pt>
                <c:pt idx="449">
                  <c:v>58.48</c:v>
                </c:pt>
                <c:pt idx="450">
                  <c:v>58.53</c:v>
                </c:pt>
                <c:pt idx="451">
                  <c:v>58.84</c:v>
                </c:pt>
                <c:pt idx="452">
                  <c:v>59</c:v>
                </c:pt>
                <c:pt idx="453">
                  <c:v>58.92</c:v>
                </c:pt>
                <c:pt idx="454">
                  <c:v>58.91</c:v>
                </c:pt>
                <c:pt idx="455">
                  <c:v>58.81</c:v>
                </c:pt>
                <c:pt idx="456">
                  <c:v>58.98</c:v>
                </c:pt>
                <c:pt idx="457">
                  <c:v>59.25</c:v>
                </c:pt>
                <c:pt idx="458">
                  <c:v>60.02</c:v>
                </c:pt>
                <c:pt idx="459">
                  <c:v>60.03</c:v>
                </c:pt>
                <c:pt idx="460">
                  <c:v>59.99</c:v>
                </c:pt>
                <c:pt idx="461">
                  <c:v>60.05</c:v>
                </c:pt>
                <c:pt idx="462">
                  <c:v>59.46</c:v>
                </c:pt>
                <c:pt idx="463">
                  <c:v>59.36</c:v>
                </c:pt>
                <c:pt idx="464">
                  <c:v>59.51</c:v>
                </c:pt>
                <c:pt idx="465">
                  <c:v>59.87</c:v>
                </c:pt>
                <c:pt idx="466">
                  <c:v>59.67</c:v>
                </c:pt>
                <c:pt idx="467">
                  <c:v>60.15</c:v>
                </c:pt>
                <c:pt idx="468">
                  <c:v>61.14</c:v>
                </c:pt>
                <c:pt idx="469">
                  <c:v>60.74</c:v>
                </c:pt>
                <c:pt idx="470">
                  <c:v>60.76</c:v>
                </c:pt>
                <c:pt idx="471">
                  <c:v>61.11</c:v>
                </c:pt>
                <c:pt idx="472">
                  <c:v>61.16</c:v>
                </c:pt>
                <c:pt idx="473">
                  <c:v>61.18</c:v>
                </c:pt>
                <c:pt idx="474">
                  <c:v>60.96</c:v>
                </c:pt>
                <c:pt idx="475">
                  <c:v>61.51</c:v>
                </c:pt>
                <c:pt idx="476">
                  <c:v>61.92</c:v>
                </c:pt>
                <c:pt idx="477">
                  <c:v>61.63</c:v>
                </c:pt>
                <c:pt idx="478">
                  <c:v>62.74</c:v>
                </c:pt>
                <c:pt idx="479">
                  <c:v>62.63</c:v>
                </c:pt>
                <c:pt idx="480">
                  <c:v>63.29</c:v>
                </c:pt>
                <c:pt idx="481">
                  <c:v>64.67</c:v>
                </c:pt>
                <c:pt idx="482">
                  <c:v>64.91</c:v>
                </c:pt>
                <c:pt idx="483">
                  <c:v>65.790000000000006</c:v>
                </c:pt>
                <c:pt idx="484">
                  <c:v>65.94</c:v>
                </c:pt>
                <c:pt idx="485">
                  <c:v>67.260000000000005</c:v>
                </c:pt>
                <c:pt idx="486">
                  <c:v>67.5</c:v>
                </c:pt>
                <c:pt idx="487">
                  <c:v>68.13</c:v>
                </c:pt>
                <c:pt idx="488">
                  <c:v>68.209999999999994</c:v>
                </c:pt>
                <c:pt idx="489">
                  <c:v>67.569999999999993</c:v>
                </c:pt>
                <c:pt idx="490">
                  <c:v>67.56</c:v>
                </c:pt>
                <c:pt idx="491">
                  <c:v>67.42</c:v>
                </c:pt>
                <c:pt idx="492">
                  <c:v>67.55</c:v>
                </c:pt>
                <c:pt idx="493">
                  <c:v>67.59</c:v>
                </c:pt>
                <c:pt idx="494">
                  <c:v>67.56</c:v>
                </c:pt>
                <c:pt idx="495">
                  <c:v>67.84</c:v>
                </c:pt>
                <c:pt idx="496">
                  <c:v>68.02</c:v>
                </c:pt>
                <c:pt idx="497">
                  <c:v>69.209999999999994</c:v>
                </c:pt>
                <c:pt idx="498">
                  <c:v>69.75</c:v>
                </c:pt>
                <c:pt idx="499">
                  <c:v>69.77</c:v>
                </c:pt>
                <c:pt idx="500">
                  <c:v>71.319999999999993</c:v>
                </c:pt>
                <c:pt idx="501">
                  <c:v>70.47</c:v>
                </c:pt>
                <c:pt idx="502">
                  <c:v>70.12</c:v>
                </c:pt>
                <c:pt idx="503">
                  <c:v>70.239999999999995</c:v>
                </c:pt>
                <c:pt idx="504">
                  <c:v>69.3</c:v>
                </c:pt>
                <c:pt idx="505">
                  <c:v>68</c:v>
                </c:pt>
                <c:pt idx="506">
                  <c:v>67.239999999999995</c:v>
                </c:pt>
                <c:pt idx="507">
                  <c:v>66.08</c:v>
                </c:pt>
                <c:pt idx="508">
                  <c:v>65.53</c:v>
                </c:pt>
                <c:pt idx="509">
                  <c:v>64.8</c:v>
                </c:pt>
                <c:pt idx="510">
                  <c:v>64.09</c:v>
                </c:pt>
                <c:pt idx="511">
                  <c:v>63</c:v>
                </c:pt>
                <c:pt idx="512">
                  <c:v>62.28</c:v>
                </c:pt>
                <c:pt idx="513">
                  <c:v>62.11</c:v>
                </c:pt>
                <c:pt idx="514">
                  <c:v>62.64</c:v>
                </c:pt>
                <c:pt idx="515">
                  <c:v>62.24</c:v>
                </c:pt>
                <c:pt idx="516">
                  <c:v>61.95</c:v>
                </c:pt>
                <c:pt idx="517">
                  <c:v>62.15</c:v>
                </c:pt>
                <c:pt idx="518">
                  <c:v>62.81</c:v>
                </c:pt>
                <c:pt idx="519">
                  <c:v>62.34</c:v>
                </c:pt>
                <c:pt idx="520">
                  <c:v>61.45</c:v>
                </c:pt>
                <c:pt idx="521">
                  <c:v>62.13</c:v>
                </c:pt>
                <c:pt idx="522">
                  <c:v>62.72</c:v>
                </c:pt>
                <c:pt idx="523">
                  <c:v>62.82</c:v>
                </c:pt>
                <c:pt idx="524">
                  <c:v>63.28</c:v>
                </c:pt>
                <c:pt idx="525">
                  <c:v>62.71</c:v>
                </c:pt>
                <c:pt idx="526">
                  <c:v>62.17</c:v>
                </c:pt>
                <c:pt idx="527">
                  <c:v>62.13</c:v>
                </c:pt>
                <c:pt idx="528">
                  <c:v>62.12</c:v>
                </c:pt>
                <c:pt idx="529">
                  <c:v>62.47</c:v>
                </c:pt>
                <c:pt idx="530">
                  <c:v>62.57</c:v>
                </c:pt>
                <c:pt idx="531">
                  <c:v>62.85</c:v>
                </c:pt>
                <c:pt idx="532">
                  <c:v>63.11</c:v>
                </c:pt>
                <c:pt idx="533">
                  <c:v>62.87</c:v>
                </c:pt>
                <c:pt idx="534">
                  <c:v>63.06</c:v>
                </c:pt>
                <c:pt idx="535">
                  <c:v>63.11</c:v>
                </c:pt>
                <c:pt idx="536">
                  <c:v>62.91</c:v>
                </c:pt>
                <c:pt idx="537">
                  <c:v>62.3</c:v>
                </c:pt>
                <c:pt idx="538">
                  <c:v>62.23</c:v>
                </c:pt>
                <c:pt idx="539">
                  <c:v>62.72</c:v>
                </c:pt>
                <c:pt idx="540">
                  <c:v>63.01</c:v>
                </c:pt>
                <c:pt idx="541">
                  <c:v>62.77</c:v>
                </c:pt>
                <c:pt idx="542">
                  <c:v>62.75</c:v>
                </c:pt>
                <c:pt idx="543">
                  <c:v>62.84</c:v>
                </c:pt>
                <c:pt idx="544">
                  <c:v>62.87</c:v>
                </c:pt>
                <c:pt idx="545">
                  <c:v>62.9</c:v>
                </c:pt>
                <c:pt idx="546">
                  <c:v>63.07</c:v>
                </c:pt>
                <c:pt idx="547">
                  <c:v>63</c:v>
                </c:pt>
                <c:pt idx="548">
                  <c:v>63.24</c:v>
                </c:pt>
                <c:pt idx="549">
                  <c:v>63.17</c:v>
                </c:pt>
                <c:pt idx="550">
                  <c:v>62.87</c:v>
                </c:pt>
                <c:pt idx="551">
                  <c:v>62.86</c:v>
                </c:pt>
                <c:pt idx="552">
                  <c:v>62.75</c:v>
                </c:pt>
                <c:pt idx="553">
                  <c:v>62.62</c:v>
                </c:pt>
                <c:pt idx="554">
                  <c:v>62.45</c:v>
                </c:pt>
                <c:pt idx="555">
                  <c:v>62.6</c:v>
                </c:pt>
                <c:pt idx="556">
                  <c:v>62.3</c:v>
                </c:pt>
                <c:pt idx="557">
                  <c:v>61.82</c:v>
                </c:pt>
                <c:pt idx="558">
                  <c:v>61.78</c:v>
                </c:pt>
                <c:pt idx="559">
                  <c:v>61.71</c:v>
                </c:pt>
                <c:pt idx="560">
                  <c:v>61.57</c:v>
                </c:pt>
                <c:pt idx="561">
                  <c:v>61.49</c:v>
                </c:pt>
                <c:pt idx="562">
                  <c:v>61.48</c:v>
                </c:pt>
                <c:pt idx="563">
                  <c:v>60.99</c:v>
                </c:pt>
                <c:pt idx="564">
                  <c:v>60.62</c:v>
                </c:pt>
                <c:pt idx="565">
                  <c:v>60.14</c:v>
                </c:pt>
                <c:pt idx="566">
                  <c:v>59.83</c:v>
                </c:pt>
                <c:pt idx="567">
                  <c:v>59.53</c:v>
                </c:pt>
                <c:pt idx="568">
                  <c:v>59.62</c:v>
                </c:pt>
                <c:pt idx="569">
                  <c:v>59.7</c:v>
                </c:pt>
                <c:pt idx="570">
                  <c:v>59.74</c:v>
                </c:pt>
                <c:pt idx="571">
                  <c:v>59.41</c:v>
                </c:pt>
                <c:pt idx="572">
                  <c:v>59.29</c:v>
                </c:pt>
                <c:pt idx="573">
                  <c:v>59.11</c:v>
                </c:pt>
                <c:pt idx="574">
                  <c:v>58.76</c:v>
                </c:pt>
                <c:pt idx="575">
                  <c:v>58.49</c:v>
                </c:pt>
                <c:pt idx="576">
                  <c:v>58.27</c:v>
                </c:pt>
                <c:pt idx="577">
                  <c:v>58.01</c:v>
                </c:pt>
                <c:pt idx="578">
                  <c:v>58.09</c:v>
                </c:pt>
                <c:pt idx="579">
                  <c:v>58.11</c:v>
                </c:pt>
                <c:pt idx="580">
                  <c:v>57.93</c:v>
                </c:pt>
                <c:pt idx="581">
                  <c:v>57.56</c:v>
                </c:pt>
                <c:pt idx="582">
                  <c:v>58.1</c:v>
                </c:pt>
                <c:pt idx="583">
                  <c:v>58.2</c:v>
                </c:pt>
                <c:pt idx="584">
                  <c:v>58.16</c:v>
                </c:pt>
                <c:pt idx="585">
                  <c:v>58.1</c:v>
                </c:pt>
                <c:pt idx="586">
                  <c:v>58.19</c:v>
                </c:pt>
                <c:pt idx="587">
                  <c:v>58.88</c:v>
                </c:pt>
                <c:pt idx="588">
                  <c:v>58.83</c:v>
                </c:pt>
                <c:pt idx="589">
                  <c:v>58.67</c:v>
                </c:pt>
                <c:pt idx="590">
                  <c:v>58.96</c:v>
                </c:pt>
                <c:pt idx="591">
                  <c:v>58.85</c:v>
                </c:pt>
                <c:pt idx="592">
                  <c:v>59.13</c:v>
                </c:pt>
                <c:pt idx="593">
                  <c:v>59.68</c:v>
                </c:pt>
                <c:pt idx="594">
                  <c:v>59.48</c:v>
                </c:pt>
                <c:pt idx="595">
                  <c:v>59.36</c:v>
                </c:pt>
                <c:pt idx="596">
                  <c:v>59.77</c:v>
                </c:pt>
                <c:pt idx="597">
                  <c:v>59.74</c:v>
                </c:pt>
                <c:pt idx="598">
                  <c:v>59.67</c:v>
                </c:pt>
                <c:pt idx="599">
                  <c:v>59.43</c:v>
                </c:pt>
                <c:pt idx="600">
                  <c:v>59.29</c:v>
                </c:pt>
                <c:pt idx="601">
                  <c:v>59.36</c:v>
                </c:pt>
                <c:pt idx="602">
                  <c:v>58.95</c:v>
                </c:pt>
                <c:pt idx="603">
                  <c:v>58.58</c:v>
                </c:pt>
                <c:pt idx="604">
                  <c:v>58.55</c:v>
                </c:pt>
                <c:pt idx="605">
                  <c:v>58.27</c:v>
                </c:pt>
                <c:pt idx="606">
                  <c:v>57.85</c:v>
                </c:pt>
                <c:pt idx="607">
                  <c:v>58.22</c:v>
                </c:pt>
                <c:pt idx="608">
                  <c:v>57.94</c:v>
                </c:pt>
                <c:pt idx="609">
                  <c:v>57.51</c:v>
                </c:pt>
                <c:pt idx="610">
                  <c:v>57.53</c:v>
                </c:pt>
                <c:pt idx="611">
                  <c:v>57.77</c:v>
                </c:pt>
                <c:pt idx="612">
                  <c:v>57.72</c:v>
                </c:pt>
                <c:pt idx="613">
                  <c:v>57.71</c:v>
                </c:pt>
                <c:pt idx="614">
                  <c:v>58.06</c:v>
                </c:pt>
                <c:pt idx="615">
                  <c:v>58.15</c:v>
                </c:pt>
                <c:pt idx="616">
                  <c:v>58.13</c:v>
                </c:pt>
                <c:pt idx="617">
                  <c:v>57.26</c:v>
                </c:pt>
                <c:pt idx="618">
                  <c:v>56.88</c:v>
                </c:pt>
                <c:pt idx="619">
                  <c:v>57.37</c:v>
                </c:pt>
                <c:pt idx="620">
                  <c:v>57.54</c:v>
                </c:pt>
                <c:pt idx="621">
                  <c:v>57.22</c:v>
                </c:pt>
                <c:pt idx="622">
                  <c:v>57.32</c:v>
                </c:pt>
                <c:pt idx="623">
                  <c:v>56.87</c:v>
                </c:pt>
                <c:pt idx="624">
                  <c:v>56.4</c:v>
                </c:pt>
                <c:pt idx="625">
                  <c:v>56.12</c:v>
                </c:pt>
                <c:pt idx="626">
                  <c:v>56.11</c:v>
                </c:pt>
                <c:pt idx="627">
                  <c:v>56.14</c:v>
                </c:pt>
                <c:pt idx="628">
                  <c:v>56.21</c:v>
                </c:pt>
                <c:pt idx="629">
                  <c:v>55.84</c:v>
                </c:pt>
                <c:pt idx="630">
                  <c:v>56.49</c:v>
                </c:pt>
                <c:pt idx="631">
                  <c:v>56.7</c:v>
                </c:pt>
                <c:pt idx="632">
                  <c:v>56.35</c:v>
                </c:pt>
                <c:pt idx="633">
                  <c:v>56.33</c:v>
                </c:pt>
                <c:pt idx="634">
                  <c:v>56.17</c:v>
                </c:pt>
                <c:pt idx="635">
                  <c:v>57.24</c:v>
                </c:pt>
                <c:pt idx="636">
                  <c:v>57.48</c:v>
                </c:pt>
                <c:pt idx="637">
                  <c:v>57.56</c:v>
                </c:pt>
                <c:pt idx="638">
                  <c:v>58.41</c:v>
                </c:pt>
                <c:pt idx="639">
                  <c:v>58.56</c:v>
                </c:pt>
                <c:pt idx="640">
                  <c:v>58.91</c:v>
                </c:pt>
                <c:pt idx="641">
                  <c:v>58.81</c:v>
                </c:pt>
                <c:pt idx="642">
                  <c:v>58.45</c:v>
                </c:pt>
                <c:pt idx="643">
                  <c:v>58.35</c:v>
                </c:pt>
                <c:pt idx="644">
                  <c:v>59.2</c:v>
                </c:pt>
                <c:pt idx="645">
                  <c:v>59.44</c:v>
                </c:pt>
                <c:pt idx="646">
                  <c:v>59.34</c:v>
                </c:pt>
                <c:pt idx="647">
                  <c:v>59.14</c:v>
                </c:pt>
                <c:pt idx="648">
                  <c:v>59.19</c:v>
                </c:pt>
                <c:pt idx="649">
                  <c:v>59.2</c:v>
                </c:pt>
                <c:pt idx="650">
                  <c:v>59.02</c:v>
                </c:pt>
                <c:pt idx="651">
                  <c:v>58.86</c:v>
                </c:pt>
                <c:pt idx="652">
                  <c:v>59.07</c:v>
                </c:pt>
                <c:pt idx="653">
                  <c:v>59.22</c:v>
                </c:pt>
                <c:pt idx="654">
                  <c:v>59.39</c:v>
                </c:pt>
                <c:pt idx="655">
                  <c:v>59.01</c:v>
                </c:pt>
                <c:pt idx="656">
                  <c:v>59.75</c:v>
                </c:pt>
                <c:pt idx="657">
                  <c:v>59.83</c:v>
                </c:pt>
                <c:pt idx="658">
                  <c:v>59.69</c:v>
                </c:pt>
                <c:pt idx="659">
                  <c:v>59.89</c:v>
                </c:pt>
                <c:pt idx="660">
                  <c:v>60.12</c:v>
                </c:pt>
                <c:pt idx="661">
                  <c:v>60.02</c:v>
                </c:pt>
                <c:pt idx="662">
                  <c:v>59.74</c:v>
                </c:pt>
                <c:pt idx="663">
                  <c:v>59.98</c:v>
                </c:pt>
                <c:pt idx="664">
                  <c:v>59.92</c:v>
                </c:pt>
                <c:pt idx="665">
                  <c:v>60.27</c:v>
                </c:pt>
                <c:pt idx="666">
                  <c:v>60.59</c:v>
                </c:pt>
                <c:pt idx="667">
                  <c:v>60.7</c:v>
                </c:pt>
                <c:pt idx="668">
                  <c:v>61.14</c:v>
                </c:pt>
                <c:pt idx="669">
                  <c:v>61.57</c:v>
                </c:pt>
                <c:pt idx="670">
                  <c:v>61.89</c:v>
                </c:pt>
                <c:pt idx="671">
                  <c:v>62.17</c:v>
                </c:pt>
                <c:pt idx="672">
                  <c:v>62.33</c:v>
                </c:pt>
                <c:pt idx="673">
                  <c:v>62.82</c:v>
                </c:pt>
                <c:pt idx="674">
                  <c:v>63.42</c:v>
                </c:pt>
                <c:pt idx="675">
                  <c:v>63.5</c:v>
                </c:pt>
                <c:pt idx="676">
                  <c:v>62.74</c:v>
                </c:pt>
                <c:pt idx="677">
                  <c:v>62.42</c:v>
                </c:pt>
                <c:pt idx="678">
                  <c:v>62.02</c:v>
                </c:pt>
                <c:pt idx="679">
                  <c:v>62.34</c:v>
                </c:pt>
                <c:pt idx="680">
                  <c:v>62.31</c:v>
                </c:pt>
                <c:pt idx="681">
                  <c:v>62.2</c:v>
                </c:pt>
                <c:pt idx="682">
                  <c:v>62.69</c:v>
                </c:pt>
                <c:pt idx="683">
                  <c:v>63.24</c:v>
                </c:pt>
                <c:pt idx="684">
                  <c:v>63.34</c:v>
                </c:pt>
                <c:pt idx="685">
                  <c:v>63.57</c:v>
                </c:pt>
                <c:pt idx="686">
                  <c:v>63.88</c:v>
                </c:pt>
                <c:pt idx="687">
                  <c:v>64.3</c:v>
                </c:pt>
                <c:pt idx="688">
                  <c:v>65.040000000000006</c:v>
                </c:pt>
                <c:pt idx="689">
                  <c:v>65.52</c:v>
                </c:pt>
                <c:pt idx="690">
                  <c:v>65.709999999999994</c:v>
                </c:pt>
                <c:pt idx="691">
                  <c:v>66.209999999999994</c:v>
                </c:pt>
                <c:pt idx="692">
                  <c:v>66.05</c:v>
                </c:pt>
                <c:pt idx="693">
                  <c:v>66.209999999999994</c:v>
                </c:pt>
                <c:pt idx="694">
                  <c:v>67.069999999999993</c:v>
                </c:pt>
                <c:pt idx="695">
                  <c:v>67.69</c:v>
                </c:pt>
                <c:pt idx="696">
                  <c:v>67.75</c:v>
                </c:pt>
                <c:pt idx="697">
                  <c:v>67.81</c:v>
                </c:pt>
                <c:pt idx="698">
                  <c:v>67.959999999999994</c:v>
                </c:pt>
                <c:pt idx="699">
                  <c:v>68.44</c:v>
                </c:pt>
                <c:pt idx="700">
                  <c:v>68.42</c:v>
                </c:pt>
                <c:pt idx="701">
                  <c:v>68.77</c:v>
                </c:pt>
                <c:pt idx="702">
                  <c:v>69.760000000000005</c:v>
                </c:pt>
                <c:pt idx="703">
                  <c:v>69.94</c:v>
                </c:pt>
                <c:pt idx="704">
                  <c:v>70.59</c:v>
                </c:pt>
                <c:pt idx="705">
                  <c:v>71.36</c:v>
                </c:pt>
                <c:pt idx="706">
                  <c:v>71.67</c:v>
                </c:pt>
                <c:pt idx="707">
                  <c:v>72.17</c:v>
                </c:pt>
                <c:pt idx="708">
                  <c:v>72.37</c:v>
                </c:pt>
                <c:pt idx="709">
                  <c:v>72.67</c:v>
                </c:pt>
                <c:pt idx="710">
                  <c:v>72.94</c:v>
                </c:pt>
                <c:pt idx="711">
                  <c:v>73.11</c:v>
                </c:pt>
                <c:pt idx="712">
                  <c:v>72.930000000000007</c:v>
                </c:pt>
                <c:pt idx="713">
                  <c:v>73.069999999999993</c:v>
                </c:pt>
                <c:pt idx="714">
                  <c:v>74.209999999999994</c:v>
                </c:pt>
                <c:pt idx="715">
                  <c:v>74.41</c:v>
                </c:pt>
                <c:pt idx="716">
                  <c:v>74.64</c:v>
                </c:pt>
                <c:pt idx="717">
                  <c:v>74.55</c:v>
                </c:pt>
                <c:pt idx="718">
                  <c:v>74.37</c:v>
                </c:pt>
                <c:pt idx="719">
                  <c:v>74.45</c:v>
                </c:pt>
                <c:pt idx="720">
                  <c:v>74.67</c:v>
                </c:pt>
                <c:pt idx="721">
                  <c:v>74.66</c:v>
                </c:pt>
                <c:pt idx="722">
                  <c:v>73.55</c:v>
                </c:pt>
                <c:pt idx="723">
                  <c:v>73.459999999999994</c:v>
                </c:pt>
                <c:pt idx="724">
                  <c:v>73.41</c:v>
                </c:pt>
                <c:pt idx="725">
                  <c:v>73.48</c:v>
                </c:pt>
                <c:pt idx="726">
                  <c:v>73.12</c:v>
                </c:pt>
                <c:pt idx="727">
                  <c:v>72.510000000000005</c:v>
                </c:pt>
                <c:pt idx="728">
                  <c:v>72.459999999999994</c:v>
                </c:pt>
                <c:pt idx="729">
                  <c:v>72.77</c:v>
                </c:pt>
                <c:pt idx="730">
                  <c:v>72.69</c:v>
                </c:pt>
                <c:pt idx="731">
                  <c:v>72.569999999999993</c:v>
                </c:pt>
                <c:pt idx="732">
                  <c:v>72.47</c:v>
                </c:pt>
                <c:pt idx="733">
                  <c:v>73.09</c:v>
                </c:pt>
                <c:pt idx="734">
                  <c:v>73.2</c:v>
                </c:pt>
                <c:pt idx="735">
                  <c:v>73.540000000000006</c:v>
                </c:pt>
                <c:pt idx="736">
                  <c:v>73.62</c:v>
                </c:pt>
                <c:pt idx="737">
                  <c:v>73.67</c:v>
                </c:pt>
                <c:pt idx="738">
                  <c:v>73.25</c:v>
                </c:pt>
                <c:pt idx="739">
                  <c:v>72.930000000000007</c:v>
                </c:pt>
                <c:pt idx="740">
                  <c:v>72.89</c:v>
                </c:pt>
                <c:pt idx="741">
                  <c:v>72.73</c:v>
                </c:pt>
                <c:pt idx="742">
                  <c:v>72.739999999999995</c:v>
                </c:pt>
                <c:pt idx="743">
                  <c:v>72.45</c:v>
                </c:pt>
                <c:pt idx="744">
                  <c:v>72.73</c:v>
                </c:pt>
                <c:pt idx="745">
                  <c:v>72.84</c:v>
                </c:pt>
                <c:pt idx="746">
                  <c:v>72.69</c:v>
                </c:pt>
                <c:pt idx="747">
                  <c:v>72.650000000000006</c:v>
                </c:pt>
                <c:pt idx="748">
                  <c:v>72.69</c:v>
                </c:pt>
                <c:pt idx="749">
                  <c:v>72.94</c:v>
                </c:pt>
                <c:pt idx="750">
                  <c:v>72.989999999999995</c:v>
                </c:pt>
                <c:pt idx="751">
                  <c:v>73.14</c:v>
                </c:pt>
                <c:pt idx="752">
                  <c:v>73.98</c:v>
                </c:pt>
                <c:pt idx="753">
                  <c:v>74.23</c:v>
                </c:pt>
                <c:pt idx="754">
                  <c:v>74.319999999999993</c:v>
                </c:pt>
                <c:pt idx="755">
                  <c:v>74.91</c:v>
                </c:pt>
                <c:pt idx="756">
                  <c:v>74.92</c:v>
                </c:pt>
                <c:pt idx="757">
                  <c:v>74.69</c:v>
                </c:pt>
                <c:pt idx="758">
                  <c:v>74.97</c:v>
                </c:pt>
                <c:pt idx="759">
                  <c:v>74.42</c:v>
                </c:pt>
                <c:pt idx="760">
                  <c:v>74.25</c:v>
                </c:pt>
                <c:pt idx="761">
                  <c:v>73.849999999999994</c:v>
                </c:pt>
                <c:pt idx="762">
                  <c:v>74.02</c:v>
                </c:pt>
                <c:pt idx="763">
                  <c:v>74.099999999999994</c:v>
                </c:pt>
                <c:pt idx="764">
                  <c:v>73.88</c:v>
                </c:pt>
                <c:pt idx="765">
                  <c:v>73.86</c:v>
                </c:pt>
                <c:pt idx="766">
                  <c:v>74.040000000000006</c:v>
                </c:pt>
                <c:pt idx="767">
                  <c:v>74.05</c:v>
                </c:pt>
                <c:pt idx="768">
                  <c:v>74.489999999999995</c:v>
                </c:pt>
                <c:pt idx="769">
                  <c:v>74.790000000000006</c:v>
                </c:pt>
                <c:pt idx="770">
                  <c:v>74.989999999999995</c:v>
                </c:pt>
                <c:pt idx="771">
                  <c:v>75.319999999999993</c:v>
                </c:pt>
                <c:pt idx="772">
                  <c:v>75.599999999999994</c:v>
                </c:pt>
                <c:pt idx="773">
                  <c:v>76.040000000000006</c:v>
                </c:pt>
                <c:pt idx="774">
                  <c:v>76.42</c:v>
                </c:pt>
                <c:pt idx="775">
                  <c:v>77.239999999999995</c:v>
                </c:pt>
                <c:pt idx="776">
                  <c:v>77.260000000000005</c:v>
                </c:pt>
                <c:pt idx="777">
                  <c:v>77.959999999999994</c:v>
                </c:pt>
                <c:pt idx="778">
                  <c:v>79</c:v>
                </c:pt>
                <c:pt idx="779">
                  <c:v>79.12</c:v>
                </c:pt>
                <c:pt idx="780">
                  <c:v>79.86</c:v>
                </c:pt>
                <c:pt idx="781">
                  <c:v>79.62</c:v>
                </c:pt>
                <c:pt idx="782">
                  <c:v>78.91</c:v>
                </c:pt>
                <c:pt idx="783">
                  <c:v>81.260000000000005</c:v>
                </c:pt>
                <c:pt idx="784">
                  <c:v>83.62</c:v>
                </c:pt>
                <c:pt idx="785">
                  <c:v>84.19</c:v>
                </c:pt>
                <c:pt idx="786">
                  <c:v>84.85</c:v>
                </c:pt>
                <c:pt idx="787">
                  <c:v>86.67</c:v>
                </c:pt>
                <c:pt idx="788">
                  <c:v>87.18</c:v>
                </c:pt>
                <c:pt idx="789">
                  <c:v>87.68</c:v>
                </c:pt>
                <c:pt idx="790">
                  <c:v>87.49</c:v>
                </c:pt>
                <c:pt idx="791">
                  <c:v>87.67</c:v>
                </c:pt>
                <c:pt idx="792">
                  <c:v>87.85</c:v>
                </c:pt>
                <c:pt idx="793">
                  <c:v>88.71</c:v>
                </c:pt>
                <c:pt idx="794">
                  <c:v>88.52</c:v>
                </c:pt>
                <c:pt idx="795">
                  <c:v>89.08</c:v>
                </c:pt>
                <c:pt idx="796">
                  <c:v>89.39</c:v>
                </c:pt>
                <c:pt idx="797">
                  <c:v>89.88</c:v>
                </c:pt>
                <c:pt idx="798">
                  <c:v>89.83</c:v>
                </c:pt>
                <c:pt idx="799">
                  <c:v>90.26</c:v>
                </c:pt>
                <c:pt idx="800">
                  <c:v>90.33</c:v>
                </c:pt>
                <c:pt idx="801">
                  <c:v>90.18</c:v>
                </c:pt>
                <c:pt idx="802">
                  <c:v>90.08</c:v>
                </c:pt>
                <c:pt idx="803">
                  <c:v>90.14</c:v>
                </c:pt>
                <c:pt idx="804">
                  <c:v>89.74</c:v>
                </c:pt>
                <c:pt idx="805">
                  <c:v>89.12</c:v>
                </c:pt>
                <c:pt idx="806">
                  <c:v>88.94</c:v>
                </c:pt>
                <c:pt idx="807">
                  <c:v>87.92</c:v>
                </c:pt>
                <c:pt idx="808">
                  <c:v>87.87</c:v>
                </c:pt>
                <c:pt idx="809">
                  <c:v>87.71</c:v>
                </c:pt>
                <c:pt idx="810">
                  <c:v>86.62</c:v>
                </c:pt>
                <c:pt idx="811">
                  <c:v>85.97</c:v>
                </c:pt>
                <c:pt idx="812">
                  <c:v>84.82</c:v>
                </c:pt>
                <c:pt idx="813">
                  <c:v>84.63</c:v>
                </c:pt>
                <c:pt idx="814">
                  <c:v>84.83</c:v>
                </c:pt>
                <c:pt idx="815">
                  <c:v>85.25</c:v>
                </c:pt>
                <c:pt idx="816">
                  <c:v>85.72</c:v>
                </c:pt>
                <c:pt idx="817">
                  <c:v>85.57</c:v>
                </c:pt>
                <c:pt idx="818">
                  <c:v>84.98</c:v>
                </c:pt>
                <c:pt idx="819">
                  <c:v>85.3</c:v>
                </c:pt>
                <c:pt idx="820">
                  <c:v>84.71</c:v>
                </c:pt>
                <c:pt idx="821">
                  <c:v>83.78</c:v>
                </c:pt>
                <c:pt idx="822">
                  <c:v>83.49</c:v>
                </c:pt>
                <c:pt idx="823">
                  <c:v>82.57</c:v>
                </c:pt>
                <c:pt idx="824">
                  <c:v>81.97</c:v>
                </c:pt>
                <c:pt idx="825">
                  <c:v>81.599999999999994</c:v>
                </c:pt>
                <c:pt idx="826">
                  <c:v>80.540000000000006</c:v>
                </c:pt>
                <c:pt idx="827">
                  <c:v>80.489999999999995</c:v>
                </c:pt>
                <c:pt idx="828">
                  <c:v>80.37</c:v>
                </c:pt>
                <c:pt idx="829">
                  <c:v>80.13</c:v>
                </c:pt>
                <c:pt idx="830">
                  <c:v>79.069999999999993</c:v>
                </c:pt>
                <c:pt idx="831">
                  <c:v>79.05</c:v>
                </c:pt>
                <c:pt idx="832">
                  <c:v>77.61</c:v>
                </c:pt>
                <c:pt idx="833">
                  <c:v>76.38</c:v>
                </c:pt>
                <c:pt idx="834">
                  <c:v>75.930000000000007</c:v>
                </c:pt>
                <c:pt idx="835">
                  <c:v>75.069999999999993</c:v>
                </c:pt>
                <c:pt idx="836">
                  <c:v>74.34</c:v>
                </c:pt>
                <c:pt idx="837">
                  <c:v>73.569999999999993</c:v>
                </c:pt>
                <c:pt idx="838">
                  <c:v>73.12</c:v>
                </c:pt>
                <c:pt idx="839">
                  <c:v>73.069999999999993</c:v>
                </c:pt>
                <c:pt idx="840">
                  <c:v>72.930000000000007</c:v>
                </c:pt>
                <c:pt idx="841">
                  <c:v>72.680000000000007</c:v>
                </c:pt>
                <c:pt idx="842">
                  <c:v>72.59</c:v>
                </c:pt>
                <c:pt idx="843">
                  <c:v>72.03</c:v>
                </c:pt>
                <c:pt idx="844">
                  <c:v>71.22</c:v>
                </c:pt>
                <c:pt idx="845">
                  <c:v>71.13</c:v>
                </c:pt>
                <c:pt idx="846">
                  <c:v>71.239999999999995</c:v>
                </c:pt>
                <c:pt idx="847">
                  <c:v>70.819999999999993</c:v>
                </c:pt>
                <c:pt idx="848">
                  <c:v>69.42</c:v>
                </c:pt>
                <c:pt idx="849">
                  <c:v>69.17</c:v>
                </c:pt>
                <c:pt idx="850">
                  <c:v>68.95</c:v>
                </c:pt>
                <c:pt idx="851">
                  <c:v>68.849999999999994</c:v>
                </c:pt>
                <c:pt idx="852">
                  <c:v>68.89</c:v>
                </c:pt>
                <c:pt idx="853">
                  <c:v>69.02</c:v>
                </c:pt>
                <c:pt idx="854">
                  <c:v>68.959999999999994</c:v>
                </c:pt>
                <c:pt idx="855">
                  <c:v>69.53</c:v>
                </c:pt>
                <c:pt idx="856">
                  <c:v>68.790000000000006</c:v>
                </c:pt>
                <c:pt idx="857">
                  <c:v>67.73</c:v>
                </c:pt>
                <c:pt idx="858">
                  <c:v>67.97</c:v>
                </c:pt>
                <c:pt idx="859">
                  <c:v>67.64</c:v>
                </c:pt>
                <c:pt idx="860">
                  <c:v>67.61</c:v>
                </c:pt>
                <c:pt idx="861">
                  <c:v>67.5</c:v>
                </c:pt>
                <c:pt idx="862">
                  <c:v>67.36</c:v>
                </c:pt>
                <c:pt idx="863">
                  <c:v>68.069999999999993</c:v>
                </c:pt>
                <c:pt idx="864">
                  <c:v>68.11</c:v>
                </c:pt>
                <c:pt idx="865">
                  <c:v>68.430000000000007</c:v>
                </c:pt>
                <c:pt idx="866">
                  <c:v>68.27</c:v>
                </c:pt>
                <c:pt idx="867">
                  <c:v>68.040000000000006</c:v>
                </c:pt>
                <c:pt idx="868">
                  <c:v>67.58</c:v>
                </c:pt>
                <c:pt idx="869">
                  <c:v>67.650000000000006</c:v>
                </c:pt>
                <c:pt idx="870">
                  <c:v>67.02</c:v>
                </c:pt>
                <c:pt idx="871">
                  <c:v>65.680000000000007</c:v>
                </c:pt>
                <c:pt idx="872">
                  <c:v>65.25</c:v>
                </c:pt>
                <c:pt idx="873">
                  <c:v>64.150000000000006</c:v>
                </c:pt>
                <c:pt idx="874">
                  <c:v>64.05</c:v>
                </c:pt>
                <c:pt idx="875">
                  <c:v>63.44</c:v>
                </c:pt>
                <c:pt idx="876">
                  <c:v>63.35</c:v>
                </c:pt>
                <c:pt idx="877">
                  <c:v>63.19</c:v>
                </c:pt>
                <c:pt idx="878">
                  <c:v>62.98</c:v>
                </c:pt>
                <c:pt idx="879">
                  <c:v>62.91</c:v>
                </c:pt>
                <c:pt idx="880">
                  <c:v>62.73</c:v>
                </c:pt>
                <c:pt idx="881">
                  <c:v>62.78</c:v>
                </c:pt>
                <c:pt idx="882">
                  <c:v>62.84</c:v>
                </c:pt>
                <c:pt idx="883">
                  <c:v>62.93</c:v>
                </c:pt>
                <c:pt idx="884">
                  <c:v>63.39</c:v>
                </c:pt>
                <c:pt idx="885">
                  <c:v>63.56</c:v>
                </c:pt>
                <c:pt idx="886">
                  <c:v>64.02</c:v>
                </c:pt>
                <c:pt idx="887">
                  <c:v>64</c:v>
                </c:pt>
                <c:pt idx="888">
                  <c:v>64.11</c:v>
                </c:pt>
                <c:pt idx="889">
                  <c:v>63.74</c:v>
                </c:pt>
                <c:pt idx="890">
                  <c:v>63.7</c:v>
                </c:pt>
                <c:pt idx="891">
                  <c:v>63.64</c:v>
                </c:pt>
                <c:pt idx="892">
                  <c:v>63.51</c:v>
                </c:pt>
                <c:pt idx="893">
                  <c:v>63.54</c:v>
                </c:pt>
                <c:pt idx="894">
                  <c:v>63.71</c:v>
                </c:pt>
                <c:pt idx="895">
                  <c:v>64</c:v>
                </c:pt>
                <c:pt idx="896">
                  <c:v>64.010000000000005</c:v>
                </c:pt>
                <c:pt idx="897">
                  <c:v>63.67</c:v>
                </c:pt>
                <c:pt idx="898">
                  <c:v>63.58</c:v>
                </c:pt>
                <c:pt idx="899">
                  <c:v>63.61</c:v>
                </c:pt>
                <c:pt idx="900">
                  <c:v>63.65</c:v>
                </c:pt>
                <c:pt idx="901">
                  <c:v>63.89</c:v>
                </c:pt>
                <c:pt idx="902">
                  <c:v>63.7</c:v>
                </c:pt>
                <c:pt idx="903">
                  <c:v>63.37</c:v>
                </c:pt>
                <c:pt idx="904">
                  <c:v>63.26</c:v>
                </c:pt>
                <c:pt idx="905">
                  <c:v>63.33</c:v>
                </c:pt>
                <c:pt idx="906">
                  <c:v>63.83</c:v>
                </c:pt>
                <c:pt idx="907">
                  <c:v>63.87</c:v>
                </c:pt>
                <c:pt idx="908">
                  <c:v>64.03</c:v>
                </c:pt>
                <c:pt idx="909">
                  <c:v>64.05</c:v>
                </c:pt>
                <c:pt idx="910">
                  <c:v>64.319999999999993</c:v>
                </c:pt>
                <c:pt idx="911">
                  <c:v>64.34</c:v>
                </c:pt>
                <c:pt idx="912">
                  <c:v>64.489999999999995</c:v>
                </c:pt>
                <c:pt idx="913">
                  <c:v>64.260000000000005</c:v>
                </c:pt>
                <c:pt idx="914">
                  <c:v>64.290000000000006</c:v>
                </c:pt>
                <c:pt idx="915">
                  <c:v>64.34</c:v>
                </c:pt>
                <c:pt idx="916">
                  <c:v>64.53</c:v>
                </c:pt>
                <c:pt idx="917">
                  <c:v>64.58</c:v>
                </c:pt>
                <c:pt idx="918">
                  <c:v>64.7</c:v>
                </c:pt>
                <c:pt idx="919">
                  <c:v>64.78</c:v>
                </c:pt>
                <c:pt idx="920">
                  <c:v>64.819999999999993</c:v>
                </c:pt>
                <c:pt idx="921">
                  <c:v>65.150000000000006</c:v>
                </c:pt>
                <c:pt idx="922">
                  <c:v>65.069999999999993</c:v>
                </c:pt>
                <c:pt idx="923">
                  <c:v>64.97</c:v>
                </c:pt>
                <c:pt idx="924">
                  <c:v>65.03</c:v>
                </c:pt>
                <c:pt idx="925">
                  <c:v>65.08</c:v>
                </c:pt>
                <c:pt idx="926">
                  <c:v>65.19</c:v>
                </c:pt>
                <c:pt idx="927">
                  <c:v>65.36</c:v>
                </c:pt>
                <c:pt idx="928">
                  <c:v>65.33</c:v>
                </c:pt>
                <c:pt idx="929">
                  <c:v>65.319999999999993</c:v>
                </c:pt>
                <c:pt idx="930">
                  <c:v>64.75</c:v>
                </c:pt>
                <c:pt idx="931">
                  <c:v>64.319999999999993</c:v>
                </c:pt>
                <c:pt idx="932">
                  <c:v>64.33</c:v>
                </c:pt>
                <c:pt idx="933">
                  <c:v>64.36</c:v>
                </c:pt>
                <c:pt idx="934">
                  <c:v>64.34</c:v>
                </c:pt>
                <c:pt idx="935">
                  <c:v>64.36</c:v>
                </c:pt>
                <c:pt idx="936">
                  <c:v>64.260000000000005</c:v>
                </c:pt>
                <c:pt idx="937">
                  <c:v>64.31</c:v>
                </c:pt>
                <c:pt idx="938">
                  <c:v>64.569999999999993</c:v>
                </c:pt>
                <c:pt idx="939">
                  <c:v>64.77</c:v>
                </c:pt>
                <c:pt idx="940">
                  <c:v>64.930000000000007</c:v>
                </c:pt>
                <c:pt idx="941">
                  <c:v>65.09</c:v>
                </c:pt>
                <c:pt idx="942">
                  <c:v>65.3</c:v>
                </c:pt>
                <c:pt idx="943">
                  <c:v>65.19</c:v>
                </c:pt>
                <c:pt idx="944">
                  <c:v>65.209999999999994</c:v>
                </c:pt>
                <c:pt idx="945">
                  <c:v>65.150000000000006</c:v>
                </c:pt>
                <c:pt idx="946">
                  <c:v>64.98</c:v>
                </c:pt>
                <c:pt idx="947">
                  <c:v>64.959999999999994</c:v>
                </c:pt>
                <c:pt idx="948">
                  <c:v>65.12</c:v>
                </c:pt>
                <c:pt idx="949">
                  <c:v>65.53</c:v>
                </c:pt>
                <c:pt idx="950">
                  <c:v>65.489999999999995</c:v>
                </c:pt>
                <c:pt idx="951">
                  <c:v>65.61</c:v>
                </c:pt>
                <c:pt idx="952">
                  <c:v>65.47</c:v>
                </c:pt>
                <c:pt idx="953">
                  <c:v>65.63</c:v>
                </c:pt>
                <c:pt idx="954">
                  <c:v>65.66</c:v>
                </c:pt>
                <c:pt idx="955">
                  <c:v>65.709999999999994</c:v>
                </c:pt>
                <c:pt idx="956">
                  <c:v>65.84</c:v>
                </c:pt>
                <c:pt idx="957">
                  <c:v>66.03</c:v>
                </c:pt>
                <c:pt idx="958">
                  <c:v>66.239999999999995</c:v>
                </c:pt>
                <c:pt idx="959">
                  <c:v>66.150000000000006</c:v>
                </c:pt>
                <c:pt idx="960">
                  <c:v>66.430000000000007</c:v>
                </c:pt>
                <c:pt idx="961">
                  <c:v>66.69</c:v>
                </c:pt>
                <c:pt idx="962">
                  <c:v>66.8</c:v>
                </c:pt>
                <c:pt idx="963">
                  <c:v>66.849999999999994</c:v>
                </c:pt>
                <c:pt idx="964">
                  <c:v>67.08</c:v>
                </c:pt>
                <c:pt idx="965">
                  <c:v>67.31</c:v>
                </c:pt>
                <c:pt idx="966">
                  <c:v>67.34</c:v>
                </c:pt>
                <c:pt idx="967">
                  <c:v>67.36</c:v>
                </c:pt>
                <c:pt idx="968">
                  <c:v>67.459999999999994</c:v>
                </c:pt>
                <c:pt idx="969">
                  <c:v>67.52</c:v>
                </c:pt>
                <c:pt idx="970">
                  <c:v>67.62</c:v>
                </c:pt>
                <c:pt idx="971">
                  <c:v>67.61</c:v>
                </c:pt>
                <c:pt idx="972">
                  <c:v>67.64</c:v>
                </c:pt>
                <c:pt idx="973">
                  <c:v>67.67</c:v>
                </c:pt>
                <c:pt idx="974">
                  <c:v>67.819999999999993</c:v>
                </c:pt>
                <c:pt idx="975">
                  <c:v>68.239999999999995</c:v>
                </c:pt>
                <c:pt idx="976">
                  <c:v>68.400000000000006</c:v>
                </c:pt>
                <c:pt idx="977">
                  <c:v>68.62</c:v>
                </c:pt>
                <c:pt idx="978">
                  <c:v>68.760000000000005</c:v>
                </c:pt>
                <c:pt idx="979">
                  <c:v>69.040000000000006</c:v>
                </c:pt>
                <c:pt idx="980">
                  <c:v>69.540000000000006</c:v>
                </c:pt>
                <c:pt idx="981">
                  <c:v>69.91</c:v>
                </c:pt>
                <c:pt idx="982">
                  <c:v>69.97</c:v>
                </c:pt>
                <c:pt idx="983">
                  <c:v>70.3</c:v>
                </c:pt>
                <c:pt idx="984">
                  <c:v>70.150000000000006</c:v>
                </c:pt>
                <c:pt idx="985">
                  <c:v>69.989999999999995</c:v>
                </c:pt>
                <c:pt idx="986">
                  <c:v>69.760000000000005</c:v>
                </c:pt>
                <c:pt idx="987">
                  <c:v>69.62</c:v>
                </c:pt>
                <c:pt idx="988">
                  <c:v>69.459999999999994</c:v>
                </c:pt>
                <c:pt idx="989">
                  <c:v>69.709999999999994</c:v>
                </c:pt>
                <c:pt idx="990">
                  <c:v>69.56</c:v>
                </c:pt>
                <c:pt idx="991">
                  <c:v>69.19</c:v>
                </c:pt>
                <c:pt idx="992">
                  <c:v>69.27</c:v>
                </c:pt>
                <c:pt idx="993">
                  <c:v>69.42</c:v>
                </c:pt>
                <c:pt idx="994">
                  <c:v>69.47</c:v>
                </c:pt>
                <c:pt idx="995">
                  <c:v>69.5</c:v>
                </c:pt>
                <c:pt idx="996">
                  <c:v>69.48</c:v>
                </c:pt>
                <c:pt idx="997">
                  <c:v>69.459999999999994</c:v>
                </c:pt>
                <c:pt idx="998">
                  <c:v>69.5</c:v>
                </c:pt>
                <c:pt idx="999">
                  <c:v>69.45</c:v>
                </c:pt>
                <c:pt idx="1000">
                  <c:v>69.38</c:v>
                </c:pt>
                <c:pt idx="1001">
                  <c:v>69.13</c:v>
                </c:pt>
                <c:pt idx="1002">
                  <c:v>69</c:v>
                </c:pt>
                <c:pt idx="1003">
                  <c:v>68.94</c:v>
                </c:pt>
                <c:pt idx="1004">
                  <c:v>69.02</c:v>
                </c:pt>
                <c:pt idx="1005">
                  <c:v>68.84</c:v>
                </c:pt>
                <c:pt idx="1006">
                  <c:v>68.790000000000006</c:v>
                </c:pt>
                <c:pt idx="1007">
                  <c:v>68.430000000000007</c:v>
                </c:pt>
                <c:pt idx="1008">
                  <c:v>68.37</c:v>
                </c:pt>
                <c:pt idx="1009">
                  <c:v>68.41</c:v>
                </c:pt>
                <c:pt idx="1010">
                  <c:v>68.12</c:v>
                </c:pt>
                <c:pt idx="1011">
                  <c:v>67.459999999999994</c:v>
                </c:pt>
                <c:pt idx="1012">
                  <c:v>67.040000000000006</c:v>
                </c:pt>
                <c:pt idx="1013">
                  <c:v>66.72</c:v>
                </c:pt>
                <c:pt idx="1014">
                  <c:v>66.63</c:v>
                </c:pt>
                <c:pt idx="1015">
                  <c:v>66.69</c:v>
                </c:pt>
                <c:pt idx="1016">
                  <c:v>66.22</c:v>
                </c:pt>
                <c:pt idx="1017">
                  <c:v>65.87</c:v>
                </c:pt>
                <c:pt idx="1018">
                  <c:v>65.959999999999994</c:v>
                </c:pt>
                <c:pt idx="1019">
                  <c:v>66.099999999999994</c:v>
                </c:pt>
                <c:pt idx="1020">
                  <c:v>66.17</c:v>
                </c:pt>
                <c:pt idx="1021">
                  <c:v>66.28</c:v>
                </c:pt>
                <c:pt idx="1022">
                  <c:v>66.44</c:v>
                </c:pt>
                <c:pt idx="1023">
                  <c:v>66.489999999999995</c:v>
                </c:pt>
                <c:pt idx="1024">
                  <c:v>66.78</c:v>
                </c:pt>
                <c:pt idx="1025">
                  <c:v>67.09</c:v>
                </c:pt>
                <c:pt idx="1026">
                  <c:v>67.06</c:v>
                </c:pt>
                <c:pt idx="1027">
                  <c:v>67.209999999999994</c:v>
                </c:pt>
                <c:pt idx="1028">
                  <c:v>67.67</c:v>
                </c:pt>
                <c:pt idx="1029">
                  <c:v>68.14</c:v>
                </c:pt>
                <c:pt idx="1030">
                  <c:v>68.39</c:v>
                </c:pt>
                <c:pt idx="1031">
                  <c:v>68.8</c:v>
                </c:pt>
                <c:pt idx="1032">
                  <c:v>68.739999999999995</c:v>
                </c:pt>
                <c:pt idx="1033">
                  <c:v>69.02</c:v>
                </c:pt>
                <c:pt idx="1034">
                  <c:v>69.14</c:v>
                </c:pt>
                <c:pt idx="1035">
                  <c:v>69.28</c:v>
                </c:pt>
                <c:pt idx="1036">
                  <c:v>69.28</c:v>
                </c:pt>
                <c:pt idx="1037">
                  <c:v>69.53</c:v>
                </c:pt>
                <c:pt idx="1038">
                  <c:v>69.75</c:v>
                </c:pt>
                <c:pt idx="1039">
                  <c:v>69.98</c:v>
                </c:pt>
                <c:pt idx="1040">
                  <c:v>70.23</c:v>
                </c:pt>
                <c:pt idx="1041">
                  <c:v>70.239999999999995</c:v>
                </c:pt>
                <c:pt idx="1042">
                  <c:v>70.56</c:v>
                </c:pt>
                <c:pt idx="1043">
                  <c:v>70.63</c:v>
                </c:pt>
                <c:pt idx="1044">
                  <c:v>71.09</c:v>
                </c:pt>
                <c:pt idx="1045">
                  <c:v>71.319999999999993</c:v>
                </c:pt>
                <c:pt idx="1046">
                  <c:v>71.56</c:v>
                </c:pt>
                <c:pt idx="1047">
                  <c:v>71.98</c:v>
                </c:pt>
                <c:pt idx="1048">
                  <c:v>72.099999999999994</c:v>
                </c:pt>
                <c:pt idx="1049">
                  <c:v>72.02</c:v>
                </c:pt>
                <c:pt idx="1050">
                  <c:v>71.2</c:v>
                </c:pt>
                <c:pt idx="1051">
                  <c:v>71.63</c:v>
                </c:pt>
                <c:pt idx="1052">
                  <c:v>71.37</c:v>
                </c:pt>
                <c:pt idx="1053">
                  <c:v>71.25</c:v>
                </c:pt>
                <c:pt idx="1054">
                  <c:v>71.010000000000005</c:v>
                </c:pt>
                <c:pt idx="1055">
                  <c:v>70.45</c:v>
                </c:pt>
                <c:pt idx="1056">
                  <c:v>70.33</c:v>
                </c:pt>
                <c:pt idx="1057">
                  <c:v>70.34</c:v>
                </c:pt>
                <c:pt idx="1058">
                  <c:v>70.290000000000006</c:v>
                </c:pt>
                <c:pt idx="1059">
                  <c:v>70.37</c:v>
                </c:pt>
                <c:pt idx="1060">
                  <c:v>70.319999999999993</c:v>
                </c:pt>
                <c:pt idx="1061">
                  <c:v>69.959999999999994</c:v>
                </c:pt>
                <c:pt idx="1062">
                  <c:v>69.88</c:v>
                </c:pt>
                <c:pt idx="1063">
                  <c:v>69.58</c:v>
                </c:pt>
                <c:pt idx="1064">
                  <c:v>69.790000000000006</c:v>
                </c:pt>
                <c:pt idx="1065">
                  <c:v>69.59</c:v>
                </c:pt>
                <c:pt idx="1066">
                  <c:v>69.069999999999993</c:v>
                </c:pt>
                <c:pt idx="1067">
                  <c:v>68.78</c:v>
                </c:pt>
                <c:pt idx="1068">
                  <c:v>67.73</c:v>
                </c:pt>
                <c:pt idx="1069">
                  <c:v>67.48</c:v>
                </c:pt>
                <c:pt idx="1070">
                  <c:v>67.010000000000005</c:v>
                </c:pt>
                <c:pt idx="1071">
                  <c:v>66.81</c:v>
                </c:pt>
                <c:pt idx="1072">
                  <c:v>66.45</c:v>
                </c:pt>
                <c:pt idx="1073">
                  <c:v>66.34</c:v>
                </c:pt>
                <c:pt idx="1074">
                  <c:v>66.36</c:v>
                </c:pt>
                <c:pt idx="1075">
                  <c:v>66.63</c:v>
                </c:pt>
                <c:pt idx="1076">
                  <c:v>66.67</c:v>
                </c:pt>
                <c:pt idx="1077">
                  <c:v>66.67</c:v>
                </c:pt>
                <c:pt idx="1078">
                  <c:v>66.91</c:v>
                </c:pt>
                <c:pt idx="1079">
                  <c:v>66.91</c:v>
                </c:pt>
                <c:pt idx="1080">
                  <c:v>67.05</c:v>
                </c:pt>
                <c:pt idx="1081">
                  <c:v>66.73</c:v>
                </c:pt>
                <c:pt idx="1082">
                  <c:v>66.41</c:v>
                </c:pt>
                <c:pt idx="1083">
                  <c:v>66.069999999999993</c:v>
                </c:pt>
                <c:pt idx="1084">
                  <c:v>65.98</c:v>
                </c:pt>
                <c:pt idx="1085">
                  <c:v>65.92</c:v>
                </c:pt>
                <c:pt idx="1086">
                  <c:v>65.510000000000005</c:v>
                </c:pt>
                <c:pt idx="1087">
                  <c:v>65.349999999999994</c:v>
                </c:pt>
                <c:pt idx="1088">
                  <c:v>65.42</c:v>
                </c:pt>
                <c:pt idx="1089">
                  <c:v>65.36</c:v>
                </c:pt>
                <c:pt idx="1090">
                  <c:v>65.319999999999993</c:v>
                </c:pt>
                <c:pt idx="1091">
                  <c:v>65.28</c:v>
                </c:pt>
                <c:pt idx="1092">
                  <c:v>65.34</c:v>
                </c:pt>
                <c:pt idx="1093">
                  <c:v>65.41</c:v>
                </c:pt>
                <c:pt idx="1094">
                  <c:v>65.47</c:v>
                </c:pt>
                <c:pt idx="1095">
                  <c:v>65.39</c:v>
                </c:pt>
                <c:pt idx="1096">
                  <c:v>64.989999999999995</c:v>
                </c:pt>
                <c:pt idx="1097">
                  <c:v>65.13</c:v>
                </c:pt>
                <c:pt idx="1098">
                  <c:v>64.900000000000006</c:v>
                </c:pt>
                <c:pt idx="1099">
                  <c:v>64.91</c:v>
                </c:pt>
                <c:pt idx="1100">
                  <c:v>64.760000000000005</c:v>
                </c:pt>
                <c:pt idx="1101">
                  <c:v>64.540000000000006</c:v>
                </c:pt>
                <c:pt idx="1102">
                  <c:v>64.510000000000005</c:v>
                </c:pt>
                <c:pt idx="1103">
                  <c:v>64.5</c:v>
                </c:pt>
                <c:pt idx="1104">
                  <c:v>64.540000000000006</c:v>
                </c:pt>
                <c:pt idx="1105">
                  <c:v>64.260000000000005</c:v>
                </c:pt>
                <c:pt idx="1106">
                  <c:v>64.09</c:v>
                </c:pt>
                <c:pt idx="1107">
                  <c:v>64.03</c:v>
                </c:pt>
                <c:pt idx="1108">
                  <c:v>64.209999999999994</c:v>
                </c:pt>
                <c:pt idx="1109">
                  <c:v>62.97</c:v>
                </c:pt>
                <c:pt idx="1110">
                  <c:v>63.05</c:v>
                </c:pt>
                <c:pt idx="1111">
                  <c:v>62.99</c:v>
                </c:pt>
                <c:pt idx="1112">
                  <c:v>62.89</c:v>
                </c:pt>
                <c:pt idx="1113">
                  <c:v>62.97</c:v>
                </c:pt>
                <c:pt idx="1114">
                  <c:v>63.04</c:v>
                </c:pt>
                <c:pt idx="1115">
                  <c:v>63.12</c:v>
                </c:pt>
                <c:pt idx="1116">
                  <c:v>63.09</c:v>
                </c:pt>
                <c:pt idx="1117">
                  <c:v>63.27</c:v>
                </c:pt>
                <c:pt idx="1118">
                  <c:v>63.45</c:v>
                </c:pt>
                <c:pt idx="1119">
                  <c:v>63.4</c:v>
                </c:pt>
                <c:pt idx="1120">
                  <c:v>63.58</c:v>
                </c:pt>
                <c:pt idx="1121">
                  <c:v>64.02</c:v>
                </c:pt>
                <c:pt idx="1122">
                  <c:v>64.13</c:v>
                </c:pt>
                <c:pt idx="1123">
                  <c:v>64.05</c:v>
                </c:pt>
                <c:pt idx="1124">
                  <c:v>64</c:v>
                </c:pt>
                <c:pt idx="1125">
                  <c:v>64.31</c:v>
                </c:pt>
                <c:pt idx="1126">
                  <c:v>64.37</c:v>
                </c:pt>
                <c:pt idx="1127">
                  <c:v>64.37</c:v>
                </c:pt>
                <c:pt idx="1128">
                  <c:v>64.510000000000005</c:v>
                </c:pt>
                <c:pt idx="1129">
                  <c:v>64.62</c:v>
                </c:pt>
                <c:pt idx="1130">
                  <c:v>64.64</c:v>
                </c:pt>
                <c:pt idx="1131">
                  <c:v>64.77</c:v>
                </c:pt>
                <c:pt idx="1132">
                  <c:v>64.87</c:v>
                </c:pt>
                <c:pt idx="1133">
                  <c:v>64.94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E-4EBD-AD2A-234A8DD26543}"/>
            </c:ext>
          </c:extLst>
        </c:ser>
        <c:ser>
          <c:idx val="1"/>
          <c:order val="1"/>
          <c:tx>
            <c:v>Regressão Linear</c:v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Análise_À_Vista!$AB$3:$AB$1136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Análise_À_Vista!$AE$3:$AE$1136</c:f>
              <c:numCache>
                <c:formatCode>#,##0.00</c:formatCode>
                <c:ptCount val="1134"/>
                <c:pt idx="0">
                  <c:v>82.285856373680119</c:v>
                </c:pt>
                <c:pt idx="1">
                  <c:v>82.267144410267662</c:v>
                </c:pt>
                <c:pt idx="2">
                  <c:v>82.248432446855219</c:v>
                </c:pt>
                <c:pt idx="3">
                  <c:v>82.229720483442776</c:v>
                </c:pt>
                <c:pt idx="4">
                  <c:v>82.211008520030333</c:v>
                </c:pt>
                <c:pt idx="5">
                  <c:v>82.192296556617876</c:v>
                </c:pt>
                <c:pt idx="6">
                  <c:v>82.173584593205433</c:v>
                </c:pt>
                <c:pt idx="7">
                  <c:v>82.15487262979299</c:v>
                </c:pt>
                <c:pt idx="8">
                  <c:v>82.136160666380547</c:v>
                </c:pt>
                <c:pt idx="9">
                  <c:v>82.11744870296809</c:v>
                </c:pt>
                <c:pt idx="10">
                  <c:v>82.098736739555648</c:v>
                </c:pt>
                <c:pt idx="11">
                  <c:v>82.080024776143205</c:v>
                </c:pt>
                <c:pt idx="12">
                  <c:v>82.061312812730748</c:v>
                </c:pt>
                <c:pt idx="13">
                  <c:v>82.042600849318305</c:v>
                </c:pt>
                <c:pt idx="14">
                  <c:v>82.023888885905862</c:v>
                </c:pt>
                <c:pt idx="15">
                  <c:v>82.005176922493419</c:v>
                </c:pt>
                <c:pt idx="16">
                  <c:v>81.986464959080962</c:v>
                </c:pt>
                <c:pt idx="17">
                  <c:v>81.967752995668519</c:v>
                </c:pt>
                <c:pt idx="18">
                  <c:v>81.949041032256076</c:v>
                </c:pt>
                <c:pt idx="19">
                  <c:v>81.930329068843633</c:v>
                </c:pt>
                <c:pt idx="20">
                  <c:v>81.911617105431176</c:v>
                </c:pt>
                <c:pt idx="21">
                  <c:v>81.892905142018733</c:v>
                </c:pt>
                <c:pt idx="22">
                  <c:v>81.874193178606291</c:v>
                </c:pt>
                <c:pt idx="23">
                  <c:v>81.855481215193834</c:v>
                </c:pt>
                <c:pt idx="24">
                  <c:v>81.836769251781391</c:v>
                </c:pt>
                <c:pt idx="25">
                  <c:v>81.818057288368948</c:v>
                </c:pt>
                <c:pt idx="26">
                  <c:v>81.799345324956505</c:v>
                </c:pt>
                <c:pt idx="27">
                  <c:v>81.780633361544048</c:v>
                </c:pt>
                <c:pt idx="28">
                  <c:v>81.761921398131605</c:v>
                </c:pt>
                <c:pt idx="29">
                  <c:v>81.743209434719162</c:v>
                </c:pt>
                <c:pt idx="30">
                  <c:v>81.724497471306719</c:v>
                </c:pt>
                <c:pt idx="31">
                  <c:v>81.705785507894262</c:v>
                </c:pt>
                <c:pt idx="32">
                  <c:v>81.687073544481819</c:v>
                </c:pt>
                <c:pt idx="33">
                  <c:v>81.668361581069377</c:v>
                </c:pt>
                <c:pt idx="34">
                  <c:v>81.649649617656934</c:v>
                </c:pt>
                <c:pt idx="35">
                  <c:v>81.630937654244477</c:v>
                </c:pt>
                <c:pt idx="36">
                  <c:v>81.612225690832034</c:v>
                </c:pt>
                <c:pt idx="37">
                  <c:v>81.593513727419591</c:v>
                </c:pt>
                <c:pt idx="38">
                  <c:v>81.574801764007134</c:v>
                </c:pt>
                <c:pt idx="39">
                  <c:v>81.556089800594691</c:v>
                </c:pt>
                <c:pt idx="40">
                  <c:v>81.537377837182248</c:v>
                </c:pt>
                <c:pt idx="41">
                  <c:v>81.518665873769805</c:v>
                </c:pt>
                <c:pt idx="42">
                  <c:v>81.499953910357348</c:v>
                </c:pt>
                <c:pt idx="43">
                  <c:v>81.481241946944905</c:v>
                </c:pt>
                <c:pt idx="44">
                  <c:v>81.462529983532463</c:v>
                </c:pt>
                <c:pt idx="45">
                  <c:v>81.44381802012002</c:v>
                </c:pt>
                <c:pt idx="46">
                  <c:v>81.425106056707563</c:v>
                </c:pt>
                <c:pt idx="47">
                  <c:v>81.40639409329512</c:v>
                </c:pt>
                <c:pt idx="48">
                  <c:v>81.387682129882677</c:v>
                </c:pt>
                <c:pt idx="49">
                  <c:v>81.36897016647022</c:v>
                </c:pt>
                <c:pt idx="50">
                  <c:v>81.350258203057777</c:v>
                </c:pt>
                <c:pt idx="51">
                  <c:v>81.331546239645334</c:v>
                </c:pt>
                <c:pt idx="52">
                  <c:v>81.312834276232891</c:v>
                </c:pt>
                <c:pt idx="53">
                  <c:v>81.294122312820434</c:v>
                </c:pt>
                <c:pt idx="54">
                  <c:v>81.275410349407991</c:v>
                </c:pt>
                <c:pt idx="55">
                  <c:v>81.256698385995549</c:v>
                </c:pt>
                <c:pt idx="56">
                  <c:v>81.237986422583106</c:v>
                </c:pt>
                <c:pt idx="57">
                  <c:v>81.219274459170649</c:v>
                </c:pt>
                <c:pt idx="58">
                  <c:v>81.200562495758206</c:v>
                </c:pt>
                <c:pt idx="59">
                  <c:v>81.181850532345763</c:v>
                </c:pt>
                <c:pt idx="60">
                  <c:v>81.163138568933306</c:v>
                </c:pt>
                <c:pt idx="61">
                  <c:v>81.144426605520863</c:v>
                </c:pt>
                <c:pt idx="62">
                  <c:v>81.12571464210842</c:v>
                </c:pt>
                <c:pt idx="63">
                  <c:v>81.107002678695977</c:v>
                </c:pt>
                <c:pt idx="64">
                  <c:v>81.08829071528352</c:v>
                </c:pt>
                <c:pt idx="65">
                  <c:v>81.069578751871077</c:v>
                </c:pt>
                <c:pt idx="66">
                  <c:v>81.050866788458634</c:v>
                </c:pt>
                <c:pt idx="67">
                  <c:v>81.032154825046192</c:v>
                </c:pt>
                <c:pt idx="68">
                  <c:v>81.013442861633735</c:v>
                </c:pt>
                <c:pt idx="69">
                  <c:v>80.994730898221292</c:v>
                </c:pt>
                <c:pt idx="70">
                  <c:v>80.976018934808849</c:v>
                </c:pt>
                <c:pt idx="71">
                  <c:v>80.957306971396392</c:v>
                </c:pt>
                <c:pt idx="72">
                  <c:v>80.938595007983949</c:v>
                </c:pt>
                <c:pt idx="73">
                  <c:v>80.919883044571506</c:v>
                </c:pt>
                <c:pt idx="74">
                  <c:v>80.901171081159063</c:v>
                </c:pt>
                <c:pt idx="75">
                  <c:v>80.882459117746606</c:v>
                </c:pt>
                <c:pt idx="76">
                  <c:v>80.863747154334163</c:v>
                </c:pt>
                <c:pt idx="77">
                  <c:v>80.84503519092172</c:v>
                </c:pt>
                <c:pt idx="78">
                  <c:v>80.826323227509278</c:v>
                </c:pt>
                <c:pt idx="79">
                  <c:v>80.80761126409682</c:v>
                </c:pt>
                <c:pt idx="80">
                  <c:v>80.788899300684378</c:v>
                </c:pt>
                <c:pt idx="81">
                  <c:v>80.770187337271935</c:v>
                </c:pt>
                <c:pt idx="82">
                  <c:v>80.751475373859478</c:v>
                </c:pt>
                <c:pt idx="83">
                  <c:v>80.732763410447035</c:v>
                </c:pt>
                <c:pt idx="84">
                  <c:v>80.714051447034592</c:v>
                </c:pt>
                <c:pt idx="85">
                  <c:v>80.695339483622149</c:v>
                </c:pt>
                <c:pt idx="86">
                  <c:v>80.676627520209692</c:v>
                </c:pt>
                <c:pt idx="87">
                  <c:v>80.657915556797249</c:v>
                </c:pt>
                <c:pt idx="88">
                  <c:v>80.639203593384806</c:v>
                </c:pt>
                <c:pt idx="89">
                  <c:v>80.620491629972364</c:v>
                </c:pt>
                <c:pt idx="90">
                  <c:v>80.601779666559906</c:v>
                </c:pt>
                <c:pt idx="91">
                  <c:v>80.583067703147464</c:v>
                </c:pt>
                <c:pt idx="92">
                  <c:v>80.564355739735021</c:v>
                </c:pt>
                <c:pt idx="93">
                  <c:v>80.545643776322564</c:v>
                </c:pt>
                <c:pt idx="94">
                  <c:v>80.526931812910121</c:v>
                </c:pt>
                <c:pt idx="95">
                  <c:v>80.508219849497678</c:v>
                </c:pt>
                <c:pt idx="96">
                  <c:v>80.489507886085235</c:v>
                </c:pt>
                <c:pt idx="97">
                  <c:v>80.470795922672778</c:v>
                </c:pt>
                <c:pt idx="98">
                  <c:v>80.452083959260335</c:v>
                </c:pt>
                <c:pt idx="99">
                  <c:v>80.433371995847892</c:v>
                </c:pt>
                <c:pt idx="100">
                  <c:v>80.414660032435449</c:v>
                </c:pt>
                <c:pt idx="101">
                  <c:v>80.395948069022992</c:v>
                </c:pt>
                <c:pt idx="102">
                  <c:v>80.37723610561055</c:v>
                </c:pt>
                <c:pt idx="103">
                  <c:v>80.358524142198107</c:v>
                </c:pt>
                <c:pt idx="104">
                  <c:v>80.33981217878565</c:v>
                </c:pt>
                <c:pt idx="105">
                  <c:v>80.321100215373207</c:v>
                </c:pt>
                <c:pt idx="106">
                  <c:v>80.302388251960764</c:v>
                </c:pt>
                <c:pt idx="107">
                  <c:v>80.283676288548321</c:v>
                </c:pt>
                <c:pt idx="108">
                  <c:v>80.264964325135864</c:v>
                </c:pt>
                <c:pt idx="109">
                  <c:v>80.246252361723421</c:v>
                </c:pt>
                <c:pt idx="110">
                  <c:v>80.227540398310978</c:v>
                </c:pt>
                <c:pt idx="111">
                  <c:v>80.208828434898535</c:v>
                </c:pt>
                <c:pt idx="112">
                  <c:v>80.190116471486078</c:v>
                </c:pt>
                <c:pt idx="113">
                  <c:v>80.171404508073635</c:v>
                </c:pt>
                <c:pt idx="114">
                  <c:v>80.152692544661193</c:v>
                </c:pt>
                <c:pt idx="115">
                  <c:v>80.13398058124875</c:v>
                </c:pt>
                <c:pt idx="116">
                  <c:v>80.115268617836293</c:v>
                </c:pt>
                <c:pt idx="117">
                  <c:v>80.09655665442385</c:v>
                </c:pt>
                <c:pt idx="118">
                  <c:v>80.077844691011407</c:v>
                </c:pt>
                <c:pt idx="119">
                  <c:v>80.05913272759895</c:v>
                </c:pt>
                <c:pt idx="120">
                  <c:v>80.040420764186507</c:v>
                </c:pt>
                <c:pt idx="121">
                  <c:v>80.021708800774064</c:v>
                </c:pt>
                <c:pt idx="122">
                  <c:v>80.002996837361621</c:v>
                </c:pt>
                <c:pt idx="123">
                  <c:v>79.984284873949164</c:v>
                </c:pt>
                <c:pt idx="124">
                  <c:v>79.965572910536721</c:v>
                </c:pt>
                <c:pt idx="125">
                  <c:v>79.946860947124279</c:v>
                </c:pt>
                <c:pt idx="126">
                  <c:v>79.928148983711836</c:v>
                </c:pt>
                <c:pt idx="127">
                  <c:v>79.909437020299379</c:v>
                </c:pt>
                <c:pt idx="128">
                  <c:v>79.890725056886936</c:v>
                </c:pt>
                <c:pt idx="129">
                  <c:v>79.872013093474493</c:v>
                </c:pt>
                <c:pt idx="130">
                  <c:v>79.853301130062036</c:v>
                </c:pt>
                <c:pt idx="131">
                  <c:v>79.834589166649593</c:v>
                </c:pt>
                <c:pt idx="132">
                  <c:v>79.81587720323715</c:v>
                </c:pt>
                <c:pt idx="133">
                  <c:v>79.797165239824707</c:v>
                </c:pt>
                <c:pt idx="134">
                  <c:v>79.77845327641225</c:v>
                </c:pt>
                <c:pt idx="135">
                  <c:v>79.759741312999807</c:v>
                </c:pt>
                <c:pt idx="136">
                  <c:v>79.741029349587365</c:v>
                </c:pt>
                <c:pt idx="137">
                  <c:v>79.722317386174922</c:v>
                </c:pt>
                <c:pt idx="138">
                  <c:v>79.703605422762465</c:v>
                </c:pt>
                <c:pt idx="139">
                  <c:v>79.684893459350022</c:v>
                </c:pt>
                <c:pt idx="140">
                  <c:v>79.666181495937579</c:v>
                </c:pt>
                <c:pt idx="141">
                  <c:v>79.647469532525122</c:v>
                </c:pt>
                <c:pt idx="142">
                  <c:v>79.628757569112679</c:v>
                </c:pt>
                <c:pt idx="143">
                  <c:v>79.610045605700236</c:v>
                </c:pt>
                <c:pt idx="144">
                  <c:v>79.591333642287793</c:v>
                </c:pt>
                <c:pt idx="145">
                  <c:v>79.572621678875336</c:v>
                </c:pt>
                <c:pt idx="146">
                  <c:v>79.553909715462893</c:v>
                </c:pt>
                <c:pt idx="147">
                  <c:v>79.535197752050451</c:v>
                </c:pt>
                <c:pt idx="148">
                  <c:v>79.516485788638008</c:v>
                </c:pt>
                <c:pt idx="149">
                  <c:v>79.497773825225551</c:v>
                </c:pt>
                <c:pt idx="150">
                  <c:v>79.479061861813108</c:v>
                </c:pt>
                <c:pt idx="151">
                  <c:v>79.460349898400665</c:v>
                </c:pt>
                <c:pt idx="152">
                  <c:v>79.441637934988208</c:v>
                </c:pt>
                <c:pt idx="153">
                  <c:v>79.422925971575765</c:v>
                </c:pt>
                <c:pt idx="154">
                  <c:v>79.404214008163322</c:v>
                </c:pt>
                <c:pt idx="155">
                  <c:v>79.385502044750879</c:v>
                </c:pt>
                <c:pt idx="156">
                  <c:v>79.366790081338422</c:v>
                </c:pt>
                <c:pt idx="157">
                  <c:v>79.348078117925979</c:v>
                </c:pt>
                <c:pt idx="158">
                  <c:v>79.329366154513536</c:v>
                </c:pt>
                <c:pt idx="159">
                  <c:v>79.310654191101094</c:v>
                </c:pt>
                <c:pt idx="160">
                  <c:v>79.291942227688637</c:v>
                </c:pt>
                <c:pt idx="161">
                  <c:v>79.273230264276194</c:v>
                </c:pt>
                <c:pt idx="162">
                  <c:v>79.254518300863751</c:v>
                </c:pt>
                <c:pt idx="163">
                  <c:v>79.235806337451294</c:v>
                </c:pt>
                <c:pt idx="164">
                  <c:v>79.217094374038851</c:v>
                </c:pt>
                <c:pt idx="165">
                  <c:v>79.198382410626408</c:v>
                </c:pt>
                <c:pt idx="166">
                  <c:v>79.179670447213965</c:v>
                </c:pt>
                <c:pt idx="167">
                  <c:v>79.160958483801508</c:v>
                </c:pt>
                <c:pt idx="168">
                  <c:v>79.142246520389065</c:v>
                </c:pt>
                <c:pt idx="169">
                  <c:v>79.123534556976622</c:v>
                </c:pt>
                <c:pt idx="170">
                  <c:v>79.10482259356418</c:v>
                </c:pt>
                <c:pt idx="171">
                  <c:v>79.086110630151722</c:v>
                </c:pt>
                <c:pt idx="172">
                  <c:v>79.06739866673928</c:v>
                </c:pt>
                <c:pt idx="173">
                  <c:v>79.048686703326837</c:v>
                </c:pt>
                <c:pt idx="174">
                  <c:v>79.029974739914394</c:v>
                </c:pt>
                <c:pt idx="175">
                  <c:v>79.011262776501937</c:v>
                </c:pt>
                <c:pt idx="176">
                  <c:v>78.992550813089494</c:v>
                </c:pt>
                <c:pt idx="177">
                  <c:v>78.973838849677051</c:v>
                </c:pt>
                <c:pt idx="178">
                  <c:v>78.955126886264594</c:v>
                </c:pt>
                <c:pt idx="179">
                  <c:v>78.936414922852151</c:v>
                </c:pt>
                <c:pt idx="180">
                  <c:v>78.917702959439708</c:v>
                </c:pt>
                <c:pt idx="181">
                  <c:v>78.898990996027266</c:v>
                </c:pt>
                <c:pt idx="182">
                  <c:v>78.880279032614808</c:v>
                </c:pt>
                <c:pt idx="183">
                  <c:v>78.861567069202366</c:v>
                </c:pt>
                <c:pt idx="184">
                  <c:v>78.842855105789923</c:v>
                </c:pt>
                <c:pt idx="185">
                  <c:v>78.824143142377466</c:v>
                </c:pt>
                <c:pt idx="186">
                  <c:v>78.805431178965023</c:v>
                </c:pt>
                <c:pt idx="187">
                  <c:v>78.78671921555258</c:v>
                </c:pt>
                <c:pt idx="188">
                  <c:v>78.768007252140137</c:v>
                </c:pt>
                <c:pt idx="189">
                  <c:v>78.74929528872768</c:v>
                </c:pt>
                <c:pt idx="190">
                  <c:v>78.730583325315237</c:v>
                </c:pt>
                <c:pt idx="191">
                  <c:v>78.711871361902794</c:v>
                </c:pt>
                <c:pt idx="192">
                  <c:v>78.693159398490351</c:v>
                </c:pt>
                <c:pt idx="193">
                  <c:v>78.674447435077894</c:v>
                </c:pt>
                <c:pt idx="194">
                  <c:v>78.655735471665452</c:v>
                </c:pt>
                <c:pt idx="195">
                  <c:v>78.637023508253009</c:v>
                </c:pt>
                <c:pt idx="196">
                  <c:v>78.618311544840566</c:v>
                </c:pt>
                <c:pt idx="197">
                  <c:v>78.599599581428109</c:v>
                </c:pt>
                <c:pt idx="198">
                  <c:v>78.580887618015666</c:v>
                </c:pt>
                <c:pt idx="199">
                  <c:v>78.562175654603223</c:v>
                </c:pt>
                <c:pt idx="200">
                  <c:v>78.543463691190766</c:v>
                </c:pt>
                <c:pt idx="201">
                  <c:v>78.524751727778323</c:v>
                </c:pt>
                <c:pt idx="202">
                  <c:v>78.50603976436588</c:v>
                </c:pt>
                <c:pt idx="203">
                  <c:v>78.487327800953437</c:v>
                </c:pt>
                <c:pt idx="204">
                  <c:v>78.46861583754098</c:v>
                </c:pt>
                <c:pt idx="205">
                  <c:v>78.449903874128537</c:v>
                </c:pt>
                <c:pt idx="206">
                  <c:v>78.431191910716095</c:v>
                </c:pt>
                <c:pt idx="207">
                  <c:v>78.412479947303652</c:v>
                </c:pt>
                <c:pt idx="208">
                  <c:v>78.393767983891195</c:v>
                </c:pt>
                <c:pt idx="209">
                  <c:v>78.375056020478752</c:v>
                </c:pt>
                <c:pt idx="210">
                  <c:v>78.356344057066309</c:v>
                </c:pt>
                <c:pt idx="211">
                  <c:v>78.337632093653852</c:v>
                </c:pt>
                <c:pt idx="212">
                  <c:v>78.318920130241409</c:v>
                </c:pt>
                <c:pt idx="213">
                  <c:v>78.300208166828966</c:v>
                </c:pt>
                <c:pt idx="214">
                  <c:v>78.281496203416523</c:v>
                </c:pt>
                <c:pt idx="215">
                  <c:v>78.262784240004066</c:v>
                </c:pt>
                <c:pt idx="216">
                  <c:v>78.244072276591623</c:v>
                </c:pt>
                <c:pt idx="217">
                  <c:v>78.225360313179181</c:v>
                </c:pt>
                <c:pt idx="218">
                  <c:v>78.206648349766738</c:v>
                </c:pt>
                <c:pt idx="219">
                  <c:v>78.187936386354281</c:v>
                </c:pt>
                <c:pt idx="220">
                  <c:v>78.169224422941838</c:v>
                </c:pt>
                <c:pt idx="221">
                  <c:v>78.150512459529395</c:v>
                </c:pt>
                <c:pt idx="222">
                  <c:v>78.131800496116938</c:v>
                </c:pt>
                <c:pt idx="223">
                  <c:v>78.113088532704495</c:v>
                </c:pt>
                <c:pt idx="224">
                  <c:v>78.094376569292052</c:v>
                </c:pt>
                <c:pt idx="225">
                  <c:v>78.075664605879609</c:v>
                </c:pt>
                <c:pt idx="226">
                  <c:v>78.056952642467152</c:v>
                </c:pt>
                <c:pt idx="227">
                  <c:v>78.038240679054709</c:v>
                </c:pt>
                <c:pt idx="228">
                  <c:v>78.019528715642267</c:v>
                </c:pt>
                <c:pt idx="229">
                  <c:v>78.000816752229824</c:v>
                </c:pt>
                <c:pt idx="230">
                  <c:v>77.982104788817367</c:v>
                </c:pt>
                <c:pt idx="231">
                  <c:v>77.963392825404924</c:v>
                </c:pt>
                <c:pt idx="232">
                  <c:v>77.944680861992481</c:v>
                </c:pt>
                <c:pt idx="233">
                  <c:v>77.925968898580038</c:v>
                </c:pt>
                <c:pt idx="234">
                  <c:v>77.907256935167581</c:v>
                </c:pt>
                <c:pt idx="235">
                  <c:v>77.888544971755138</c:v>
                </c:pt>
                <c:pt idx="236">
                  <c:v>77.869833008342695</c:v>
                </c:pt>
                <c:pt idx="237">
                  <c:v>77.851121044930238</c:v>
                </c:pt>
                <c:pt idx="238">
                  <c:v>77.832409081517795</c:v>
                </c:pt>
                <c:pt idx="239">
                  <c:v>77.813697118105353</c:v>
                </c:pt>
                <c:pt idx="240">
                  <c:v>77.79498515469291</c:v>
                </c:pt>
                <c:pt idx="241">
                  <c:v>77.776273191280453</c:v>
                </c:pt>
                <c:pt idx="242">
                  <c:v>77.75756122786801</c:v>
                </c:pt>
                <c:pt idx="243">
                  <c:v>77.738849264455567</c:v>
                </c:pt>
                <c:pt idx="244">
                  <c:v>77.72013730104311</c:v>
                </c:pt>
                <c:pt idx="245">
                  <c:v>77.701425337630667</c:v>
                </c:pt>
                <c:pt idx="246">
                  <c:v>77.682713374218224</c:v>
                </c:pt>
                <c:pt idx="247">
                  <c:v>77.664001410805781</c:v>
                </c:pt>
                <c:pt idx="248">
                  <c:v>77.645289447393324</c:v>
                </c:pt>
                <c:pt idx="249">
                  <c:v>77.626577483980881</c:v>
                </c:pt>
                <c:pt idx="250">
                  <c:v>77.607865520568438</c:v>
                </c:pt>
                <c:pt idx="251">
                  <c:v>77.589153557155996</c:v>
                </c:pt>
                <c:pt idx="252">
                  <c:v>77.570441593743539</c:v>
                </c:pt>
                <c:pt idx="253">
                  <c:v>77.551729630331096</c:v>
                </c:pt>
                <c:pt idx="254">
                  <c:v>77.533017666918653</c:v>
                </c:pt>
                <c:pt idx="255">
                  <c:v>77.51430570350621</c:v>
                </c:pt>
                <c:pt idx="256">
                  <c:v>77.495593740093753</c:v>
                </c:pt>
                <c:pt idx="257">
                  <c:v>77.47688177668131</c:v>
                </c:pt>
                <c:pt idx="258">
                  <c:v>77.458169813268867</c:v>
                </c:pt>
                <c:pt idx="259">
                  <c:v>77.43945784985641</c:v>
                </c:pt>
                <c:pt idx="260">
                  <c:v>77.420745886443967</c:v>
                </c:pt>
                <c:pt idx="261">
                  <c:v>77.402033923031524</c:v>
                </c:pt>
                <c:pt idx="262">
                  <c:v>77.383321959619082</c:v>
                </c:pt>
                <c:pt idx="263">
                  <c:v>77.364609996206624</c:v>
                </c:pt>
                <c:pt idx="264">
                  <c:v>77.345898032794182</c:v>
                </c:pt>
                <c:pt idx="265">
                  <c:v>77.327186069381739</c:v>
                </c:pt>
                <c:pt idx="266">
                  <c:v>77.308474105969282</c:v>
                </c:pt>
                <c:pt idx="267">
                  <c:v>77.289762142556839</c:v>
                </c:pt>
                <c:pt idx="268">
                  <c:v>77.271050179144396</c:v>
                </c:pt>
                <c:pt idx="269">
                  <c:v>77.252338215731953</c:v>
                </c:pt>
                <c:pt idx="270">
                  <c:v>77.233626252319496</c:v>
                </c:pt>
                <c:pt idx="271">
                  <c:v>77.214914288907053</c:v>
                </c:pt>
                <c:pt idx="272">
                  <c:v>77.19620232549461</c:v>
                </c:pt>
                <c:pt idx="273">
                  <c:v>77.177490362082168</c:v>
                </c:pt>
                <c:pt idx="274">
                  <c:v>77.15877839866971</c:v>
                </c:pt>
                <c:pt idx="275">
                  <c:v>77.140066435257268</c:v>
                </c:pt>
                <c:pt idx="276">
                  <c:v>77.121354471844825</c:v>
                </c:pt>
                <c:pt idx="277">
                  <c:v>77.102642508432382</c:v>
                </c:pt>
                <c:pt idx="278">
                  <c:v>77.083930545019925</c:v>
                </c:pt>
                <c:pt idx="279">
                  <c:v>77.065218581607482</c:v>
                </c:pt>
                <c:pt idx="280">
                  <c:v>77.046506618195039</c:v>
                </c:pt>
                <c:pt idx="281">
                  <c:v>77.027794654782582</c:v>
                </c:pt>
                <c:pt idx="282">
                  <c:v>77.009082691370139</c:v>
                </c:pt>
                <c:pt idx="283">
                  <c:v>76.990370727957696</c:v>
                </c:pt>
                <c:pt idx="284">
                  <c:v>76.971658764545253</c:v>
                </c:pt>
                <c:pt idx="285">
                  <c:v>76.952946801132796</c:v>
                </c:pt>
                <c:pt idx="286">
                  <c:v>76.934234837720354</c:v>
                </c:pt>
                <c:pt idx="287">
                  <c:v>76.915522874307911</c:v>
                </c:pt>
                <c:pt idx="288">
                  <c:v>76.896810910895468</c:v>
                </c:pt>
                <c:pt idx="289">
                  <c:v>76.878098947483011</c:v>
                </c:pt>
                <c:pt idx="290">
                  <c:v>76.859386984070568</c:v>
                </c:pt>
                <c:pt idx="291">
                  <c:v>76.840675020658125</c:v>
                </c:pt>
                <c:pt idx="292">
                  <c:v>76.821963057245668</c:v>
                </c:pt>
                <c:pt idx="293">
                  <c:v>76.803251093833225</c:v>
                </c:pt>
                <c:pt idx="294">
                  <c:v>76.784539130420782</c:v>
                </c:pt>
                <c:pt idx="295">
                  <c:v>76.765827167008339</c:v>
                </c:pt>
                <c:pt idx="296">
                  <c:v>76.747115203595882</c:v>
                </c:pt>
                <c:pt idx="297">
                  <c:v>76.728403240183439</c:v>
                </c:pt>
                <c:pt idx="298">
                  <c:v>76.709691276770997</c:v>
                </c:pt>
                <c:pt idx="299">
                  <c:v>76.690979313358554</c:v>
                </c:pt>
                <c:pt idx="300">
                  <c:v>76.672267349946097</c:v>
                </c:pt>
                <c:pt idx="301">
                  <c:v>76.653555386533654</c:v>
                </c:pt>
                <c:pt idx="302">
                  <c:v>76.634843423121211</c:v>
                </c:pt>
                <c:pt idx="303">
                  <c:v>76.616131459708754</c:v>
                </c:pt>
                <c:pt idx="304">
                  <c:v>76.597419496296311</c:v>
                </c:pt>
                <c:pt idx="305">
                  <c:v>76.578707532883868</c:v>
                </c:pt>
                <c:pt idx="306">
                  <c:v>76.559995569471425</c:v>
                </c:pt>
                <c:pt idx="307">
                  <c:v>76.541283606058968</c:v>
                </c:pt>
                <c:pt idx="308">
                  <c:v>76.522571642646525</c:v>
                </c:pt>
                <c:pt idx="309">
                  <c:v>76.503859679234083</c:v>
                </c:pt>
                <c:pt idx="310">
                  <c:v>76.48514771582164</c:v>
                </c:pt>
                <c:pt idx="311">
                  <c:v>76.466435752409183</c:v>
                </c:pt>
                <c:pt idx="312">
                  <c:v>76.44772378899674</c:v>
                </c:pt>
                <c:pt idx="313">
                  <c:v>76.429011825584297</c:v>
                </c:pt>
                <c:pt idx="314">
                  <c:v>76.410299862171854</c:v>
                </c:pt>
                <c:pt idx="315">
                  <c:v>76.391587898759397</c:v>
                </c:pt>
                <c:pt idx="316">
                  <c:v>76.372875935346954</c:v>
                </c:pt>
                <c:pt idx="317">
                  <c:v>76.354163971934511</c:v>
                </c:pt>
                <c:pt idx="318">
                  <c:v>76.335452008522054</c:v>
                </c:pt>
                <c:pt idx="319">
                  <c:v>76.316740045109611</c:v>
                </c:pt>
                <c:pt idx="320">
                  <c:v>76.298028081697169</c:v>
                </c:pt>
                <c:pt idx="321">
                  <c:v>76.279316118284726</c:v>
                </c:pt>
                <c:pt idx="322">
                  <c:v>76.260604154872269</c:v>
                </c:pt>
                <c:pt idx="323">
                  <c:v>76.241892191459826</c:v>
                </c:pt>
                <c:pt idx="324">
                  <c:v>76.223180228047383</c:v>
                </c:pt>
                <c:pt idx="325">
                  <c:v>76.204468264634926</c:v>
                </c:pt>
                <c:pt idx="326">
                  <c:v>76.185756301222483</c:v>
                </c:pt>
                <c:pt idx="327">
                  <c:v>76.16704433781004</c:v>
                </c:pt>
                <c:pt idx="328">
                  <c:v>76.148332374397597</c:v>
                </c:pt>
                <c:pt idx="329">
                  <c:v>76.12962041098514</c:v>
                </c:pt>
                <c:pt idx="330">
                  <c:v>76.110908447572697</c:v>
                </c:pt>
                <c:pt idx="331">
                  <c:v>76.092196484160254</c:v>
                </c:pt>
                <c:pt idx="332">
                  <c:v>76.073484520747812</c:v>
                </c:pt>
                <c:pt idx="333">
                  <c:v>76.054772557335355</c:v>
                </c:pt>
                <c:pt idx="334">
                  <c:v>76.036060593922912</c:v>
                </c:pt>
                <c:pt idx="335">
                  <c:v>76.017348630510469</c:v>
                </c:pt>
                <c:pt idx="336">
                  <c:v>75.998636667098026</c:v>
                </c:pt>
                <c:pt idx="337">
                  <c:v>75.979924703685569</c:v>
                </c:pt>
                <c:pt idx="338">
                  <c:v>75.961212740273126</c:v>
                </c:pt>
                <c:pt idx="339">
                  <c:v>75.942500776860683</c:v>
                </c:pt>
                <c:pt idx="340">
                  <c:v>75.923788813448226</c:v>
                </c:pt>
                <c:pt idx="341">
                  <c:v>75.905076850035783</c:v>
                </c:pt>
                <c:pt idx="342">
                  <c:v>75.88636488662334</c:v>
                </c:pt>
                <c:pt idx="343">
                  <c:v>75.867652923210898</c:v>
                </c:pt>
                <c:pt idx="344">
                  <c:v>75.848940959798441</c:v>
                </c:pt>
                <c:pt idx="345">
                  <c:v>75.830228996385998</c:v>
                </c:pt>
                <c:pt idx="346">
                  <c:v>75.811517032973555</c:v>
                </c:pt>
                <c:pt idx="347">
                  <c:v>75.792805069561098</c:v>
                </c:pt>
                <c:pt idx="348">
                  <c:v>75.774093106148655</c:v>
                </c:pt>
                <c:pt idx="349">
                  <c:v>75.755381142736212</c:v>
                </c:pt>
                <c:pt idx="350">
                  <c:v>75.736669179323769</c:v>
                </c:pt>
                <c:pt idx="351">
                  <c:v>75.717957215911312</c:v>
                </c:pt>
                <c:pt idx="352">
                  <c:v>75.699245252498869</c:v>
                </c:pt>
                <c:pt idx="353">
                  <c:v>75.680533289086426</c:v>
                </c:pt>
                <c:pt idx="354">
                  <c:v>75.661821325673984</c:v>
                </c:pt>
                <c:pt idx="355">
                  <c:v>75.643109362261526</c:v>
                </c:pt>
                <c:pt idx="356">
                  <c:v>75.624397398849084</c:v>
                </c:pt>
                <c:pt idx="357">
                  <c:v>75.605685435436641</c:v>
                </c:pt>
                <c:pt idx="358">
                  <c:v>75.586973472024198</c:v>
                </c:pt>
                <c:pt idx="359">
                  <c:v>75.568261508611741</c:v>
                </c:pt>
                <c:pt idx="360">
                  <c:v>75.549549545199298</c:v>
                </c:pt>
                <c:pt idx="361">
                  <c:v>75.530837581786855</c:v>
                </c:pt>
                <c:pt idx="362">
                  <c:v>75.512125618374398</c:v>
                </c:pt>
                <c:pt idx="363">
                  <c:v>75.493413654961955</c:v>
                </c:pt>
                <c:pt idx="364">
                  <c:v>75.474701691549512</c:v>
                </c:pt>
                <c:pt idx="365">
                  <c:v>75.45598972813707</c:v>
                </c:pt>
                <c:pt idx="366">
                  <c:v>75.437277764724612</c:v>
                </c:pt>
                <c:pt idx="367">
                  <c:v>75.41856580131217</c:v>
                </c:pt>
                <c:pt idx="368">
                  <c:v>75.399853837899727</c:v>
                </c:pt>
                <c:pt idx="369">
                  <c:v>75.381141874487284</c:v>
                </c:pt>
                <c:pt idx="370">
                  <c:v>75.362429911074827</c:v>
                </c:pt>
                <c:pt idx="371">
                  <c:v>75.343717947662384</c:v>
                </c:pt>
                <c:pt idx="372">
                  <c:v>75.325005984249941</c:v>
                </c:pt>
                <c:pt idx="373">
                  <c:v>75.306294020837484</c:v>
                </c:pt>
                <c:pt idx="374">
                  <c:v>75.287582057425041</c:v>
                </c:pt>
                <c:pt idx="375">
                  <c:v>75.268870094012598</c:v>
                </c:pt>
                <c:pt idx="376">
                  <c:v>75.250158130600155</c:v>
                </c:pt>
                <c:pt idx="377">
                  <c:v>75.231446167187698</c:v>
                </c:pt>
                <c:pt idx="378">
                  <c:v>75.212734203775256</c:v>
                </c:pt>
                <c:pt idx="379">
                  <c:v>75.194022240362813</c:v>
                </c:pt>
                <c:pt idx="380">
                  <c:v>75.17531027695037</c:v>
                </c:pt>
                <c:pt idx="381">
                  <c:v>75.156598313537913</c:v>
                </c:pt>
                <c:pt idx="382">
                  <c:v>75.13788635012547</c:v>
                </c:pt>
                <c:pt idx="383">
                  <c:v>75.119174386713027</c:v>
                </c:pt>
                <c:pt idx="384">
                  <c:v>75.10046242330057</c:v>
                </c:pt>
                <c:pt idx="385">
                  <c:v>75.081750459888127</c:v>
                </c:pt>
                <c:pt idx="386">
                  <c:v>75.063038496475684</c:v>
                </c:pt>
                <c:pt idx="387">
                  <c:v>75.044326533063241</c:v>
                </c:pt>
                <c:pt idx="388">
                  <c:v>75.025614569650784</c:v>
                </c:pt>
                <c:pt idx="389">
                  <c:v>75.006902606238341</c:v>
                </c:pt>
                <c:pt idx="390">
                  <c:v>74.988190642825899</c:v>
                </c:pt>
                <c:pt idx="391">
                  <c:v>74.969478679413456</c:v>
                </c:pt>
                <c:pt idx="392">
                  <c:v>74.950766716000999</c:v>
                </c:pt>
                <c:pt idx="393">
                  <c:v>74.932054752588556</c:v>
                </c:pt>
                <c:pt idx="394">
                  <c:v>74.913342789176113</c:v>
                </c:pt>
                <c:pt idx="395">
                  <c:v>74.89463082576367</c:v>
                </c:pt>
                <c:pt idx="396">
                  <c:v>74.875918862351213</c:v>
                </c:pt>
                <c:pt idx="397">
                  <c:v>74.85720689893877</c:v>
                </c:pt>
                <c:pt idx="398">
                  <c:v>74.838494935526327</c:v>
                </c:pt>
                <c:pt idx="399">
                  <c:v>74.81978297211387</c:v>
                </c:pt>
                <c:pt idx="400">
                  <c:v>74.801071008701427</c:v>
                </c:pt>
                <c:pt idx="401">
                  <c:v>74.782359045288985</c:v>
                </c:pt>
                <c:pt idx="402">
                  <c:v>74.763647081876542</c:v>
                </c:pt>
                <c:pt idx="403">
                  <c:v>74.744935118464085</c:v>
                </c:pt>
                <c:pt idx="404">
                  <c:v>74.726223155051642</c:v>
                </c:pt>
                <c:pt idx="405">
                  <c:v>74.707511191639199</c:v>
                </c:pt>
                <c:pt idx="406">
                  <c:v>74.688799228226742</c:v>
                </c:pt>
                <c:pt idx="407">
                  <c:v>74.670087264814299</c:v>
                </c:pt>
                <c:pt idx="408">
                  <c:v>74.651375301401856</c:v>
                </c:pt>
                <c:pt idx="409">
                  <c:v>74.632663337989413</c:v>
                </c:pt>
                <c:pt idx="410">
                  <c:v>74.613951374576956</c:v>
                </c:pt>
                <c:pt idx="411">
                  <c:v>74.595239411164513</c:v>
                </c:pt>
                <c:pt idx="412">
                  <c:v>74.576527447752071</c:v>
                </c:pt>
                <c:pt idx="413">
                  <c:v>74.557815484339628</c:v>
                </c:pt>
                <c:pt idx="414">
                  <c:v>74.539103520927171</c:v>
                </c:pt>
                <c:pt idx="415">
                  <c:v>74.520391557514728</c:v>
                </c:pt>
                <c:pt idx="416">
                  <c:v>74.501679594102285</c:v>
                </c:pt>
                <c:pt idx="417">
                  <c:v>74.482967630689842</c:v>
                </c:pt>
                <c:pt idx="418">
                  <c:v>74.464255667277385</c:v>
                </c:pt>
                <c:pt idx="419">
                  <c:v>74.445543703864942</c:v>
                </c:pt>
                <c:pt idx="420">
                  <c:v>74.426831740452499</c:v>
                </c:pt>
                <c:pt idx="421">
                  <c:v>74.408119777040042</c:v>
                </c:pt>
                <c:pt idx="422">
                  <c:v>74.389407813627599</c:v>
                </c:pt>
                <c:pt idx="423">
                  <c:v>74.370695850215156</c:v>
                </c:pt>
                <c:pt idx="424">
                  <c:v>74.351983886802714</c:v>
                </c:pt>
                <c:pt idx="425">
                  <c:v>74.333271923390257</c:v>
                </c:pt>
                <c:pt idx="426">
                  <c:v>74.314559959977814</c:v>
                </c:pt>
                <c:pt idx="427">
                  <c:v>74.295847996565371</c:v>
                </c:pt>
                <c:pt idx="428">
                  <c:v>74.277136033152914</c:v>
                </c:pt>
                <c:pt idx="429">
                  <c:v>74.258424069740471</c:v>
                </c:pt>
                <c:pt idx="430">
                  <c:v>74.239712106328028</c:v>
                </c:pt>
                <c:pt idx="431">
                  <c:v>74.221000142915585</c:v>
                </c:pt>
                <c:pt idx="432">
                  <c:v>74.202288179503142</c:v>
                </c:pt>
                <c:pt idx="433">
                  <c:v>74.183576216090685</c:v>
                </c:pt>
                <c:pt idx="434">
                  <c:v>74.164864252678242</c:v>
                </c:pt>
                <c:pt idx="435">
                  <c:v>74.1461522892658</c:v>
                </c:pt>
                <c:pt idx="436">
                  <c:v>74.127440325853343</c:v>
                </c:pt>
                <c:pt idx="437">
                  <c:v>74.1087283624409</c:v>
                </c:pt>
                <c:pt idx="438">
                  <c:v>74.090016399028457</c:v>
                </c:pt>
                <c:pt idx="439">
                  <c:v>74.071304435616014</c:v>
                </c:pt>
                <c:pt idx="440">
                  <c:v>74.052592472203557</c:v>
                </c:pt>
                <c:pt idx="441">
                  <c:v>74.033880508791114</c:v>
                </c:pt>
                <c:pt idx="442">
                  <c:v>74.015168545378671</c:v>
                </c:pt>
                <c:pt idx="443">
                  <c:v>73.996456581966214</c:v>
                </c:pt>
                <c:pt idx="444">
                  <c:v>73.977744618553771</c:v>
                </c:pt>
                <c:pt idx="445">
                  <c:v>73.959032655141328</c:v>
                </c:pt>
                <c:pt idx="446">
                  <c:v>73.940320691728886</c:v>
                </c:pt>
                <c:pt idx="447">
                  <c:v>73.921608728316428</c:v>
                </c:pt>
                <c:pt idx="448">
                  <c:v>73.902896764903986</c:v>
                </c:pt>
                <c:pt idx="449">
                  <c:v>73.884184801491543</c:v>
                </c:pt>
                <c:pt idx="450">
                  <c:v>73.865472838079086</c:v>
                </c:pt>
                <c:pt idx="451">
                  <c:v>73.846760874666643</c:v>
                </c:pt>
                <c:pt idx="452">
                  <c:v>73.8280489112542</c:v>
                </c:pt>
                <c:pt idx="453">
                  <c:v>73.809336947841757</c:v>
                </c:pt>
                <c:pt idx="454">
                  <c:v>73.790624984429314</c:v>
                </c:pt>
                <c:pt idx="455">
                  <c:v>73.771913021016857</c:v>
                </c:pt>
                <c:pt idx="456">
                  <c:v>73.753201057604414</c:v>
                </c:pt>
                <c:pt idx="457">
                  <c:v>73.734489094191972</c:v>
                </c:pt>
                <c:pt idx="458">
                  <c:v>73.715777130779514</c:v>
                </c:pt>
                <c:pt idx="459">
                  <c:v>73.697065167367072</c:v>
                </c:pt>
                <c:pt idx="460">
                  <c:v>73.678353203954629</c:v>
                </c:pt>
                <c:pt idx="461">
                  <c:v>73.659641240542186</c:v>
                </c:pt>
                <c:pt idx="462">
                  <c:v>73.640929277129729</c:v>
                </c:pt>
                <c:pt idx="463">
                  <c:v>73.622217313717286</c:v>
                </c:pt>
                <c:pt idx="464">
                  <c:v>73.603505350304843</c:v>
                </c:pt>
                <c:pt idx="465">
                  <c:v>73.584793386892386</c:v>
                </c:pt>
                <c:pt idx="466">
                  <c:v>73.566081423479943</c:v>
                </c:pt>
                <c:pt idx="467">
                  <c:v>73.5473694600675</c:v>
                </c:pt>
                <c:pt idx="468">
                  <c:v>73.528657496655057</c:v>
                </c:pt>
                <c:pt idx="469">
                  <c:v>73.5099455332426</c:v>
                </c:pt>
                <c:pt idx="470">
                  <c:v>73.491233569830158</c:v>
                </c:pt>
                <c:pt idx="471">
                  <c:v>73.472521606417715</c:v>
                </c:pt>
                <c:pt idx="472">
                  <c:v>73.453809643005272</c:v>
                </c:pt>
                <c:pt idx="473">
                  <c:v>73.435097679592815</c:v>
                </c:pt>
                <c:pt idx="474">
                  <c:v>73.416385716180372</c:v>
                </c:pt>
                <c:pt idx="475">
                  <c:v>73.397673752767929</c:v>
                </c:pt>
                <c:pt idx="476">
                  <c:v>73.378961789355486</c:v>
                </c:pt>
                <c:pt idx="477">
                  <c:v>73.360249825943029</c:v>
                </c:pt>
                <c:pt idx="478">
                  <c:v>73.341537862530586</c:v>
                </c:pt>
                <c:pt idx="479">
                  <c:v>73.322825899118143</c:v>
                </c:pt>
                <c:pt idx="480">
                  <c:v>73.304113935705686</c:v>
                </c:pt>
                <c:pt idx="481">
                  <c:v>73.285401972293243</c:v>
                </c:pt>
                <c:pt idx="482">
                  <c:v>73.266690008880801</c:v>
                </c:pt>
                <c:pt idx="483">
                  <c:v>73.247978045468358</c:v>
                </c:pt>
                <c:pt idx="484">
                  <c:v>73.229266082055901</c:v>
                </c:pt>
                <c:pt idx="485">
                  <c:v>73.210554118643458</c:v>
                </c:pt>
                <c:pt idx="486">
                  <c:v>73.191842155231015</c:v>
                </c:pt>
                <c:pt idx="487">
                  <c:v>73.173130191818558</c:v>
                </c:pt>
                <c:pt idx="488">
                  <c:v>73.154418228406115</c:v>
                </c:pt>
                <c:pt idx="489">
                  <c:v>73.135706264993672</c:v>
                </c:pt>
                <c:pt idx="490">
                  <c:v>73.116994301581229</c:v>
                </c:pt>
                <c:pt idx="491">
                  <c:v>73.098282338168772</c:v>
                </c:pt>
                <c:pt idx="492">
                  <c:v>73.079570374756329</c:v>
                </c:pt>
                <c:pt idx="493">
                  <c:v>73.060858411343887</c:v>
                </c:pt>
                <c:pt idx="494">
                  <c:v>73.042146447931444</c:v>
                </c:pt>
                <c:pt idx="495">
                  <c:v>73.023434484518987</c:v>
                </c:pt>
                <c:pt idx="496">
                  <c:v>73.004722521106544</c:v>
                </c:pt>
                <c:pt idx="497">
                  <c:v>72.986010557694101</c:v>
                </c:pt>
                <c:pt idx="498">
                  <c:v>72.967298594281658</c:v>
                </c:pt>
                <c:pt idx="499">
                  <c:v>72.948586630869201</c:v>
                </c:pt>
                <c:pt idx="500">
                  <c:v>72.929874667456758</c:v>
                </c:pt>
                <c:pt idx="501">
                  <c:v>72.911162704044315</c:v>
                </c:pt>
                <c:pt idx="502">
                  <c:v>72.892450740631858</c:v>
                </c:pt>
                <c:pt idx="503">
                  <c:v>72.873738777219415</c:v>
                </c:pt>
                <c:pt idx="504">
                  <c:v>72.855026813806973</c:v>
                </c:pt>
                <c:pt idx="505">
                  <c:v>72.83631485039453</c:v>
                </c:pt>
                <c:pt idx="506">
                  <c:v>72.817602886982073</c:v>
                </c:pt>
                <c:pt idx="507">
                  <c:v>72.79889092356963</c:v>
                </c:pt>
                <c:pt idx="508">
                  <c:v>72.780178960157187</c:v>
                </c:pt>
                <c:pt idx="509">
                  <c:v>72.76146699674473</c:v>
                </c:pt>
                <c:pt idx="510">
                  <c:v>72.742755033332287</c:v>
                </c:pt>
                <c:pt idx="511">
                  <c:v>72.724043069919844</c:v>
                </c:pt>
                <c:pt idx="512">
                  <c:v>72.705331106507401</c:v>
                </c:pt>
                <c:pt idx="513">
                  <c:v>72.686619143094958</c:v>
                </c:pt>
                <c:pt idx="514">
                  <c:v>72.667907179682501</c:v>
                </c:pt>
                <c:pt idx="515">
                  <c:v>72.649195216270058</c:v>
                </c:pt>
                <c:pt idx="516">
                  <c:v>72.630483252857616</c:v>
                </c:pt>
                <c:pt idx="517">
                  <c:v>72.611771289445159</c:v>
                </c:pt>
                <c:pt idx="518">
                  <c:v>72.593059326032716</c:v>
                </c:pt>
                <c:pt idx="519">
                  <c:v>72.574347362620273</c:v>
                </c:pt>
                <c:pt idx="520">
                  <c:v>72.55563539920783</c:v>
                </c:pt>
                <c:pt idx="521">
                  <c:v>72.536923435795373</c:v>
                </c:pt>
                <c:pt idx="522">
                  <c:v>72.51821147238293</c:v>
                </c:pt>
                <c:pt idx="523">
                  <c:v>72.499499508970487</c:v>
                </c:pt>
                <c:pt idx="524">
                  <c:v>72.48078754555803</c:v>
                </c:pt>
                <c:pt idx="525">
                  <c:v>72.462075582145587</c:v>
                </c:pt>
                <c:pt idx="526">
                  <c:v>72.443363618733144</c:v>
                </c:pt>
                <c:pt idx="527">
                  <c:v>72.424651655320702</c:v>
                </c:pt>
                <c:pt idx="528">
                  <c:v>72.405939691908245</c:v>
                </c:pt>
                <c:pt idx="529">
                  <c:v>72.387227728495802</c:v>
                </c:pt>
                <c:pt idx="530">
                  <c:v>72.368515765083359</c:v>
                </c:pt>
                <c:pt idx="531">
                  <c:v>72.349803801670916</c:v>
                </c:pt>
                <c:pt idx="532">
                  <c:v>72.331091838258459</c:v>
                </c:pt>
                <c:pt idx="533">
                  <c:v>72.312379874846016</c:v>
                </c:pt>
                <c:pt idx="534">
                  <c:v>72.293667911433573</c:v>
                </c:pt>
                <c:pt idx="535">
                  <c:v>72.27495594802113</c:v>
                </c:pt>
                <c:pt idx="536">
                  <c:v>72.256243984608673</c:v>
                </c:pt>
                <c:pt idx="537">
                  <c:v>72.23753202119623</c:v>
                </c:pt>
                <c:pt idx="538">
                  <c:v>72.218820057783788</c:v>
                </c:pt>
                <c:pt idx="539">
                  <c:v>72.20010809437133</c:v>
                </c:pt>
                <c:pt idx="540">
                  <c:v>72.181396130958888</c:v>
                </c:pt>
                <c:pt idx="541">
                  <c:v>72.162684167546445</c:v>
                </c:pt>
                <c:pt idx="542">
                  <c:v>72.143972204134002</c:v>
                </c:pt>
                <c:pt idx="543">
                  <c:v>72.125260240721545</c:v>
                </c:pt>
                <c:pt idx="544">
                  <c:v>72.106548277309102</c:v>
                </c:pt>
                <c:pt idx="545">
                  <c:v>72.087836313896659</c:v>
                </c:pt>
                <c:pt idx="546">
                  <c:v>72.069124350484202</c:v>
                </c:pt>
                <c:pt idx="547">
                  <c:v>72.050412387071759</c:v>
                </c:pt>
                <c:pt idx="548">
                  <c:v>72.031700423659316</c:v>
                </c:pt>
                <c:pt idx="549">
                  <c:v>72.012988460246874</c:v>
                </c:pt>
                <c:pt idx="550">
                  <c:v>71.994276496834416</c:v>
                </c:pt>
                <c:pt idx="551">
                  <c:v>71.975564533421974</c:v>
                </c:pt>
                <c:pt idx="552">
                  <c:v>71.956852570009531</c:v>
                </c:pt>
                <c:pt idx="553">
                  <c:v>71.938140606597088</c:v>
                </c:pt>
                <c:pt idx="554">
                  <c:v>71.919428643184631</c:v>
                </c:pt>
                <c:pt idx="555">
                  <c:v>71.900716679772188</c:v>
                </c:pt>
                <c:pt idx="556">
                  <c:v>71.882004716359745</c:v>
                </c:pt>
                <c:pt idx="557">
                  <c:v>71.863292752947302</c:v>
                </c:pt>
                <c:pt idx="558">
                  <c:v>71.844580789534845</c:v>
                </c:pt>
                <c:pt idx="559">
                  <c:v>71.825868826122402</c:v>
                </c:pt>
                <c:pt idx="560">
                  <c:v>71.807156862709959</c:v>
                </c:pt>
                <c:pt idx="561">
                  <c:v>71.788444899297502</c:v>
                </c:pt>
                <c:pt idx="562">
                  <c:v>71.76973293588506</c:v>
                </c:pt>
                <c:pt idx="563">
                  <c:v>71.751020972472617</c:v>
                </c:pt>
                <c:pt idx="564">
                  <c:v>71.732309009060174</c:v>
                </c:pt>
                <c:pt idx="565">
                  <c:v>71.713597045647717</c:v>
                </c:pt>
                <c:pt idx="566">
                  <c:v>71.694885082235274</c:v>
                </c:pt>
                <c:pt idx="567">
                  <c:v>71.676173118822831</c:v>
                </c:pt>
                <c:pt idx="568">
                  <c:v>71.657461155410374</c:v>
                </c:pt>
                <c:pt idx="569">
                  <c:v>71.638749191997931</c:v>
                </c:pt>
                <c:pt idx="570">
                  <c:v>71.620037228585488</c:v>
                </c:pt>
                <c:pt idx="571">
                  <c:v>71.601325265173045</c:v>
                </c:pt>
                <c:pt idx="572">
                  <c:v>71.582613301760603</c:v>
                </c:pt>
                <c:pt idx="573">
                  <c:v>71.563901338348145</c:v>
                </c:pt>
                <c:pt idx="574">
                  <c:v>71.545189374935703</c:v>
                </c:pt>
                <c:pt idx="575">
                  <c:v>71.52647741152326</c:v>
                </c:pt>
                <c:pt idx="576">
                  <c:v>71.507765448110803</c:v>
                </c:pt>
                <c:pt idx="577">
                  <c:v>71.48905348469836</c:v>
                </c:pt>
                <c:pt idx="578">
                  <c:v>71.470341521285917</c:v>
                </c:pt>
                <c:pt idx="579">
                  <c:v>71.451629557873474</c:v>
                </c:pt>
                <c:pt idx="580">
                  <c:v>71.432917594461017</c:v>
                </c:pt>
                <c:pt idx="581">
                  <c:v>71.414205631048574</c:v>
                </c:pt>
                <c:pt idx="582">
                  <c:v>71.395493667636131</c:v>
                </c:pt>
                <c:pt idx="583">
                  <c:v>71.376781704223674</c:v>
                </c:pt>
                <c:pt idx="584">
                  <c:v>71.358069740811231</c:v>
                </c:pt>
                <c:pt idx="585">
                  <c:v>71.339357777398789</c:v>
                </c:pt>
                <c:pt idx="586">
                  <c:v>71.320645813986346</c:v>
                </c:pt>
                <c:pt idx="587">
                  <c:v>71.301933850573889</c:v>
                </c:pt>
                <c:pt idx="588">
                  <c:v>71.283221887161446</c:v>
                </c:pt>
                <c:pt idx="589">
                  <c:v>71.264509923749003</c:v>
                </c:pt>
                <c:pt idx="590">
                  <c:v>71.245797960336546</c:v>
                </c:pt>
                <c:pt idx="591">
                  <c:v>71.227085996924103</c:v>
                </c:pt>
                <c:pt idx="592">
                  <c:v>71.20837403351166</c:v>
                </c:pt>
                <c:pt idx="593">
                  <c:v>71.189662070099217</c:v>
                </c:pt>
                <c:pt idx="594">
                  <c:v>71.170950106686774</c:v>
                </c:pt>
                <c:pt idx="595">
                  <c:v>71.152238143274317</c:v>
                </c:pt>
                <c:pt idx="596">
                  <c:v>71.133526179861875</c:v>
                </c:pt>
                <c:pt idx="597">
                  <c:v>71.114814216449432</c:v>
                </c:pt>
                <c:pt idx="598">
                  <c:v>71.096102253036975</c:v>
                </c:pt>
                <c:pt idx="599">
                  <c:v>71.077390289624532</c:v>
                </c:pt>
                <c:pt idx="600">
                  <c:v>71.058678326212089</c:v>
                </c:pt>
                <c:pt idx="601">
                  <c:v>71.039966362799646</c:v>
                </c:pt>
                <c:pt idx="602">
                  <c:v>71.021254399387189</c:v>
                </c:pt>
                <c:pt idx="603">
                  <c:v>71.002542435974746</c:v>
                </c:pt>
                <c:pt idx="604">
                  <c:v>70.983830472562303</c:v>
                </c:pt>
                <c:pt idx="605">
                  <c:v>70.965118509149846</c:v>
                </c:pt>
                <c:pt idx="606">
                  <c:v>70.946406545737403</c:v>
                </c:pt>
                <c:pt idx="607">
                  <c:v>70.92769458232496</c:v>
                </c:pt>
                <c:pt idx="608">
                  <c:v>70.908982618912518</c:v>
                </c:pt>
                <c:pt idx="609">
                  <c:v>70.890270655500061</c:v>
                </c:pt>
                <c:pt idx="610">
                  <c:v>70.871558692087618</c:v>
                </c:pt>
                <c:pt idx="611">
                  <c:v>70.852846728675175</c:v>
                </c:pt>
                <c:pt idx="612">
                  <c:v>70.834134765262732</c:v>
                </c:pt>
                <c:pt idx="613">
                  <c:v>70.815422801850275</c:v>
                </c:pt>
                <c:pt idx="614">
                  <c:v>70.796710838437832</c:v>
                </c:pt>
                <c:pt idx="615">
                  <c:v>70.777998875025389</c:v>
                </c:pt>
                <c:pt idx="616">
                  <c:v>70.759286911612946</c:v>
                </c:pt>
                <c:pt idx="617">
                  <c:v>70.740574948200489</c:v>
                </c:pt>
                <c:pt idx="618">
                  <c:v>70.721862984788046</c:v>
                </c:pt>
                <c:pt idx="619">
                  <c:v>70.703151021375604</c:v>
                </c:pt>
                <c:pt idx="620">
                  <c:v>70.684439057963147</c:v>
                </c:pt>
                <c:pt idx="621">
                  <c:v>70.665727094550704</c:v>
                </c:pt>
                <c:pt idx="622">
                  <c:v>70.647015131138261</c:v>
                </c:pt>
                <c:pt idx="623">
                  <c:v>70.628303167725818</c:v>
                </c:pt>
                <c:pt idx="624">
                  <c:v>70.609591204313361</c:v>
                </c:pt>
                <c:pt idx="625">
                  <c:v>70.590879240900918</c:v>
                </c:pt>
                <c:pt idx="626">
                  <c:v>70.572167277488475</c:v>
                </c:pt>
                <c:pt idx="627">
                  <c:v>70.553455314076018</c:v>
                </c:pt>
                <c:pt idx="628">
                  <c:v>70.534743350663575</c:v>
                </c:pt>
                <c:pt idx="629">
                  <c:v>70.516031387251132</c:v>
                </c:pt>
                <c:pt idx="630">
                  <c:v>70.49731942383869</c:v>
                </c:pt>
                <c:pt idx="631">
                  <c:v>70.478607460426232</c:v>
                </c:pt>
                <c:pt idx="632">
                  <c:v>70.45989549701379</c:v>
                </c:pt>
                <c:pt idx="633">
                  <c:v>70.441183533601347</c:v>
                </c:pt>
                <c:pt idx="634">
                  <c:v>70.422471570188904</c:v>
                </c:pt>
                <c:pt idx="635">
                  <c:v>70.403759606776447</c:v>
                </c:pt>
                <c:pt idx="636">
                  <c:v>70.385047643364004</c:v>
                </c:pt>
                <c:pt idx="637">
                  <c:v>70.366335679951561</c:v>
                </c:pt>
                <c:pt idx="638">
                  <c:v>70.347623716539118</c:v>
                </c:pt>
                <c:pt idx="639">
                  <c:v>70.328911753126661</c:v>
                </c:pt>
                <c:pt idx="640">
                  <c:v>70.310199789714218</c:v>
                </c:pt>
                <c:pt idx="641">
                  <c:v>70.291487826301775</c:v>
                </c:pt>
                <c:pt idx="642">
                  <c:v>70.272775862889318</c:v>
                </c:pt>
                <c:pt idx="643">
                  <c:v>70.254063899476876</c:v>
                </c:pt>
                <c:pt idx="644">
                  <c:v>70.235351936064433</c:v>
                </c:pt>
                <c:pt idx="645">
                  <c:v>70.21663997265199</c:v>
                </c:pt>
                <c:pt idx="646">
                  <c:v>70.197928009239533</c:v>
                </c:pt>
                <c:pt idx="647">
                  <c:v>70.17921604582709</c:v>
                </c:pt>
                <c:pt idx="648">
                  <c:v>70.160504082414647</c:v>
                </c:pt>
                <c:pt idx="649">
                  <c:v>70.14179211900219</c:v>
                </c:pt>
                <c:pt idx="650">
                  <c:v>70.123080155589747</c:v>
                </c:pt>
                <c:pt idx="651">
                  <c:v>70.104368192177304</c:v>
                </c:pt>
                <c:pt idx="652">
                  <c:v>70.085656228764861</c:v>
                </c:pt>
                <c:pt idx="653">
                  <c:v>70.066944265352419</c:v>
                </c:pt>
                <c:pt idx="654">
                  <c:v>70.048232301939962</c:v>
                </c:pt>
                <c:pt idx="655">
                  <c:v>70.029520338527519</c:v>
                </c:pt>
                <c:pt idx="656">
                  <c:v>70.010808375115076</c:v>
                </c:pt>
                <c:pt idx="657">
                  <c:v>69.992096411702619</c:v>
                </c:pt>
                <c:pt idx="658">
                  <c:v>69.973384448290176</c:v>
                </c:pt>
                <c:pt idx="659">
                  <c:v>69.954672484877733</c:v>
                </c:pt>
                <c:pt idx="660">
                  <c:v>69.93596052146529</c:v>
                </c:pt>
                <c:pt idx="661">
                  <c:v>69.917248558052833</c:v>
                </c:pt>
                <c:pt idx="662">
                  <c:v>69.89853659464039</c:v>
                </c:pt>
                <c:pt idx="663">
                  <c:v>69.879824631227947</c:v>
                </c:pt>
                <c:pt idx="664">
                  <c:v>69.86111266781549</c:v>
                </c:pt>
                <c:pt idx="665">
                  <c:v>69.842400704403047</c:v>
                </c:pt>
                <c:pt idx="666">
                  <c:v>69.823688740990605</c:v>
                </c:pt>
                <c:pt idx="667">
                  <c:v>69.804976777578162</c:v>
                </c:pt>
                <c:pt idx="668">
                  <c:v>69.786264814165705</c:v>
                </c:pt>
                <c:pt idx="669">
                  <c:v>69.767552850753262</c:v>
                </c:pt>
                <c:pt idx="670">
                  <c:v>69.748840887340819</c:v>
                </c:pt>
                <c:pt idx="671">
                  <c:v>69.730128923928362</c:v>
                </c:pt>
                <c:pt idx="672">
                  <c:v>69.711416960515919</c:v>
                </c:pt>
                <c:pt idx="673">
                  <c:v>69.692704997103476</c:v>
                </c:pt>
                <c:pt idx="674">
                  <c:v>69.673993033691033</c:v>
                </c:pt>
                <c:pt idx="675">
                  <c:v>69.655281070278591</c:v>
                </c:pt>
                <c:pt idx="676">
                  <c:v>69.636569106866133</c:v>
                </c:pt>
                <c:pt idx="677">
                  <c:v>69.617857143453691</c:v>
                </c:pt>
                <c:pt idx="678">
                  <c:v>69.599145180041248</c:v>
                </c:pt>
                <c:pt idx="679">
                  <c:v>69.580433216628791</c:v>
                </c:pt>
                <c:pt idx="680">
                  <c:v>69.561721253216348</c:v>
                </c:pt>
                <c:pt idx="681">
                  <c:v>69.543009289803905</c:v>
                </c:pt>
                <c:pt idx="682">
                  <c:v>69.524297326391462</c:v>
                </c:pt>
                <c:pt idx="683">
                  <c:v>69.505585362979005</c:v>
                </c:pt>
                <c:pt idx="684">
                  <c:v>69.486873399566562</c:v>
                </c:pt>
                <c:pt idx="685">
                  <c:v>69.468161436154119</c:v>
                </c:pt>
                <c:pt idx="686">
                  <c:v>69.449449472741662</c:v>
                </c:pt>
                <c:pt idx="687">
                  <c:v>69.430737509329219</c:v>
                </c:pt>
                <c:pt idx="688">
                  <c:v>69.412025545916777</c:v>
                </c:pt>
                <c:pt idx="689">
                  <c:v>69.393313582504334</c:v>
                </c:pt>
                <c:pt idx="690">
                  <c:v>69.374601619091877</c:v>
                </c:pt>
                <c:pt idx="691">
                  <c:v>69.355889655679434</c:v>
                </c:pt>
                <c:pt idx="692">
                  <c:v>69.337177692266991</c:v>
                </c:pt>
                <c:pt idx="693">
                  <c:v>69.318465728854548</c:v>
                </c:pt>
                <c:pt idx="694">
                  <c:v>69.299753765442091</c:v>
                </c:pt>
                <c:pt idx="695">
                  <c:v>69.281041802029648</c:v>
                </c:pt>
                <c:pt idx="696">
                  <c:v>69.262329838617205</c:v>
                </c:pt>
                <c:pt idx="697">
                  <c:v>69.243617875204762</c:v>
                </c:pt>
                <c:pt idx="698">
                  <c:v>69.224905911792305</c:v>
                </c:pt>
                <c:pt idx="699">
                  <c:v>69.206193948379862</c:v>
                </c:pt>
                <c:pt idx="700">
                  <c:v>69.18748198496742</c:v>
                </c:pt>
                <c:pt idx="701">
                  <c:v>69.168770021554963</c:v>
                </c:pt>
                <c:pt idx="702">
                  <c:v>69.15005805814252</c:v>
                </c:pt>
                <c:pt idx="703">
                  <c:v>69.131346094730077</c:v>
                </c:pt>
                <c:pt idx="704">
                  <c:v>69.112634131317634</c:v>
                </c:pt>
                <c:pt idx="705">
                  <c:v>69.093922167905177</c:v>
                </c:pt>
                <c:pt idx="706">
                  <c:v>69.075210204492734</c:v>
                </c:pt>
                <c:pt idx="707">
                  <c:v>69.056498241080291</c:v>
                </c:pt>
                <c:pt idx="708">
                  <c:v>69.037786277667834</c:v>
                </c:pt>
                <c:pt idx="709">
                  <c:v>69.019074314255391</c:v>
                </c:pt>
                <c:pt idx="710">
                  <c:v>69.000362350842948</c:v>
                </c:pt>
                <c:pt idx="711">
                  <c:v>68.981650387430506</c:v>
                </c:pt>
                <c:pt idx="712">
                  <c:v>68.962938424018049</c:v>
                </c:pt>
                <c:pt idx="713">
                  <c:v>68.944226460605606</c:v>
                </c:pt>
                <c:pt idx="714">
                  <c:v>68.925514497193163</c:v>
                </c:pt>
                <c:pt idx="715">
                  <c:v>68.90680253378072</c:v>
                </c:pt>
                <c:pt idx="716">
                  <c:v>68.888090570368263</c:v>
                </c:pt>
                <c:pt idx="717">
                  <c:v>68.86937860695582</c:v>
                </c:pt>
                <c:pt idx="718">
                  <c:v>68.850666643543377</c:v>
                </c:pt>
                <c:pt idx="719">
                  <c:v>68.831954680130934</c:v>
                </c:pt>
                <c:pt idx="720">
                  <c:v>68.813242716718477</c:v>
                </c:pt>
                <c:pt idx="721">
                  <c:v>68.794530753306034</c:v>
                </c:pt>
                <c:pt idx="722">
                  <c:v>68.775818789893592</c:v>
                </c:pt>
                <c:pt idx="723">
                  <c:v>68.757106826481134</c:v>
                </c:pt>
                <c:pt idx="724">
                  <c:v>68.738394863068692</c:v>
                </c:pt>
                <c:pt idx="725">
                  <c:v>68.719682899656249</c:v>
                </c:pt>
                <c:pt idx="726">
                  <c:v>68.700970936243806</c:v>
                </c:pt>
                <c:pt idx="727">
                  <c:v>68.682258972831349</c:v>
                </c:pt>
                <c:pt idx="728">
                  <c:v>68.663547009418906</c:v>
                </c:pt>
                <c:pt idx="729">
                  <c:v>68.644835046006463</c:v>
                </c:pt>
                <c:pt idx="730">
                  <c:v>68.626123082594006</c:v>
                </c:pt>
                <c:pt idx="731">
                  <c:v>68.607411119181563</c:v>
                </c:pt>
                <c:pt idx="732">
                  <c:v>68.58869915576912</c:v>
                </c:pt>
                <c:pt idx="733">
                  <c:v>68.569987192356677</c:v>
                </c:pt>
                <c:pt idx="734">
                  <c:v>68.551275228944235</c:v>
                </c:pt>
                <c:pt idx="735">
                  <c:v>68.532563265531778</c:v>
                </c:pt>
                <c:pt idx="736">
                  <c:v>68.513851302119335</c:v>
                </c:pt>
                <c:pt idx="737">
                  <c:v>68.495139338706892</c:v>
                </c:pt>
                <c:pt idx="738">
                  <c:v>68.476427375294435</c:v>
                </c:pt>
                <c:pt idx="739">
                  <c:v>68.457715411881992</c:v>
                </c:pt>
                <c:pt idx="740">
                  <c:v>68.439003448469549</c:v>
                </c:pt>
                <c:pt idx="741">
                  <c:v>68.420291485057106</c:v>
                </c:pt>
                <c:pt idx="742">
                  <c:v>68.401579521644649</c:v>
                </c:pt>
                <c:pt idx="743">
                  <c:v>68.382867558232206</c:v>
                </c:pt>
                <c:pt idx="744">
                  <c:v>68.364155594819763</c:v>
                </c:pt>
                <c:pt idx="745">
                  <c:v>68.345443631407306</c:v>
                </c:pt>
                <c:pt idx="746">
                  <c:v>68.326731667994864</c:v>
                </c:pt>
                <c:pt idx="747">
                  <c:v>68.308019704582421</c:v>
                </c:pt>
                <c:pt idx="748">
                  <c:v>68.289307741169978</c:v>
                </c:pt>
                <c:pt idx="749">
                  <c:v>68.270595777757521</c:v>
                </c:pt>
                <c:pt idx="750">
                  <c:v>68.251883814345078</c:v>
                </c:pt>
                <c:pt idx="751">
                  <c:v>68.233171850932635</c:v>
                </c:pt>
                <c:pt idx="752">
                  <c:v>68.214459887520192</c:v>
                </c:pt>
                <c:pt idx="753">
                  <c:v>68.195747924107735</c:v>
                </c:pt>
                <c:pt idx="754">
                  <c:v>68.177035960695292</c:v>
                </c:pt>
                <c:pt idx="755">
                  <c:v>68.158323997282849</c:v>
                </c:pt>
                <c:pt idx="756">
                  <c:v>68.139612033870407</c:v>
                </c:pt>
                <c:pt idx="757">
                  <c:v>68.120900070457949</c:v>
                </c:pt>
                <c:pt idx="758">
                  <c:v>68.102188107045507</c:v>
                </c:pt>
                <c:pt idx="759">
                  <c:v>68.083476143633064</c:v>
                </c:pt>
                <c:pt idx="760">
                  <c:v>68.064764180220607</c:v>
                </c:pt>
                <c:pt idx="761">
                  <c:v>68.046052216808164</c:v>
                </c:pt>
                <c:pt idx="762">
                  <c:v>68.027340253395721</c:v>
                </c:pt>
                <c:pt idx="763">
                  <c:v>68.008628289983278</c:v>
                </c:pt>
                <c:pt idx="764">
                  <c:v>67.989916326570821</c:v>
                </c:pt>
                <c:pt idx="765">
                  <c:v>67.971204363158378</c:v>
                </c:pt>
                <c:pt idx="766">
                  <c:v>67.952492399745935</c:v>
                </c:pt>
                <c:pt idx="767">
                  <c:v>67.933780436333478</c:v>
                </c:pt>
                <c:pt idx="768">
                  <c:v>67.915068472921035</c:v>
                </c:pt>
                <c:pt idx="769">
                  <c:v>67.896356509508593</c:v>
                </c:pt>
                <c:pt idx="770">
                  <c:v>67.87764454609615</c:v>
                </c:pt>
                <c:pt idx="771">
                  <c:v>67.858932582683693</c:v>
                </c:pt>
                <c:pt idx="772">
                  <c:v>67.84022061927125</c:v>
                </c:pt>
                <c:pt idx="773">
                  <c:v>67.821508655858807</c:v>
                </c:pt>
                <c:pt idx="774">
                  <c:v>67.802796692446364</c:v>
                </c:pt>
                <c:pt idx="775">
                  <c:v>67.784084729033907</c:v>
                </c:pt>
                <c:pt idx="776">
                  <c:v>67.765372765621464</c:v>
                </c:pt>
                <c:pt idx="777">
                  <c:v>67.746660802209021</c:v>
                </c:pt>
                <c:pt idx="778">
                  <c:v>67.727948838796578</c:v>
                </c:pt>
                <c:pt idx="779">
                  <c:v>67.709236875384121</c:v>
                </c:pt>
                <c:pt idx="780">
                  <c:v>67.690524911971679</c:v>
                </c:pt>
                <c:pt idx="781">
                  <c:v>67.671812948559236</c:v>
                </c:pt>
                <c:pt idx="782">
                  <c:v>67.653100985146779</c:v>
                </c:pt>
                <c:pt idx="783">
                  <c:v>67.634389021734336</c:v>
                </c:pt>
                <c:pt idx="784">
                  <c:v>67.615677058321893</c:v>
                </c:pt>
                <c:pt idx="785">
                  <c:v>67.59696509490945</c:v>
                </c:pt>
                <c:pt idx="786">
                  <c:v>67.578253131496993</c:v>
                </c:pt>
                <c:pt idx="787">
                  <c:v>67.55954116808455</c:v>
                </c:pt>
                <c:pt idx="788">
                  <c:v>67.540829204672107</c:v>
                </c:pt>
                <c:pt idx="789">
                  <c:v>67.52211724125965</c:v>
                </c:pt>
                <c:pt idx="790">
                  <c:v>67.503405277847207</c:v>
                </c:pt>
                <c:pt idx="791">
                  <c:v>67.484693314434764</c:v>
                </c:pt>
                <c:pt idx="792">
                  <c:v>67.465981351022322</c:v>
                </c:pt>
                <c:pt idx="793">
                  <c:v>67.447269387609879</c:v>
                </c:pt>
                <c:pt idx="794">
                  <c:v>67.428557424197422</c:v>
                </c:pt>
                <c:pt idx="795">
                  <c:v>67.409845460784979</c:v>
                </c:pt>
                <c:pt idx="796">
                  <c:v>67.391133497372536</c:v>
                </c:pt>
                <c:pt idx="797">
                  <c:v>67.372421533960079</c:v>
                </c:pt>
                <c:pt idx="798">
                  <c:v>67.353709570547636</c:v>
                </c:pt>
                <c:pt idx="799">
                  <c:v>67.334997607135193</c:v>
                </c:pt>
                <c:pt idx="800">
                  <c:v>67.31628564372275</c:v>
                </c:pt>
                <c:pt idx="801">
                  <c:v>67.297573680310293</c:v>
                </c:pt>
                <c:pt idx="802">
                  <c:v>67.27886171689785</c:v>
                </c:pt>
                <c:pt idx="803">
                  <c:v>67.260149753485408</c:v>
                </c:pt>
                <c:pt idx="804">
                  <c:v>67.241437790072951</c:v>
                </c:pt>
                <c:pt idx="805">
                  <c:v>67.222725826660508</c:v>
                </c:pt>
                <c:pt idx="806">
                  <c:v>67.204013863248065</c:v>
                </c:pt>
                <c:pt idx="807">
                  <c:v>67.185301899835622</c:v>
                </c:pt>
                <c:pt idx="808">
                  <c:v>67.166589936423165</c:v>
                </c:pt>
                <c:pt idx="809">
                  <c:v>67.147877973010722</c:v>
                </c:pt>
                <c:pt idx="810">
                  <c:v>67.129166009598279</c:v>
                </c:pt>
                <c:pt idx="811">
                  <c:v>67.110454046185822</c:v>
                </c:pt>
                <c:pt idx="812">
                  <c:v>67.091742082773379</c:v>
                </c:pt>
                <c:pt idx="813">
                  <c:v>67.073030119360936</c:v>
                </c:pt>
                <c:pt idx="814">
                  <c:v>67.054318155948494</c:v>
                </c:pt>
                <c:pt idx="815">
                  <c:v>67.035606192536051</c:v>
                </c:pt>
                <c:pt idx="816">
                  <c:v>67.016894229123594</c:v>
                </c:pt>
                <c:pt idx="817">
                  <c:v>66.998182265711151</c:v>
                </c:pt>
                <c:pt idx="818">
                  <c:v>66.979470302298708</c:v>
                </c:pt>
                <c:pt idx="819">
                  <c:v>66.960758338886251</c:v>
                </c:pt>
                <c:pt idx="820">
                  <c:v>66.942046375473808</c:v>
                </c:pt>
                <c:pt idx="821">
                  <c:v>66.923334412061365</c:v>
                </c:pt>
                <c:pt idx="822">
                  <c:v>66.904622448648922</c:v>
                </c:pt>
                <c:pt idx="823">
                  <c:v>66.885910485236465</c:v>
                </c:pt>
                <c:pt idx="824">
                  <c:v>66.867198521824022</c:v>
                </c:pt>
                <c:pt idx="825">
                  <c:v>66.848486558411579</c:v>
                </c:pt>
                <c:pt idx="826">
                  <c:v>66.829774594999122</c:v>
                </c:pt>
                <c:pt idx="827">
                  <c:v>66.81106263158668</c:v>
                </c:pt>
                <c:pt idx="828">
                  <c:v>66.792350668174237</c:v>
                </c:pt>
                <c:pt idx="829">
                  <c:v>66.773638704761794</c:v>
                </c:pt>
                <c:pt idx="830">
                  <c:v>66.754926741349337</c:v>
                </c:pt>
                <c:pt idx="831">
                  <c:v>66.736214777936894</c:v>
                </c:pt>
                <c:pt idx="832">
                  <c:v>66.717502814524451</c:v>
                </c:pt>
                <c:pt idx="833">
                  <c:v>66.698790851112008</c:v>
                </c:pt>
                <c:pt idx="834">
                  <c:v>66.680078887699551</c:v>
                </c:pt>
                <c:pt idx="835">
                  <c:v>66.661366924287108</c:v>
                </c:pt>
                <c:pt idx="836">
                  <c:v>66.642654960874665</c:v>
                </c:pt>
                <c:pt idx="837">
                  <c:v>66.623942997462223</c:v>
                </c:pt>
                <c:pt idx="838">
                  <c:v>66.605231034049766</c:v>
                </c:pt>
                <c:pt idx="839">
                  <c:v>66.586519070637323</c:v>
                </c:pt>
                <c:pt idx="840">
                  <c:v>66.56780710722488</c:v>
                </c:pt>
                <c:pt idx="841">
                  <c:v>66.549095143812423</c:v>
                </c:pt>
                <c:pt idx="842">
                  <c:v>66.53038318039998</c:v>
                </c:pt>
                <c:pt idx="843">
                  <c:v>66.511671216987537</c:v>
                </c:pt>
                <c:pt idx="844">
                  <c:v>66.492959253575094</c:v>
                </c:pt>
                <c:pt idx="845">
                  <c:v>66.474247290162637</c:v>
                </c:pt>
                <c:pt idx="846">
                  <c:v>66.455535326750194</c:v>
                </c:pt>
                <c:pt idx="847">
                  <c:v>66.436823363337751</c:v>
                </c:pt>
                <c:pt idx="848">
                  <c:v>66.418111399925294</c:v>
                </c:pt>
                <c:pt idx="849">
                  <c:v>66.399399436512851</c:v>
                </c:pt>
                <c:pt idx="850">
                  <c:v>66.380687473100409</c:v>
                </c:pt>
                <c:pt idx="851">
                  <c:v>66.361975509687966</c:v>
                </c:pt>
                <c:pt idx="852">
                  <c:v>66.343263546275509</c:v>
                </c:pt>
                <c:pt idx="853">
                  <c:v>66.324551582863066</c:v>
                </c:pt>
                <c:pt idx="854">
                  <c:v>66.305839619450623</c:v>
                </c:pt>
                <c:pt idx="855">
                  <c:v>66.287127656038166</c:v>
                </c:pt>
                <c:pt idx="856">
                  <c:v>66.268415692625723</c:v>
                </c:pt>
                <c:pt idx="857">
                  <c:v>66.24970372921328</c:v>
                </c:pt>
                <c:pt idx="858">
                  <c:v>66.230991765800837</c:v>
                </c:pt>
                <c:pt idx="859">
                  <c:v>66.212279802388395</c:v>
                </c:pt>
                <c:pt idx="860">
                  <c:v>66.193567838975937</c:v>
                </c:pt>
                <c:pt idx="861">
                  <c:v>66.174855875563495</c:v>
                </c:pt>
                <c:pt idx="862">
                  <c:v>66.156143912151052</c:v>
                </c:pt>
                <c:pt idx="863">
                  <c:v>66.137431948738595</c:v>
                </c:pt>
                <c:pt idx="864">
                  <c:v>66.118719985326152</c:v>
                </c:pt>
                <c:pt idx="865">
                  <c:v>66.100008021913709</c:v>
                </c:pt>
                <c:pt idx="866">
                  <c:v>66.081296058501266</c:v>
                </c:pt>
                <c:pt idx="867">
                  <c:v>66.062584095088809</c:v>
                </c:pt>
                <c:pt idx="868">
                  <c:v>66.043872131676366</c:v>
                </c:pt>
                <c:pt idx="869">
                  <c:v>66.025160168263923</c:v>
                </c:pt>
                <c:pt idx="870">
                  <c:v>66.006448204851466</c:v>
                </c:pt>
                <c:pt idx="871">
                  <c:v>65.987736241439023</c:v>
                </c:pt>
                <c:pt idx="872">
                  <c:v>65.969024278026581</c:v>
                </c:pt>
                <c:pt idx="873">
                  <c:v>65.950312314614138</c:v>
                </c:pt>
                <c:pt idx="874">
                  <c:v>65.931600351201695</c:v>
                </c:pt>
                <c:pt idx="875">
                  <c:v>65.912888387789238</c:v>
                </c:pt>
                <c:pt idx="876">
                  <c:v>65.894176424376795</c:v>
                </c:pt>
                <c:pt idx="877">
                  <c:v>65.875464460964352</c:v>
                </c:pt>
                <c:pt idx="878">
                  <c:v>65.856752497551895</c:v>
                </c:pt>
                <c:pt idx="879">
                  <c:v>65.838040534139452</c:v>
                </c:pt>
                <c:pt idx="880">
                  <c:v>65.819328570727009</c:v>
                </c:pt>
                <c:pt idx="881">
                  <c:v>65.800616607314566</c:v>
                </c:pt>
                <c:pt idx="882">
                  <c:v>65.781904643902109</c:v>
                </c:pt>
                <c:pt idx="883">
                  <c:v>65.763192680489666</c:v>
                </c:pt>
                <c:pt idx="884">
                  <c:v>65.744480717077224</c:v>
                </c:pt>
                <c:pt idx="885">
                  <c:v>65.725768753664767</c:v>
                </c:pt>
                <c:pt idx="886">
                  <c:v>65.707056790252324</c:v>
                </c:pt>
                <c:pt idx="887">
                  <c:v>65.688344826839881</c:v>
                </c:pt>
                <c:pt idx="888">
                  <c:v>65.669632863427438</c:v>
                </c:pt>
                <c:pt idx="889">
                  <c:v>65.650920900014995</c:v>
                </c:pt>
                <c:pt idx="890">
                  <c:v>65.632208936602538</c:v>
                </c:pt>
                <c:pt idx="891">
                  <c:v>65.613496973190095</c:v>
                </c:pt>
                <c:pt idx="892">
                  <c:v>65.594785009777638</c:v>
                </c:pt>
                <c:pt idx="893">
                  <c:v>65.576073046365195</c:v>
                </c:pt>
                <c:pt idx="894">
                  <c:v>65.557361082952752</c:v>
                </c:pt>
                <c:pt idx="895">
                  <c:v>65.53864911954031</c:v>
                </c:pt>
                <c:pt idx="896">
                  <c:v>65.519937156127867</c:v>
                </c:pt>
                <c:pt idx="897">
                  <c:v>65.50122519271541</c:v>
                </c:pt>
                <c:pt idx="898">
                  <c:v>65.482513229302967</c:v>
                </c:pt>
                <c:pt idx="899">
                  <c:v>65.463801265890524</c:v>
                </c:pt>
                <c:pt idx="900">
                  <c:v>65.445089302478067</c:v>
                </c:pt>
                <c:pt idx="901">
                  <c:v>65.426377339065624</c:v>
                </c:pt>
                <c:pt idx="902">
                  <c:v>65.407665375653181</c:v>
                </c:pt>
                <c:pt idx="903">
                  <c:v>65.388953412240738</c:v>
                </c:pt>
                <c:pt idx="904">
                  <c:v>65.370241448828281</c:v>
                </c:pt>
                <c:pt idx="905">
                  <c:v>65.351529485415838</c:v>
                </c:pt>
                <c:pt idx="906">
                  <c:v>65.332817522003396</c:v>
                </c:pt>
                <c:pt idx="907">
                  <c:v>65.314105558590938</c:v>
                </c:pt>
                <c:pt idx="908">
                  <c:v>65.295393595178496</c:v>
                </c:pt>
                <c:pt idx="909">
                  <c:v>65.276681631766053</c:v>
                </c:pt>
                <c:pt idx="910">
                  <c:v>65.25796966835361</c:v>
                </c:pt>
                <c:pt idx="911">
                  <c:v>65.239257704941167</c:v>
                </c:pt>
                <c:pt idx="912">
                  <c:v>65.22054574152871</c:v>
                </c:pt>
                <c:pt idx="913">
                  <c:v>65.201833778116267</c:v>
                </c:pt>
                <c:pt idx="914">
                  <c:v>65.18312181470381</c:v>
                </c:pt>
                <c:pt idx="915">
                  <c:v>65.164409851291367</c:v>
                </c:pt>
                <c:pt idx="916">
                  <c:v>65.145697887878924</c:v>
                </c:pt>
                <c:pt idx="917">
                  <c:v>65.126985924466481</c:v>
                </c:pt>
                <c:pt idx="918">
                  <c:v>65.108273961054039</c:v>
                </c:pt>
                <c:pt idx="919">
                  <c:v>65.089561997641582</c:v>
                </c:pt>
                <c:pt idx="920">
                  <c:v>65.070850034229139</c:v>
                </c:pt>
                <c:pt idx="921">
                  <c:v>65.052138070816696</c:v>
                </c:pt>
                <c:pt idx="922">
                  <c:v>65.033426107404239</c:v>
                </c:pt>
                <c:pt idx="923">
                  <c:v>65.014714143991796</c:v>
                </c:pt>
                <c:pt idx="924">
                  <c:v>64.996002180579353</c:v>
                </c:pt>
                <c:pt idx="925">
                  <c:v>64.97729021716691</c:v>
                </c:pt>
                <c:pt idx="926">
                  <c:v>64.958578253754453</c:v>
                </c:pt>
                <c:pt idx="927">
                  <c:v>64.93986629034201</c:v>
                </c:pt>
                <c:pt idx="928">
                  <c:v>64.921154326929567</c:v>
                </c:pt>
                <c:pt idx="929">
                  <c:v>64.90244236351711</c:v>
                </c:pt>
                <c:pt idx="930">
                  <c:v>64.883730400104668</c:v>
                </c:pt>
                <c:pt idx="931">
                  <c:v>64.865018436692225</c:v>
                </c:pt>
                <c:pt idx="932">
                  <c:v>64.846306473279782</c:v>
                </c:pt>
                <c:pt idx="933">
                  <c:v>64.827594509867339</c:v>
                </c:pt>
                <c:pt idx="934">
                  <c:v>64.808882546454882</c:v>
                </c:pt>
                <c:pt idx="935">
                  <c:v>64.790170583042439</c:v>
                </c:pt>
                <c:pt idx="936">
                  <c:v>64.771458619629982</c:v>
                </c:pt>
                <c:pt idx="937">
                  <c:v>64.752746656217539</c:v>
                </c:pt>
                <c:pt idx="938">
                  <c:v>64.734034692805096</c:v>
                </c:pt>
                <c:pt idx="939">
                  <c:v>64.715322729392653</c:v>
                </c:pt>
                <c:pt idx="940">
                  <c:v>64.696610765980211</c:v>
                </c:pt>
                <c:pt idx="941">
                  <c:v>64.677898802567753</c:v>
                </c:pt>
                <c:pt idx="942">
                  <c:v>64.659186839155311</c:v>
                </c:pt>
                <c:pt idx="943">
                  <c:v>64.640474875742868</c:v>
                </c:pt>
                <c:pt idx="944">
                  <c:v>64.621762912330411</c:v>
                </c:pt>
                <c:pt idx="945">
                  <c:v>64.603050948917968</c:v>
                </c:pt>
                <c:pt idx="946">
                  <c:v>64.584338985505525</c:v>
                </c:pt>
                <c:pt idx="947">
                  <c:v>64.565627022093082</c:v>
                </c:pt>
                <c:pt idx="948">
                  <c:v>64.546915058680625</c:v>
                </c:pt>
                <c:pt idx="949">
                  <c:v>64.528203095268182</c:v>
                </c:pt>
                <c:pt idx="950">
                  <c:v>64.509491131855739</c:v>
                </c:pt>
                <c:pt idx="951">
                  <c:v>64.490779168443282</c:v>
                </c:pt>
                <c:pt idx="952">
                  <c:v>64.472067205030839</c:v>
                </c:pt>
                <c:pt idx="953">
                  <c:v>64.453355241618397</c:v>
                </c:pt>
                <c:pt idx="954">
                  <c:v>64.434643278205954</c:v>
                </c:pt>
                <c:pt idx="955">
                  <c:v>64.415931314793511</c:v>
                </c:pt>
                <c:pt idx="956">
                  <c:v>64.397219351381054</c:v>
                </c:pt>
                <c:pt idx="957">
                  <c:v>64.378507387968611</c:v>
                </c:pt>
                <c:pt idx="958">
                  <c:v>64.359795424556168</c:v>
                </c:pt>
                <c:pt idx="959">
                  <c:v>64.341083461143711</c:v>
                </c:pt>
                <c:pt idx="960">
                  <c:v>64.322371497731268</c:v>
                </c:pt>
                <c:pt idx="961">
                  <c:v>64.303659534318825</c:v>
                </c:pt>
                <c:pt idx="962">
                  <c:v>64.284947570906382</c:v>
                </c:pt>
                <c:pt idx="963">
                  <c:v>64.266235607493925</c:v>
                </c:pt>
                <c:pt idx="964">
                  <c:v>64.247523644081483</c:v>
                </c:pt>
                <c:pt idx="965">
                  <c:v>64.22881168066904</c:v>
                </c:pt>
                <c:pt idx="966">
                  <c:v>64.210099717256583</c:v>
                </c:pt>
                <c:pt idx="967">
                  <c:v>64.19138775384414</c:v>
                </c:pt>
                <c:pt idx="968">
                  <c:v>64.172675790431697</c:v>
                </c:pt>
                <c:pt idx="969">
                  <c:v>64.153963827019254</c:v>
                </c:pt>
                <c:pt idx="970">
                  <c:v>64.135251863606811</c:v>
                </c:pt>
                <c:pt idx="971">
                  <c:v>64.116539900194354</c:v>
                </c:pt>
                <c:pt idx="972">
                  <c:v>64.097827936781911</c:v>
                </c:pt>
                <c:pt idx="973">
                  <c:v>64.079115973369454</c:v>
                </c:pt>
                <c:pt idx="974">
                  <c:v>64.060404009957011</c:v>
                </c:pt>
                <c:pt idx="975">
                  <c:v>64.041692046544568</c:v>
                </c:pt>
                <c:pt idx="976">
                  <c:v>64.022980083132126</c:v>
                </c:pt>
                <c:pt idx="977">
                  <c:v>64.004268119719683</c:v>
                </c:pt>
                <c:pt idx="978">
                  <c:v>63.985556156307226</c:v>
                </c:pt>
                <c:pt idx="979">
                  <c:v>63.966844192894783</c:v>
                </c:pt>
                <c:pt idx="980">
                  <c:v>63.94813222948234</c:v>
                </c:pt>
                <c:pt idx="981">
                  <c:v>63.92942026606989</c:v>
                </c:pt>
                <c:pt idx="982">
                  <c:v>63.91070830265744</c:v>
                </c:pt>
                <c:pt idx="983">
                  <c:v>63.891996339244997</c:v>
                </c:pt>
                <c:pt idx="984">
                  <c:v>63.873284375832547</c:v>
                </c:pt>
                <c:pt idx="985">
                  <c:v>63.854572412420097</c:v>
                </c:pt>
                <c:pt idx="986">
                  <c:v>63.835860449007654</c:v>
                </c:pt>
                <c:pt idx="987">
                  <c:v>63.817148485595212</c:v>
                </c:pt>
                <c:pt idx="988">
                  <c:v>63.798436522182762</c:v>
                </c:pt>
                <c:pt idx="989">
                  <c:v>63.779724558770312</c:v>
                </c:pt>
                <c:pt idx="990">
                  <c:v>63.761012595357869</c:v>
                </c:pt>
                <c:pt idx="991">
                  <c:v>63.742300631945426</c:v>
                </c:pt>
                <c:pt idx="992">
                  <c:v>63.723588668532976</c:v>
                </c:pt>
                <c:pt idx="993">
                  <c:v>63.704876705120526</c:v>
                </c:pt>
                <c:pt idx="994">
                  <c:v>63.686164741708083</c:v>
                </c:pt>
                <c:pt idx="995">
                  <c:v>63.667452778295633</c:v>
                </c:pt>
                <c:pt idx="996">
                  <c:v>63.648740814883183</c:v>
                </c:pt>
                <c:pt idx="997">
                  <c:v>63.63002885147074</c:v>
                </c:pt>
                <c:pt idx="998">
                  <c:v>63.611316888058298</c:v>
                </c:pt>
                <c:pt idx="999">
                  <c:v>63.592604924645848</c:v>
                </c:pt>
                <c:pt idx="1000">
                  <c:v>63.573892961233398</c:v>
                </c:pt>
                <c:pt idx="1001">
                  <c:v>63.555180997820955</c:v>
                </c:pt>
                <c:pt idx="1002">
                  <c:v>63.536469034408512</c:v>
                </c:pt>
                <c:pt idx="1003">
                  <c:v>63.517757070996062</c:v>
                </c:pt>
                <c:pt idx="1004">
                  <c:v>63.499045107583612</c:v>
                </c:pt>
                <c:pt idx="1005">
                  <c:v>63.480333144171169</c:v>
                </c:pt>
                <c:pt idx="1006">
                  <c:v>63.461621180758719</c:v>
                </c:pt>
                <c:pt idx="1007">
                  <c:v>63.442909217346269</c:v>
                </c:pt>
                <c:pt idx="1008">
                  <c:v>63.424197253933826</c:v>
                </c:pt>
                <c:pt idx="1009">
                  <c:v>63.405485290521383</c:v>
                </c:pt>
                <c:pt idx="1010">
                  <c:v>63.386773327108934</c:v>
                </c:pt>
                <c:pt idx="1011">
                  <c:v>63.368061363696484</c:v>
                </c:pt>
                <c:pt idx="1012">
                  <c:v>63.349349400284041</c:v>
                </c:pt>
                <c:pt idx="1013">
                  <c:v>63.330637436871598</c:v>
                </c:pt>
                <c:pt idx="1014">
                  <c:v>63.311925473459148</c:v>
                </c:pt>
                <c:pt idx="1015">
                  <c:v>63.293213510046698</c:v>
                </c:pt>
                <c:pt idx="1016">
                  <c:v>63.274501546634255</c:v>
                </c:pt>
                <c:pt idx="1017">
                  <c:v>63.255789583221812</c:v>
                </c:pt>
                <c:pt idx="1018">
                  <c:v>63.237077619809355</c:v>
                </c:pt>
                <c:pt idx="1019">
                  <c:v>63.218365656396912</c:v>
                </c:pt>
                <c:pt idx="1020">
                  <c:v>63.199653692984469</c:v>
                </c:pt>
                <c:pt idx="1021">
                  <c:v>63.180941729572019</c:v>
                </c:pt>
                <c:pt idx="1022">
                  <c:v>63.16222976615957</c:v>
                </c:pt>
                <c:pt idx="1023">
                  <c:v>63.143517802747127</c:v>
                </c:pt>
                <c:pt idx="1024">
                  <c:v>63.124805839334684</c:v>
                </c:pt>
                <c:pt idx="1025">
                  <c:v>63.106093875922234</c:v>
                </c:pt>
                <c:pt idx="1026">
                  <c:v>63.087381912509784</c:v>
                </c:pt>
                <c:pt idx="1027">
                  <c:v>63.068669949097341</c:v>
                </c:pt>
                <c:pt idx="1028">
                  <c:v>63.049957985684898</c:v>
                </c:pt>
                <c:pt idx="1029">
                  <c:v>63.031246022272441</c:v>
                </c:pt>
                <c:pt idx="1030">
                  <c:v>63.012534058859998</c:v>
                </c:pt>
                <c:pt idx="1031">
                  <c:v>62.993822095447555</c:v>
                </c:pt>
                <c:pt idx="1032">
                  <c:v>62.975110132035105</c:v>
                </c:pt>
                <c:pt idx="1033">
                  <c:v>62.956398168622655</c:v>
                </c:pt>
                <c:pt idx="1034">
                  <c:v>62.937686205210213</c:v>
                </c:pt>
                <c:pt idx="1035">
                  <c:v>62.91897424179777</c:v>
                </c:pt>
                <c:pt idx="1036">
                  <c:v>62.90026227838532</c:v>
                </c:pt>
                <c:pt idx="1037">
                  <c:v>62.88155031497287</c:v>
                </c:pt>
                <c:pt idx="1038">
                  <c:v>62.862838351560427</c:v>
                </c:pt>
                <c:pt idx="1039">
                  <c:v>62.844126388147984</c:v>
                </c:pt>
                <c:pt idx="1040">
                  <c:v>62.825414424735534</c:v>
                </c:pt>
                <c:pt idx="1041">
                  <c:v>62.806702461323084</c:v>
                </c:pt>
                <c:pt idx="1042">
                  <c:v>62.787990497910641</c:v>
                </c:pt>
                <c:pt idx="1043">
                  <c:v>62.769278534498191</c:v>
                </c:pt>
                <c:pt idx="1044">
                  <c:v>62.750566571085741</c:v>
                </c:pt>
                <c:pt idx="1045">
                  <c:v>62.731854607673299</c:v>
                </c:pt>
                <c:pt idx="1046">
                  <c:v>62.713142644260856</c:v>
                </c:pt>
                <c:pt idx="1047">
                  <c:v>62.694430680848406</c:v>
                </c:pt>
                <c:pt idx="1048">
                  <c:v>62.675718717435956</c:v>
                </c:pt>
                <c:pt idx="1049">
                  <c:v>62.657006754023513</c:v>
                </c:pt>
                <c:pt idx="1050">
                  <c:v>62.63829479061107</c:v>
                </c:pt>
                <c:pt idx="1051">
                  <c:v>62.61958282719862</c:v>
                </c:pt>
                <c:pt idx="1052">
                  <c:v>62.60087086378617</c:v>
                </c:pt>
                <c:pt idx="1053">
                  <c:v>62.582158900373727</c:v>
                </c:pt>
                <c:pt idx="1054">
                  <c:v>62.563446936961277</c:v>
                </c:pt>
                <c:pt idx="1055">
                  <c:v>62.544734973548827</c:v>
                </c:pt>
                <c:pt idx="1056">
                  <c:v>62.526023010136385</c:v>
                </c:pt>
                <c:pt idx="1057">
                  <c:v>62.507311046723942</c:v>
                </c:pt>
                <c:pt idx="1058">
                  <c:v>62.488599083311492</c:v>
                </c:pt>
                <c:pt idx="1059">
                  <c:v>62.469887119899042</c:v>
                </c:pt>
                <c:pt idx="1060">
                  <c:v>62.451175156486599</c:v>
                </c:pt>
                <c:pt idx="1061">
                  <c:v>62.432463193074156</c:v>
                </c:pt>
                <c:pt idx="1062">
                  <c:v>62.413751229661706</c:v>
                </c:pt>
                <c:pt idx="1063">
                  <c:v>62.395039266249256</c:v>
                </c:pt>
                <c:pt idx="1064">
                  <c:v>62.376327302836813</c:v>
                </c:pt>
                <c:pt idx="1065">
                  <c:v>62.357615339424363</c:v>
                </c:pt>
                <c:pt idx="1066">
                  <c:v>62.338903376011913</c:v>
                </c:pt>
                <c:pt idx="1067">
                  <c:v>62.32019141259947</c:v>
                </c:pt>
                <c:pt idx="1068">
                  <c:v>62.301479449187028</c:v>
                </c:pt>
                <c:pt idx="1069">
                  <c:v>62.282767485774578</c:v>
                </c:pt>
                <c:pt idx="1070">
                  <c:v>62.264055522362128</c:v>
                </c:pt>
                <c:pt idx="1071">
                  <c:v>62.245343558949685</c:v>
                </c:pt>
                <c:pt idx="1072">
                  <c:v>62.226631595537242</c:v>
                </c:pt>
                <c:pt idx="1073">
                  <c:v>62.207919632124792</c:v>
                </c:pt>
                <c:pt idx="1074">
                  <c:v>62.189207668712342</c:v>
                </c:pt>
                <c:pt idx="1075">
                  <c:v>62.170495705299899</c:v>
                </c:pt>
                <c:pt idx="1076">
                  <c:v>62.151783741887449</c:v>
                </c:pt>
                <c:pt idx="1077">
                  <c:v>62.133071778474999</c:v>
                </c:pt>
                <c:pt idx="1078">
                  <c:v>62.114359815062556</c:v>
                </c:pt>
                <c:pt idx="1079">
                  <c:v>62.095647851650114</c:v>
                </c:pt>
                <c:pt idx="1080">
                  <c:v>62.076935888237664</c:v>
                </c:pt>
                <c:pt idx="1081">
                  <c:v>62.058223924825214</c:v>
                </c:pt>
                <c:pt idx="1082">
                  <c:v>62.039511961412771</c:v>
                </c:pt>
                <c:pt idx="1083">
                  <c:v>62.020799998000328</c:v>
                </c:pt>
                <c:pt idx="1084">
                  <c:v>62.002088034587878</c:v>
                </c:pt>
                <c:pt idx="1085">
                  <c:v>61.983376071175428</c:v>
                </c:pt>
                <c:pt idx="1086">
                  <c:v>61.964664107762985</c:v>
                </c:pt>
                <c:pt idx="1087">
                  <c:v>61.945952144350535</c:v>
                </c:pt>
                <c:pt idx="1088">
                  <c:v>61.927240180938085</c:v>
                </c:pt>
                <c:pt idx="1089">
                  <c:v>61.908528217525642</c:v>
                </c:pt>
                <c:pt idx="1090">
                  <c:v>61.8898162541132</c:v>
                </c:pt>
                <c:pt idx="1091">
                  <c:v>61.87110429070075</c:v>
                </c:pt>
                <c:pt idx="1092">
                  <c:v>61.8523923272883</c:v>
                </c:pt>
                <c:pt idx="1093">
                  <c:v>61.833680363875857</c:v>
                </c:pt>
                <c:pt idx="1094">
                  <c:v>61.814968400463414</c:v>
                </c:pt>
                <c:pt idx="1095">
                  <c:v>61.796256437050964</c:v>
                </c:pt>
                <c:pt idx="1096">
                  <c:v>61.777544473638514</c:v>
                </c:pt>
                <c:pt idx="1097">
                  <c:v>61.758832510226071</c:v>
                </c:pt>
                <c:pt idx="1098">
                  <c:v>61.740120546813628</c:v>
                </c:pt>
                <c:pt idx="1099">
                  <c:v>61.721408583401171</c:v>
                </c:pt>
                <c:pt idx="1100">
                  <c:v>61.702696619988728</c:v>
                </c:pt>
                <c:pt idx="1101">
                  <c:v>61.683984656576285</c:v>
                </c:pt>
                <c:pt idx="1102">
                  <c:v>61.665272693163836</c:v>
                </c:pt>
                <c:pt idx="1103">
                  <c:v>61.646560729751386</c:v>
                </c:pt>
                <c:pt idx="1104">
                  <c:v>61.627848766338943</c:v>
                </c:pt>
                <c:pt idx="1105">
                  <c:v>61.6091368029265</c:v>
                </c:pt>
                <c:pt idx="1106">
                  <c:v>61.59042483951405</c:v>
                </c:pt>
                <c:pt idx="1107">
                  <c:v>61.5717128761016</c:v>
                </c:pt>
                <c:pt idx="1108">
                  <c:v>61.553000912689157</c:v>
                </c:pt>
                <c:pt idx="1109">
                  <c:v>61.534288949276714</c:v>
                </c:pt>
                <c:pt idx="1110">
                  <c:v>61.515576985864264</c:v>
                </c:pt>
                <c:pt idx="1111">
                  <c:v>61.496865022451814</c:v>
                </c:pt>
                <c:pt idx="1112">
                  <c:v>61.478153059039371</c:v>
                </c:pt>
                <c:pt idx="1113">
                  <c:v>61.459441095626921</c:v>
                </c:pt>
                <c:pt idx="1114">
                  <c:v>61.440729132214472</c:v>
                </c:pt>
                <c:pt idx="1115">
                  <c:v>61.422017168802029</c:v>
                </c:pt>
                <c:pt idx="1116">
                  <c:v>61.403305205389586</c:v>
                </c:pt>
                <c:pt idx="1117">
                  <c:v>61.384593241977136</c:v>
                </c:pt>
                <c:pt idx="1118">
                  <c:v>61.365881278564686</c:v>
                </c:pt>
                <c:pt idx="1119">
                  <c:v>61.347169315152243</c:v>
                </c:pt>
                <c:pt idx="1120">
                  <c:v>61.3284573517398</c:v>
                </c:pt>
                <c:pt idx="1121">
                  <c:v>61.30974538832735</c:v>
                </c:pt>
                <c:pt idx="1122">
                  <c:v>61.2910334249149</c:v>
                </c:pt>
                <c:pt idx="1123">
                  <c:v>61.272321461502457</c:v>
                </c:pt>
                <c:pt idx="1124">
                  <c:v>61.253609498090007</c:v>
                </c:pt>
                <c:pt idx="1125">
                  <c:v>61.234897534677557</c:v>
                </c:pt>
                <c:pt idx="1126">
                  <c:v>61.216185571265115</c:v>
                </c:pt>
                <c:pt idx="1127">
                  <c:v>61.197473607852672</c:v>
                </c:pt>
                <c:pt idx="1128">
                  <c:v>61.178761644440222</c:v>
                </c:pt>
                <c:pt idx="1129">
                  <c:v>61.160049681027772</c:v>
                </c:pt>
                <c:pt idx="1130">
                  <c:v>61.141337717615329</c:v>
                </c:pt>
                <c:pt idx="1131">
                  <c:v>61.122625754202886</c:v>
                </c:pt>
                <c:pt idx="1132">
                  <c:v>61.103913790790436</c:v>
                </c:pt>
                <c:pt idx="1133">
                  <c:v>61.085201827377986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CE-4EBD-AD2A-234A8DD26543}"/>
            </c:ext>
          </c:extLst>
        </c:ser>
        <c:ser>
          <c:idx val="2"/>
          <c:order val="2"/>
          <c:tx>
            <c:v>Banda +1.5σ</c:v>
          </c:tx>
          <c:spPr>
            <a:ln w="1270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Análise_À_Vista!$AB$3:$AB$1136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Análise_À_Vista!$AF$3:$AF$1136</c:f>
              <c:numCache>
                <c:formatCode>#,##0.00</c:formatCode>
                <c:ptCount val="1134"/>
                <c:pt idx="0">
                  <c:v>84.937515974082814</c:v>
                </c:pt>
                <c:pt idx="1">
                  <c:v>84.918804010670357</c:v>
                </c:pt>
                <c:pt idx="2">
                  <c:v>84.900092047257914</c:v>
                </c:pt>
                <c:pt idx="3">
                  <c:v>84.881380083845471</c:v>
                </c:pt>
                <c:pt idx="4">
                  <c:v>84.862668120433028</c:v>
                </c:pt>
                <c:pt idx="5">
                  <c:v>84.843956157020571</c:v>
                </c:pt>
                <c:pt idx="6">
                  <c:v>84.825244193608128</c:v>
                </c:pt>
                <c:pt idx="7">
                  <c:v>84.806532230195685</c:v>
                </c:pt>
                <c:pt idx="8">
                  <c:v>84.787820266783243</c:v>
                </c:pt>
                <c:pt idx="9" formatCode="0.00">
                  <c:v>84.769108303370786</c:v>
                </c:pt>
                <c:pt idx="10" formatCode="0.00">
                  <c:v>84.750396339958343</c:v>
                </c:pt>
                <c:pt idx="11" formatCode="0.00">
                  <c:v>84.7316843765459</c:v>
                </c:pt>
                <c:pt idx="12" formatCode="0.00">
                  <c:v>84.712972413133443</c:v>
                </c:pt>
                <c:pt idx="13" formatCode="0.00">
                  <c:v>84.694260449721</c:v>
                </c:pt>
                <c:pt idx="14" formatCode="0.00">
                  <c:v>84.675548486308557</c:v>
                </c:pt>
                <c:pt idx="15" formatCode="0.00">
                  <c:v>84.656836522896114</c:v>
                </c:pt>
                <c:pt idx="16">
                  <c:v>84.638124559483657</c:v>
                </c:pt>
                <c:pt idx="17">
                  <c:v>84.619412596071214</c:v>
                </c:pt>
                <c:pt idx="18">
                  <c:v>84.600700632658771</c:v>
                </c:pt>
                <c:pt idx="19">
                  <c:v>84.581988669246329</c:v>
                </c:pt>
                <c:pt idx="20">
                  <c:v>84.563276705833871</c:v>
                </c:pt>
                <c:pt idx="21">
                  <c:v>84.544564742421429</c:v>
                </c:pt>
                <c:pt idx="22">
                  <c:v>84.525852779008986</c:v>
                </c:pt>
                <c:pt idx="23">
                  <c:v>84.507140815596529</c:v>
                </c:pt>
                <c:pt idx="24">
                  <c:v>84.488428852184086</c:v>
                </c:pt>
                <c:pt idx="25">
                  <c:v>84.469716888771643</c:v>
                </c:pt>
                <c:pt idx="26">
                  <c:v>84.4510049253592</c:v>
                </c:pt>
                <c:pt idx="27">
                  <c:v>84.432292961946743</c:v>
                </c:pt>
                <c:pt idx="28">
                  <c:v>84.4135809985343</c:v>
                </c:pt>
                <c:pt idx="29">
                  <c:v>84.394869035121857</c:v>
                </c:pt>
                <c:pt idx="30">
                  <c:v>84.376157071709414</c:v>
                </c:pt>
                <c:pt idx="31">
                  <c:v>84.357445108296957</c:v>
                </c:pt>
                <c:pt idx="32">
                  <c:v>84.338733144884515</c:v>
                </c:pt>
                <c:pt idx="33">
                  <c:v>84.320021181472072</c:v>
                </c:pt>
                <c:pt idx="34">
                  <c:v>84.301309218059629</c:v>
                </c:pt>
                <c:pt idx="35">
                  <c:v>84.282597254647172</c:v>
                </c:pt>
                <c:pt idx="36">
                  <c:v>84.263885291234729</c:v>
                </c:pt>
                <c:pt idx="37">
                  <c:v>84.245173327822286</c:v>
                </c:pt>
                <c:pt idx="38">
                  <c:v>84.226461364409829</c:v>
                </c:pt>
                <c:pt idx="39">
                  <c:v>84.207749400997386</c:v>
                </c:pt>
                <c:pt idx="40">
                  <c:v>84.189037437584943</c:v>
                </c:pt>
                <c:pt idx="41">
                  <c:v>84.1703254741725</c:v>
                </c:pt>
                <c:pt idx="42">
                  <c:v>84.151613510760043</c:v>
                </c:pt>
                <c:pt idx="43">
                  <c:v>84.132901547347601</c:v>
                </c:pt>
                <c:pt idx="44">
                  <c:v>84.114189583935158</c:v>
                </c:pt>
                <c:pt idx="45">
                  <c:v>84.095477620522715</c:v>
                </c:pt>
                <c:pt idx="46">
                  <c:v>84.076765657110258</c:v>
                </c:pt>
                <c:pt idx="47">
                  <c:v>84.058053693697815</c:v>
                </c:pt>
                <c:pt idx="48">
                  <c:v>84.039341730285372</c:v>
                </c:pt>
                <c:pt idx="49">
                  <c:v>84.020629766872915</c:v>
                </c:pt>
                <c:pt idx="50">
                  <c:v>84.001917803460472</c:v>
                </c:pt>
                <c:pt idx="51">
                  <c:v>83.983205840048029</c:v>
                </c:pt>
                <c:pt idx="52">
                  <c:v>83.964493876635586</c:v>
                </c:pt>
                <c:pt idx="53">
                  <c:v>83.945781913223129</c:v>
                </c:pt>
                <c:pt idx="54">
                  <c:v>83.927069949810686</c:v>
                </c:pt>
                <c:pt idx="55">
                  <c:v>83.908357986398244</c:v>
                </c:pt>
                <c:pt idx="56">
                  <c:v>83.889646022985801</c:v>
                </c:pt>
                <c:pt idx="57">
                  <c:v>83.870934059573344</c:v>
                </c:pt>
                <c:pt idx="58">
                  <c:v>83.852222096160901</c:v>
                </c:pt>
                <c:pt idx="59">
                  <c:v>83.833510132748458</c:v>
                </c:pt>
                <c:pt idx="60">
                  <c:v>83.814798169336001</c:v>
                </c:pt>
                <c:pt idx="61">
                  <c:v>83.796086205923558</c:v>
                </c:pt>
                <c:pt idx="62">
                  <c:v>83.777374242511115</c:v>
                </c:pt>
                <c:pt idx="63">
                  <c:v>83.758662279098672</c:v>
                </c:pt>
                <c:pt idx="64">
                  <c:v>83.739950315686215</c:v>
                </c:pt>
                <c:pt idx="65">
                  <c:v>83.721238352273772</c:v>
                </c:pt>
                <c:pt idx="66">
                  <c:v>83.70252638886133</c:v>
                </c:pt>
                <c:pt idx="67">
                  <c:v>83.683814425448887</c:v>
                </c:pt>
                <c:pt idx="68">
                  <c:v>83.66510246203643</c:v>
                </c:pt>
                <c:pt idx="69">
                  <c:v>83.646390498623987</c:v>
                </c:pt>
                <c:pt idx="70">
                  <c:v>83.627678535211544</c:v>
                </c:pt>
                <c:pt idx="71">
                  <c:v>83.608966571799087</c:v>
                </c:pt>
                <c:pt idx="72">
                  <c:v>83.590254608386644</c:v>
                </c:pt>
                <c:pt idx="73">
                  <c:v>83.571542644974201</c:v>
                </c:pt>
                <c:pt idx="74">
                  <c:v>83.552830681561758</c:v>
                </c:pt>
                <c:pt idx="75">
                  <c:v>83.534118718149301</c:v>
                </c:pt>
                <c:pt idx="76">
                  <c:v>83.515406754736858</c:v>
                </c:pt>
                <c:pt idx="77">
                  <c:v>83.496694791324416</c:v>
                </c:pt>
                <c:pt idx="78">
                  <c:v>83.477982827911973</c:v>
                </c:pt>
                <c:pt idx="79">
                  <c:v>83.459270864499516</c:v>
                </c:pt>
                <c:pt idx="80">
                  <c:v>83.440558901087073</c:v>
                </c:pt>
                <c:pt idx="81">
                  <c:v>83.42184693767463</c:v>
                </c:pt>
                <c:pt idx="82">
                  <c:v>83.403134974262173</c:v>
                </c:pt>
                <c:pt idx="83">
                  <c:v>83.38442301084973</c:v>
                </c:pt>
                <c:pt idx="84">
                  <c:v>83.365711047437287</c:v>
                </c:pt>
                <c:pt idx="85">
                  <c:v>83.346999084024844</c:v>
                </c:pt>
                <c:pt idx="86">
                  <c:v>83.328287120612387</c:v>
                </c:pt>
                <c:pt idx="87">
                  <c:v>83.309575157199944</c:v>
                </c:pt>
                <c:pt idx="88">
                  <c:v>83.290863193787501</c:v>
                </c:pt>
                <c:pt idx="89">
                  <c:v>83.272151230375059</c:v>
                </c:pt>
                <c:pt idx="90">
                  <c:v>83.253439266962602</c:v>
                </c:pt>
                <c:pt idx="91">
                  <c:v>83.234727303550159</c:v>
                </c:pt>
                <c:pt idx="92">
                  <c:v>83.216015340137716</c:v>
                </c:pt>
                <c:pt idx="93">
                  <c:v>83.197303376725259</c:v>
                </c:pt>
                <c:pt idx="94">
                  <c:v>83.178591413312816</c:v>
                </c:pt>
                <c:pt idx="95">
                  <c:v>83.159879449900373</c:v>
                </c:pt>
                <c:pt idx="96">
                  <c:v>83.14116748648793</c:v>
                </c:pt>
                <c:pt idx="97">
                  <c:v>83.122455523075473</c:v>
                </c:pt>
                <c:pt idx="98">
                  <c:v>83.10374355966303</c:v>
                </c:pt>
                <c:pt idx="99">
                  <c:v>83.085031596250587</c:v>
                </c:pt>
                <c:pt idx="100">
                  <c:v>83.066319632838145</c:v>
                </c:pt>
                <c:pt idx="101">
                  <c:v>83.047607669425688</c:v>
                </c:pt>
                <c:pt idx="102">
                  <c:v>83.028895706013245</c:v>
                </c:pt>
                <c:pt idx="103">
                  <c:v>83.010183742600802</c:v>
                </c:pt>
                <c:pt idx="104">
                  <c:v>82.991471779188345</c:v>
                </c:pt>
                <c:pt idx="105">
                  <c:v>82.972759815775902</c:v>
                </c:pt>
                <c:pt idx="106">
                  <c:v>82.954047852363459</c:v>
                </c:pt>
                <c:pt idx="107">
                  <c:v>82.935335888951016</c:v>
                </c:pt>
                <c:pt idx="108">
                  <c:v>82.916623925538559</c:v>
                </c:pt>
                <c:pt idx="109">
                  <c:v>82.897911962126116</c:v>
                </c:pt>
                <c:pt idx="110">
                  <c:v>82.879199998713673</c:v>
                </c:pt>
                <c:pt idx="111">
                  <c:v>82.860488035301231</c:v>
                </c:pt>
                <c:pt idx="112">
                  <c:v>82.841776071888773</c:v>
                </c:pt>
                <c:pt idx="113">
                  <c:v>82.823064108476331</c:v>
                </c:pt>
                <c:pt idx="114">
                  <c:v>82.804352145063888</c:v>
                </c:pt>
                <c:pt idx="115">
                  <c:v>82.785640181651445</c:v>
                </c:pt>
                <c:pt idx="116">
                  <c:v>82.766928218238988</c:v>
                </c:pt>
                <c:pt idx="117">
                  <c:v>82.748216254826545</c:v>
                </c:pt>
                <c:pt idx="118">
                  <c:v>82.729504291414102</c:v>
                </c:pt>
                <c:pt idx="119">
                  <c:v>82.710792328001645</c:v>
                </c:pt>
                <c:pt idx="120">
                  <c:v>82.692080364589202</c:v>
                </c:pt>
                <c:pt idx="121">
                  <c:v>82.673368401176759</c:v>
                </c:pt>
                <c:pt idx="122">
                  <c:v>82.654656437764316</c:v>
                </c:pt>
                <c:pt idx="123">
                  <c:v>82.635944474351859</c:v>
                </c:pt>
                <c:pt idx="124">
                  <c:v>82.617232510939417</c:v>
                </c:pt>
                <c:pt idx="125">
                  <c:v>82.598520547526974</c:v>
                </c:pt>
                <c:pt idx="126">
                  <c:v>82.579808584114531</c:v>
                </c:pt>
                <c:pt idx="127">
                  <c:v>82.561096620702074</c:v>
                </c:pt>
                <c:pt idx="128">
                  <c:v>82.542384657289631</c:v>
                </c:pt>
                <c:pt idx="129">
                  <c:v>82.523672693877188</c:v>
                </c:pt>
                <c:pt idx="130">
                  <c:v>82.504960730464731</c:v>
                </c:pt>
                <c:pt idx="131">
                  <c:v>82.486248767052288</c:v>
                </c:pt>
                <c:pt idx="132">
                  <c:v>82.467536803639845</c:v>
                </c:pt>
                <c:pt idx="133">
                  <c:v>82.448824840227402</c:v>
                </c:pt>
                <c:pt idx="134">
                  <c:v>82.430112876814945</c:v>
                </c:pt>
                <c:pt idx="135">
                  <c:v>82.411400913402503</c:v>
                </c:pt>
                <c:pt idx="136">
                  <c:v>82.39268894999006</c:v>
                </c:pt>
                <c:pt idx="137">
                  <c:v>82.373976986577617</c:v>
                </c:pt>
                <c:pt idx="138">
                  <c:v>82.35526502316516</c:v>
                </c:pt>
                <c:pt idx="139">
                  <c:v>82.336553059752717</c:v>
                </c:pt>
                <c:pt idx="140">
                  <c:v>82.317841096340274</c:v>
                </c:pt>
                <c:pt idx="141">
                  <c:v>82.299129132927817</c:v>
                </c:pt>
                <c:pt idx="142">
                  <c:v>82.280417169515374</c:v>
                </c:pt>
                <c:pt idx="143">
                  <c:v>82.261705206102931</c:v>
                </c:pt>
                <c:pt idx="144">
                  <c:v>82.242993242690488</c:v>
                </c:pt>
                <c:pt idx="145">
                  <c:v>82.224281279278031</c:v>
                </c:pt>
                <c:pt idx="146">
                  <c:v>82.205569315865588</c:v>
                </c:pt>
                <c:pt idx="147">
                  <c:v>82.186857352453146</c:v>
                </c:pt>
                <c:pt idx="148">
                  <c:v>82.168145389040703</c:v>
                </c:pt>
                <c:pt idx="149">
                  <c:v>82.149433425628246</c:v>
                </c:pt>
                <c:pt idx="150">
                  <c:v>82.130721462215803</c:v>
                </c:pt>
                <c:pt idx="151">
                  <c:v>82.11200949880336</c:v>
                </c:pt>
                <c:pt idx="152">
                  <c:v>82.093297535390903</c:v>
                </c:pt>
                <c:pt idx="153">
                  <c:v>82.07458557197846</c:v>
                </c:pt>
                <c:pt idx="154">
                  <c:v>82.055873608566017</c:v>
                </c:pt>
                <c:pt idx="155">
                  <c:v>82.037161645153574</c:v>
                </c:pt>
                <c:pt idx="156">
                  <c:v>82.018449681741117</c:v>
                </c:pt>
                <c:pt idx="157">
                  <c:v>81.999737718328674</c:v>
                </c:pt>
                <c:pt idx="158">
                  <c:v>81.981025754916232</c:v>
                </c:pt>
                <c:pt idx="159">
                  <c:v>81.962313791503789</c:v>
                </c:pt>
                <c:pt idx="160">
                  <c:v>81.943601828091332</c:v>
                </c:pt>
                <c:pt idx="161">
                  <c:v>81.924889864678889</c:v>
                </c:pt>
                <c:pt idx="162">
                  <c:v>81.906177901266446</c:v>
                </c:pt>
                <c:pt idx="163">
                  <c:v>81.887465937853989</c:v>
                </c:pt>
                <c:pt idx="164">
                  <c:v>81.868753974441546</c:v>
                </c:pt>
                <c:pt idx="165">
                  <c:v>81.850042011029103</c:v>
                </c:pt>
                <c:pt idx="166">
                  <c:v>81.83133004761666</c:v>
                </c:pt>
                <c:pt idx="167">
                  <c:v>81.812618084204203</c:v>
                </c:pt>
                <c:pt idx="168">
                  <c:v>81.79390612079176</c:v>
                </c:pt>
                <c:pt idx="169">
                  <c:v>81.775194157379318</c:v>
                </c:pt>
                <c:pt idx="170">
                  <c:v>81.756482193966875</c:v>
                </c:pt>
                <c:pt idx="171">
                  <c:v>81.737770230554418</c:v>
                </c:pt>
                <c:pt idx="172">
                  <c:v>81.719058267141975</c:v>
                </c:pt>
                <c:pt idx="173">
                  <c:v>81.700346303729532</c:v>
                </c:pt>
                <c:pt idx="174">
                  <c:v>81.681634340317089</c:v>
                </c:pt>
                <c:pt idx="175">
                  <c:v>81.662922376904632</c:v>
                </c:pt>
                <c:pt idx="176">
                  <c:v>81.644210413492189</c:v>
                </c:pt>
                <c:pt idx="177">
                  <c:v>81.625498450079746</c:v>
                </c:pt>
                <c:pt idx="178">
                  <c:v>81.606786486667289</c:v>
                </c:pt>
                <c:pt idx="179">
                  <c:v>81.588074523254846</c:v>
                </c:pt>
                <c:pt idx="180">
                  <c:v>81.569362559842403</c:v>
                </c:pt>
                <c:pt idx="181">
                  <c:v>81.550650596429961</c:v>
                </c:pt>
                <c:pt idx="182">
                  <c:v>81.531938633017504</c:v>
                </c:pt>
                <c:pt idx="183">
                  <c:v>81.513226669605061</c:v>
                </c:pt>
                <c:pt idx="184">
                  <c:v>81.494514706192618</c:v>
                </c:pt>
                <c:pt idx="185">
                  <c:v>81.475802742780161</c:v>
                </c:pt>
                <c:pt idx="186">
                  <c:v>81.457090779367718</c:v>
                </c:pt>
                <c:pt idx="187">
                  <c:v>81.438378815955275</c:v>
                </c:pt>
                <c:pt idx="188">
                  <c:v>81.419666852542832</c:v>
                </c:pt>
                <c:pt idx="189">
                  <c:v>81.400954889130375</c:v>
                </c:pt>
                <c:pt idx="190">
                  <c:v>81.382242925717932</c:v>
                </c:pt>
                <c:pt idx="191">
                  <c:v>81.363530962305489</c:v>
                </c:pt>
                <c:pt idx="192">
                  <c:v>81.344818998893047</c:v>
                </c:pt>
                <c:pt idx="193">
                  <c:v>81.32610703548059</c:v>
                </c:pt>
                <c:pt idx="194">
                  <c:v>81.307395072068147</c:v>
                </c:pt>
                <c:pt idx="195">
                  <c:v>81.288683108655704</c:v>
                </c:pt>
                <c:pt idx="196">
                  <c:v>81.269971145243261</c:v>
                </c:pt>
                <c:pt idx="197">
                  <c:v>81.251259181830804</c:v>
                </c:pt>
                <c:pt idx="198">
                  <c:v>81.232547218418361</c:v>
                </c:pt>
                <c:pt idx="199">
                  <c:v>81.213835255005918</c:v>
                </c:pt>
                <c:pt idx="200">
                  <c:v>81.195123291593461</c:v>
                </c:pt>
                <c:pt idx="201">
                  <c:v>81.176411328181018</c:v>
                </c:pt>
                <c:pt idx="202">
                  <c:v>81.157699364768575</c:v>
                </c:pt>
                <c:pt idx="203">
                  <c:v>81.138987401356133</c:v>
                </c:pt>
                <c:pt idx="204">
                  <c:v>81.120275437943675</c:v>
                </c:pt>
                <c:pt idx="205">
                  <c:v>81.101563474531233</c:v>
                </c:pt>
                <c:pt idx="206">
                  <c:v>81.08285151111879</c:v>
                </c:pt>
                <c:pt idx="207">
                  <c:v>81.064139547706347</c:v>
                </c:pt>
                <c:pt idx="208">
                  <c:v>81.04542758429389</c:v>
                </c:pt>
                <c:pt idx="209">
                  <c:v>81.026715620881447</c:v>
                </c:pt>
                <c:pt idx="210">
                  <c:v>81.008003657469004</c:v>
                </c:pt>
                <c:pt idx="211">
                  <c:v>80.989291694056547</c:v>
                </c:pt>
                <c:pt idx="212">
                  <c:v>80.970579730644104</c:v>
                </c:pt>
                <c:pt idx="213">
                  <c:v>80.951867767231661</c:v>
                </c:pt>
                <c:pt idx="214">
                  <c:v>80.933155803819218</c:v>
                </c:pt>
                <c:pt idx="215">
                  <c:v>80.914443840406761</c:v>
                </c:pt>
                <c:pt idx="216">
                  <c:v>80.895731876994319</c:v>
                </c:pt>
                <c:pt idx="217">
                  <c:v>80.877019913581876</c:v>
                </c:pt>
                <c:pt idx="218">
                  <c:v>80.858307950169433</c:v>
                </c:pt>
                <c:pt idx="219">
                  <c:v>80.839595986756976</c:v>
                </c:pt>
                <c:pt idx="220">
                  <c:v>80.820884023344533</c:v>
                </c:pt>
                <c:pt idx="221">
                  <c:v>80.80217205993209</c:v>
                </c:pt>
                <c:pt idx="222">
                  <c:v>80.783460096519633</c:v>
                </c:pt>
                <c:pt idx="223">
                  <c:v>80.76474813310719</c:v>
                </c:pt>
                <c:pt idx="224">
                  <c:v>80.746036169694747</c:v>
                </c:pt>
                <c:pt idx="225">
                  <c:v>80.727324206282304</c:v>
                </c:pt>
                <c:pt idx="226">
                  <c:v>80.708612242869847</c:v>
                </c:pt>
                <c:pt idx="227">
                  <c:v>80.689900279457405</c:v>
                </c:pt>
                <c:pt idx="228">
                  <c:v>80.671188316044962</c:v>
                </c:pt>
                <c:pt idx="229">
                  <c:v>80.652476352632519</c:v>
                </c:pt>
                <c:pt idx="230">
                  <c:v>80.633764389220062</c:v>
                </c:pt>
                <c:pt idx="231">
                  <c:v>80.615052425807619</c:v>
                </c:pt>
                <c:pt idx="232">
                  <c:v>80.596340462395176</c:v>
                </c:pt>
                <c:pt idx="233">
                  <c:v>80.577628498982733</c:v>
                </c:pt>
                <c:pt idx="234">
                  <c:v>80.558916535570276</c:v>
                </c:pt>
                <c:pt idx="235">
                  <c:v>80.540204572157833</c:v>
                </c:pt>
                <c:pt idx="236">
                  <c:v>80.52149260874539</c:v>
                </c:pt>
                <c:pt idx="237">
                  <c:v>80.502780645332933</c:v>
                </c:pt>
                <c:pt idx="238">
                  <c:v>80.48406868192049</c:v>
                </c:pt>
                <c:pt idx="239">
                  <c:v>80.465356718508048</c:v>
                </c:pt>
                <c:pt idx="240">
                  <c:v>80.446644755095605</c:v>
                </c:pt>
                <c:pt idx="241">
                  <c:v>80.427932791683148</c:v>
                </c:pt>
                <c:pt idx="242">
                  <c:v>80.409220828270705</c:v>
                </c:pt>
                <c:pt idx="243">
                  <c:v>80.390508864858262</c:v>
                </c:pt>
                <c:pt idx="244">
                  <c:v>80.371796901445805</c:v>
                </c:pt>
                <c:pt idx="245">
                  <c:v>80.353084938033362</c:v>
                </c:pt>
                <c:pt idx="246">
                  <c:v>80.334372974620919</c:v>
                </c:pt>
                <c:pt idx="247">
                  <c:v>80.315661011208476</c:v>
                </c:pt>
                <c:pt idx="248">
                  <c:v>80.296949047796019</c:v>
                </c:pt>
                <c:pt idx="249">
                  <c:v>80.278237084383576</c:v>
                </c:pt>
                <c:pt idx="250">
                  <c:v>80.259525120971134</c:v>
                </c:pt>
                <c:pt idx="251">
                  <c:v>80.240813157558691</c:v>
                </c:pt>
                <c:pt idx="252">
                  <c:v>80.222101194146234</c:v>
                </c:pt>
                <c:pt idx="253">
                  <c:v>80.203389230733791</c:v>
                </c:pt>
                <c:pt idx="254">
                  <c:v>80.184677267321348</c:v>
                </c:pt>
                <c:pt idx="255">
                  <c:v>80.165965303908905</c:v>
                </c:pt>
                <c:pt idx="256">
                  <c:v>80.147253340496448</c:v>
                </c:pt>
                <c:pt idx="257">
                  <c:v>80.128541377084005</c:v>
                </c:pt>
                <c:pt idx="258">
                  <c:v>80.109829413671562</c:v>
                </c:pt>
                <c:pt idx="259">
                  <c:v>80.091117450259105</c:v>
                </c:pt>
                <c:pt idx="260">
                  <c:v>80.072405486846662</c:v>
                </c:pt>
                <c:pt idx="261">
                  <c:v>80.05369352343422</c:v>
                </c:pt>
                <c:pt idx="262">
                  <c:v>80.034981560021777</c:v>
                </c:pt>
                <c:pt idx="263">
                  <c:v>80.01626959660932</c:v>
                </c:pt>
                <c:pt idx="264">
                  <c:v>79.997557633196877</c:v>
                </c:pt>
                <c:pt idx="265">
                  <c:v>79.978845669784434</c:v>
                </c:pt>
                <c:pt idx="266">
                  <c:v>79.960133706371977</c:v>
                </c:pt>
                <c:pt idx="267">
                  <c:v>79.941421742959534</c:v>
                </c:pt>
                <c:pt idx="268">
                  <c:v>79.922709779547091</c:v>
                </c:pt>
                <c:pt idx="269">
                  <c:v>79.903997816134648</c:v>
                </c:pt>
                <c:pt idx="270">
                  <c:v>79.885285852722191</c:v>
                </c:pt>
                <c:pt idx="271">
                  <c:v>79.866573889309748</c:v>
                </c:pt>
                <c:pt idx="272">
                  <c:v>79.847861925897305</c:v>
                </c:pt>
                <c:pt idx="273">
                  <c:v>79.829149962484863</c:v>
                </c:pt>
                <c:pt idx="274">
                  <c:v>79.810437999072406</c:v>
                </c:pt>
                <c:pt idx="275">
                  <c:v>79.791726035659963</c:v>
                </c:pt>
                <c:pt idx="276">
                  <c:v>79.77301407224752</c:v>
                </c:pt>
                <c:pt idx="277">
                  <c:v>79.754302108835077</c:v>
                </c:pt>
                <c:pt idx="278">
                  <c:v>79.73559014542262</c:v>
                </c:pt>
                <c:pt idx="279">
                  <c:v>79.716878182010177</c:v>
                </c:pt>
                <c:pt idx="280">
                  <c:v>79.698166218597734</c:v>
                </c:pt>
                <c:pt idx="281">
                  <c:v>79.679454255185277</c:v>
                </c:pt>
                <c:pt idx="282">
                  <c:v>79.660742291772834</c:v>
                </c:pt>
                <c:pt idx="283">
                  <c:v>79.642030328360391</c:v>
                </c:pt>
                <c:pt idx="284">
                  <c:v>79.623318364947949</c:v>
                </c:pt>
                <c:pt idx="285">
                  <c:v>79.604606401535491</c:v>
                </c:pt>
                <c:pt idx="286">
                  <c:v>79.585894438123049</c:v>
                </c:pt>
                <c:pt idx="287">
                  <c:v>79.567182474710606</c:v>
                </c:pt>
                <c:pt idx="288">
                  <c:v>79.548470511298163</c:v>
                </c:pt>
                <c:pt idx="289">
                  <c:v>79.529758547885706</c:v>
                </c:pt>
                <c:pt idx="290">
                  <c:v>79.511046584473263</c:v>
                </c:pt>
                <c:pt idx="291">
                  <c:v>79.49233462106082</c:v>
                </c:pt>
                <c:pt idx="292">
                  <c:v>79.473622657648363</c:v>
                </c:pt>
                <c:pt idx="293">
                  <c:v>79.45491069423592</c:v>
                </c:pt>
                <c:pt idx="294">
                  <c:v>79.436198730823477</c:v>
                </c:pt>
                <c:pt idx="295">
                  <c:v>79.417486767411035</c:v>
                </c:pt>
                <c:pt idx="296">
                  <c:v>79.398774803998577</c:v>
                </c:pt>
                <c:pt idx="297">
                  <c:v>79.380062840586135</c:v>
                </c:pt>
                <c:pt idx="298">
                  <c:v>79.361350877173692</c:v>
                </c:pt>
                <c:pt idx="299">
                  <c:v>79.342638913761249</c:v>
                </c:pt>
                <c:pt idx="300">
                  <c:v>79.323926950348792</c:v>
                </c:pt>
                <c:pt idx="301">
                  <c:v>79.305214986936349</c:v>
                </c:pt>
                <c:pt idx="302">
                  <c:v>79.286503023523906</c:v>
                </c:pt>
                <c:pt idx="303">
                  <c:v>79.267791060111449</c:v>
                </c:pt>
                <c:pt idx="304">
                  <c:v>79.249079096699006</c:v>
                </c:pt>
                <c:pt idx="305">
                  <c:v>79.230367133286563</c:v>
                </c:pt>
                <c:pt idx="306">
                  <c:v>79.21165516987412</c:v>
                </c:pt>
                <c:pt idx="307">
                  <c:v>79.192943206461663</c:v>
                </c:pt>
                <c:pt idx="308">
                  <c:v>79.174231243049221</c:v>
                </c:pt>
                <c:pt idx="309">
                  <c:v>79.155519279636778</c:v>
                </c:pt>
                <c:pt idx="310">
                  <c:v>79.136807316224335</c:v>
                </c:pt>
                <c:pt idx="311">
                  <c:v>79.118095352811878</c:v>
                </c:pt>
                <c:pt idx="312">
                  <c:v>79.099383389399435</c:v>
                </c:pt>
                <c:pt idx="313">
                  <c:v>79.080671425986992</c:v>
                </c:pt>
                <c:pt idx="314">
                  <c:v>79.061959462574549</c:v>
                </c:pt>
                <c:pt idx="315">
                  <c:v>79.043247499162092</c:v>
                </c:pt>
                <c:pt idx="316">
                  <c:v>79.024535535749649</c:v>
                </c:pt>
                <c:pt idx="317">
                  <c:v>79.005823572337206</c:v>
                </c:pt>
                <c:pt idx="318">
                  <c:v>78.987111608924749</c:v>
                </c:pt>
                <c:pt idx="319">
                  <c:v>78.968399645512307</c:v>
                </c:pt>
                <c:pt idx="320">
                  <c:v>78.949687682099864</c:v>
                </c:pt>
                <c:pt idx="321">
                  <c:v>78.930975718687421</c:v>
                </c:pt>
                <c:pt idx="322">
                  <c:v>78.912263755274964</c:v>
                </c:pt>
                <c:pt idx="323">
                  <c:v>78.893551791862521</c:v>
                </c:pt>
                <c:pt idx="324">
                  <c:v>78.874839828450078</c:v>
                </c:pt>
                <c:pt idx="325">
                  <c:v>78.856127865037621</c:v>
                </c:pt>
                <c:pt idx="326">
                  <c:v>78.837415901625178</c:v>
                </c:pt>
                <c:pt idx="327">
                  <c:v>78.818703938212735</c:v>
                </c:pt>
                <c:pt idx="328">
                  <c:v>78.799991974800292</c:v>
                </c:pt>
                <c:pt idx="329">
                  <c:v>78.781280011387835</c:v>
                </c:pt>
                <c:pt idx="330">
                  <c:v>78.762568047975392</c:v>
                </c:pt>
                <c:pt idx="331">
                  <c:v>78.74385608456295</c:v>
                </c:pt>
                <c:pt idx="332">
                  <c:v>78.725144121150507</c:v>
                </c:pt>
                <c:pt idx="333">
                  <c:v>78.70643215773805</c:v>
                </c:pt>
                <c:pt idx="334">
                  <c:v>78.687720194325607</c:v>
                </c:pt>
                <c:pt idx="335">
                  <c:v>78.669008230913164</c:v>
                </c:pt>
                <c:pt idx="336">
                  <c:v>78.650296267500721</c:v>
                </c:pt>
                <c:pt idx="337">
                  <c:v>78.631584304088264</c:v>
                </c:pt>
                <c:pt idx="338">
                  <c:v>78.612872340675821</c:v>
                </c:pt>
                <c:pt idx="339">
                  <c:v>78.594160377263378</c:v>
                </c:pt>
                <c:pt idx="340">
                  <c:v>78.575448413850921</c:v>
                </c:pt>
                <c:pt idx="341">
                  <c:v>78.556736450438478</c:v>
                </c:pt>
                <c:pt idx="342">
                  <c:v>78.538024487026036</c:v>
                </c:pt>
                <c:pt idx="343">
                  <c:v>78.519312523613593</c:v>
                </c:pt>
                <c:pt idx="344">
                  <c:v>78.500600560201136</c:v>
                </c:pt>
                <c:pt idx="345">
                  <c:v>78.481888596788693</c:v>
                </c:pt>
                <c:pt idx="346">
                  <c:v>78.46317663337625</c:v>
                </c:pt>
                <c:pt idx="347">
                  <c:v>78.444464669963793</c:v>
                </c:pt>
                <c:pt idx="348">
                  <c:v>78.42575270655135</c:v>
                </c:pt>
                <c:pt idx="349">
                  <c:v>78.407040743138907</c:v>
                </c:pt>
                <c:pt idx="350">
                  <c:v>78.388328779726464</c:v>
                </c:pt>
                <c:pt idx="351">
                  <c:v>78.369616816314007</c:v>
                </c:pt>
                <c:pt idx="352">
                  <c:v>78.350904852901564</c:v>
                </c:pt>
                <c:pt idx="353">
                  <c:v>78.332192889489122</c:v>
                </c:pt>
                <c:pt idx="354">
                  <c:v>78.313480926076679</c:v>
                </c:pt>
                <c:pt idx="355">
                  <c:v>78.294768962664222</c:v>
                </c:pt>
                <c:pt idx="356">
                  <c:v>78.276056999251779</c:v>
                </c:pt>
                <c:pt idx="357">
                  <c:v>78.257345035839336</c:v>
                </c:pt>
                <c:pt idx="358">
                  <c:v>78.238633072426893</c:v>
                </c:pt>
                <c:pt idx="359">
                  <c:v>78.219921109014436</c:v>
                </c:pt>
                <c:pt idx="360">
                  <c:v>78.201209145601993</c:v>
                </c:pt>
                <c:pt idx="361">
                  <c:v>78.18249718218955</c:v>
                </c:pt>
                <c:pt idx="362">
                  <c:v>78.163785218777093</c:v>
                </c:pt>
                <c:pt idx="363">
                  <c:v>78.14507325536465</c:v>
                </c:pt>
                <c:pt idx="364">
                  <c:v>78.126361291952207</c:v>
                </c:pt>
                <c:pt idx="365">
                  <c:v>78.107649328539765</c:v>
                </c:pt>
                <c:pt idx="366">
                  <c:v>78.088937365127308</c:v>
                </c:pt>
                <c:pt idx="367">
                  <c:v>78.070225401714865</c:v>
                </c:pt>
                <c:pt idx="368">
                  <c:v>78.051513438302422</c:v>
                </c:pt>
                <c:pt idx="369">
                  <c:v>78.032801474889979</c:v>
                </c:pt>
                <c:pt idx="370">
                  <c:v>78.014089511477522</c:v>
                </c:pt>
                <c:pt idx="371">
                  <c:v>77.995377548065079</c:v>
                </c:pt>
                <c:pt idx="372">
                  <c:v>77.976665584652636</c:v>
                </c:pt>
                <c:pt idx="373">
                  <c:v>77.957953621240179</c:v>
                </c:pt>
                <c:pt idx="374">
                  <c:v>77.939241657827736</c:v>
                </c:pt>
                <c:pt idx="375">
                  <c:v>77.920529694415293</c:v>
                </c:pt>
                <c:pt idx="376">
                  <c:v>77.901817731002851</c:v>
                </c:pt>
                <c:pt idx="377">
                  <c:v>77.883105767590393</c:v>
                </c:pt>
                <c:pt idx="378">
                  <c:v>77.864393804177951</c:v>
                </c:pt>
                <c:pt idx="379">
                  <c:v>77.845681840765508</c:v>
                </c:pt>
                <c:pt idx="380">
                  <c:v>77.826969877353065</c:v>
                </c:pt>
                <c:pt idx="381">
                  <c:v>77.808257913940608</c:v>
                </c:pt>
                <c:pt idx="382">
                  <c:v>77.789545950528165</c:v>
                </c:pt>
                <c:pt idx="383">
                  <c:v>77.770833987115722</c:v>
                </c:pt>
                <c:pt idx="384">
                  <c:v>77.752122023703265</c:v>
                </c:pt>
                <c:pt idx="385">
                  <c:v>77.733410060290822</c:v>
                </c:pt>
                <c:pt idx="386">
                  <c:v>77.714698096878379</c:v>
                </c:pt>
                <c:pt idx="387">
                  <c:v>77.695986133465937</c:v>
                </c:pt>
                <c:pt idx="388">
                  <c:v>77.677274170053479</c:v>
                </c:pt>
                <c:pt idx="389">
                  <c:v>77.658562206641037</c:v>
                </c:pt>
                <c:pt idx="390">
                  <c:v>77.639850243228594</c:v>
                </c:pt>
                <c:pt idx="391">
                  <c:v>77.621138279816151</c:v>
                </c:pt>
                <c:pt idx="392">
                  <c:v>77.602426316403694</c:v>
                </c:pt>
                <c:pt idx="393">
                  <c:v>77.583714352991251</c:v>
                </c:pt>
                <c:pt idx="394">
                  <c:v>77.565002389578808</c:v>
                </c:pt>
                <c:pt idx="395">
                  <c:v>77.546290426166365</c:v>
                </c:pt>
                <c:pt idx="396">
                  <c:v>77.527578462753908</c:v>
                </c:pt>
                <c:pt idx="397">
                  <c:v>77.508866499341465</c:v>
                </c:pt>
                <c:pt idx="398">
                  <c:v>77.490154535929022</c:v>
                </c:pt>
                <c:pt idx="399">
                  <c:v>77.471442572516565</c:v>
                </c:pt>
                <c:pt idx="400">
                  <c:v>77.452730609104123</c:v>
                </c:pt>
                <c:pt idx="401">
                  <c:v>77.43401864569168</c:v>
                </c:pt>
                <c:pt idx="402">
                  <c:v>77.415306682279237</c:v>
                </c:pt>
                <c:pt idx="403">
                  <c:v>77.39659471886678</c:v>
                </c:pt>
                <c:pt idx="404">
                  <c:v>77.377882755454337</c:v>
                </c:pt>
                <c:pt idx="405">
                  <c:v>77.359170792041894</c:v>
                </c:pt>
                <c:pt idx="406">
                  <c:v>77.340458828629437</c:v>
                </c:pt>
                <c:pt idx="407">
                  <c:v>77.321746865216994</c:v>
                </c:pt>
                <c:pt idx="408">
                  <c:v>77.303034901804551</c:v>
                </c:pt>
                <c:pt idx="409">
                  <c:v>77.284322938392108</c:v>
                </c:pt>
                <c:pt idx="410">
                  <c:v>77.265610974979651</c:v>
                </c:pt>
                <c:pt idx="411">
                  <c:v>77.246899011567209</c:v>
                </c:pt>
                <c:pt idx="412">
                  <c:v>77.228187048154766</c:v>
                </c:pt>
                <c:pt idx="413">
                  <c:v>77.209475084742323</c:v>
                </c:pt>
                <c:pt idx="414">
                  <c:v>77.190763121329866</c:v>
                </c:pt>
                <c:pt idx="415">
                  <c:v>77.172051157917423</c:v>
                </c:pt>
                <c:pt idx="416">
                  <c:v>77.15333919450498</c:v>
                </c:pt>
                <c:pt idx="417">
                  <c:v>77.134627231092537</c:v>
                </c:pt>
                <c:pt idx="418">
                  <c:v>77.11591526768008</c:v>
                </c:pt>
                <c:pt idx="419">
                  <c:v>77.097203304267637</c:v>
                </c:pt>
                <c:pt idx="420">
                  <c:v>77.078491340855194</c:v>
                </c:pt>
                <c:pt idx="421">
                  <c:v>77.059779377442737</c:v>
                </c:pt>
                <c:pt idx="422">
                  <c:v>77.041067414030294</c:v>
                </c:pt>
                <c:pt idx="423">
                  <c:v>77.022355450617852</c:v>
                </c:pt>
                <c:pt idx="424">
                  <c:v>77.003643487205409</c:v>
                </c:pt>
                <c:pt idx="425">
                  <c:v>76.984931523792952</c:v>
                </c:pt>
                <c:pt idx="426">
                  <c:v>76.966219560380509</c:v>
                </c:pt>
                <c:pt idx="427">
                  <c:v>76.947507596968066</c:v>
                </c:pt>
                <c:pt idx="428">
                  <c:v>76.928795633555609</c:v>
                </c:pt>
                <c:pt idx="429">
                  <c:v>76.910083670143166</c:v>
                </c:pt>
                <c:pt idx="430">
                  <c:v>76.891371706730723</c:v>
                </c:pt>
                <c:pt idx="431">
                  <c:v>76.87265974331828</c:v>
                </c:pt>
                <c:pt idx="432">
                  <c:v>76.853947779905837</c:v>
                </c:pt>
                <c:pt idx="433">
                  <c:v>76.83523581649338</c:v>
                </c:pt>
                <c:pt idx="434">
                  <c:v>76.816523853080938</c:v>
                </c:pt>
                <c:pt idx="435">
                  <c:v>76.797811889668495</c:v>
                </c:pt>
                <c:pt idx="436">
                  <c:v>76.779099926256038</c:v>
                </c:pt>
                <c:pt idx="437">
                  <c:v>76.760387962843595</c:v>
                </c:pt>
                <c:pt idx="438">
                  <c:v>76.741675999431152</c:v>
                </c:pt>
                <c:pt idx="439">
                  <c:v>76.722964036018709</c:v>
                </c:pt>
                <c:pt idx="440">
                  <c:v>76.704252072606252</c:v>
                </c:pt>
                <c:pt idx="441">
                  <c:v>76.685540109193809</c:v>
                </c:pt>
                <c:pt idx="442">
                  <c:v>76.666828145781366</c:v>
                </c:pt>
                <c:pt idx="443">
                  <c:v>76.648116182368909</c:v>
                </c:pt>
                <c:pt idx="444">
                  <c:v>76.629404218956466</c:v>
                </c:pt>
                <c:pt idx="445">
                  <c:v>76.610692255544024</c:v>
                </c:pt>
                <c:pt idx="446">
                  <c:v>76.591980292131581</c:v>
                </c:pt>
                <c:pt idx="447">
                  <c:v>76.573268328719124</c:v>
                </c:pt>
                <c:pt idx="448">
                  <c:v>76.554556365306681</c:v>
                </c:pt>
                <c:pt idx="449">
                  <c:v>76.535844401894238</c:v>
                </c:pt>
                <c:pt idx="450">
                  <c:v>76.517132438481781</c:v>
                </c:pt>
                <c:pt idx="451">
                  <c:v>76.498420475069338</c:v>
                </c:pt>
                <c:pt idx="452">
                  <c:v>76.479708511656895</c:v>
                </c:pt>
                <c:pt idx="453">
                  <c:v>76.460996548244452</c:v>
                </c:pt>
                <c:pt idx="454">
                  <c:v>76.442284584832009</c:v>
                </c:pt>
                <c:pt idx="455">
                  <c:v>76.423572621419552</c:v>
                </c:pt>
                <c:pt idx="456">
                  <c:v>76.404860658007109</c:v>
                </c:pt>
                <c:pt idx="457">
                  <c:v>76.386148694594667</c:v>
                </c:pt>
                <c:pt idx="458">
                  <c:v>76.36743673118221</c:v>
                </c:pt>
                <c:pt idx="459">
                  <c:v>76.348724767769767</c:v>
                </c:pt>
                <c:pt idx="460">
                  <c:v>76.330012804357324</c:v>
                </c:pt>
                <c:pt idx="461">
                  <c:v>76.311300840944881</c:v>
                </c:pt>
                <c:pt idx="462">
                  <c:v>76.292588877532424</c:v>
                </c:pt>
                <c:pt idx="463">
                  <c:v>76.273876914119981</c:v>
                </c:pt>
                <c:pt idx="464">
                  <c:v>76.255164950707538</c:v>
                </c:pt>
                <c:pt idx="465">
                  <c:v>76.236452987295081</c:v>
                </c:pt>
                <c:pt idx="466">
                  <c:v>76.217741023882638</c:v>
                </c:pt>
                <c:pt idx="467">
                  <c:v>76.199029060470195</c:v>
                </c:pt>
                <c:pt idx="468">
                  <c:v>76.180317097057753</c:v>
                </c:pt>
                <c:pt idx="469">
                  <c:v>76.161605133645295</c:v>
                </c:pt>
                <c:pt idx="470">
                  <c:v>76.142893170232853</c:v>
                </c:pt>
                <c:pt idx="471">
                  <c:v>76.12418120682041</c:v>
                </c:pt>
                <c:pt idx="472">
                  <c:v>76.105469243407967</c:v>
                </c:pt>
                <c:pt idx="473">
                  <c:v>76.08675727999551</c:v>
                </c:pt>
                <c:pt idx="474">
                  <c:v>76.068045316583067</c:v>
                </c:pt>
                <c:pt idx="475">
                  <c:v>76.049333353170624</c:v>
                </c:pt>
                <c:pt idx="476">
                  <c:v>76.030621389758181</c:v>
                </c:pt>
                <c:pt idx="477">
                  <c:v>76.011909426345724</c:v>
                </c:pt>
                <c:pt idx="478">
                  <c:v>75.993197462933281</c:v>
                </c:pt>
                <c:pt idx="479">
                  <c:v>75.974485499520839</c:v>
                </c:pt>
                <c:pt idx="480">
                  <c:v>75.955773536108381</c:v>
                </c:pt>
                <c:pt idx="481">
                  <c:v>75.937061572695939</c:v>
                </c:pt>
                <c:pt idx="482">
                  <c:v>75.918349609283496</c:v>
                </c:pt>
                <c:pt idx="483">
                  <c:v>75.899637645871053</c:v>
                </c:pt>
                <c:pt idx="484">
                  <c:v>75.880925682458596</c:v>
                </c:pt>
                <c:pt idx="485">
                  <c:v>75.862213719046153</c:v>
                </c:pt>
                <c:pt idx="486">
                  <c:v>75.84350175563371</c:v>
                </c:pt>
                <c:pt idx="487">
                  <c:v>75.824789792221253</c:v>
                </c:pt>
                <c:pt idx="488">
                  <c:v>75.80607782880881</c:v>
                </c:pt>
                <c:pt idx="489">
                  <c:v>75.787365865396367</c:v>
                </c:pt>
                <c:pt idx="490">
                  <c:v>75.768653901983924</c:v>
                </c:pt>
                <c:pt idx="491">
                  <c:v>75.749941938571467</c:v>
                </c:pt>
                <c:pt idx="492">
                  <c:v>75.731229975159025</c:v>
                </c:pt>
                <c:pt idx="493">
                  <c:v>75.712518011746582</c:v>
                </c:pt>
                <c:pt idx="494">
                  <c:v>75.693806048334139</c:v>
                </c:pt>
                <c:pt idx="495">
                  <c:v>75.675094084921682</c:v>
                </c:pt>
                <c:pt idx="496">
                  <c:v>75.656382121509239</c:v>
                </c:pt>
                <c:pt idx="497">
                  <c:v>75.637670158096796</c:v>
                </c:pt>
                <c:pt idx="498">
                  <c:v>75.618958194684353</c:v>
                </c:pt>
                <c:pt idx="499">
                  <c:v>75.600246231271896</c:v>
                </c:pt>
                <c:pt idx="500">
                  <c:v>75.581534267859453</c:v>
                </c:pt>
                <c:pt idx="501">
                  <c:v>75.56282230444701</c:v>
                </c:pt>
                <c:pt idx="502">
                  <c:v>75.544110341034553</c:v>
                </c:pt>
                <c:pt idx="503">
                  <c:v>75.525398377622111</c:v>
                </c:pt>
                <c:pt idx="504">
                  <c:v>75.506686414209668</c:v>
                </c:pt>
                <c:pt idx="505">
                  <c:v>75.487974450797225</c:v>
                </c:pt>
                <c:pt idx="506">
                  <c:v>75.469262487384768</c:v>
                </c:pt>
                <c:pt idx="507">
                  <c:v>75.450550523972325</c:v>
                </c:pt>
                <c:pt idx="508">
                  <c:v>75.431838560559882</c:v>
                </c:pt>
                <c:pt idx="509">
                  <c:v>75.413126597147425</c:v>
                </c:pt>
                <c:pt idx="510">
                  <c:v>75.394414633734982</c:v>
                </c:pt>
                <c:pt idx="511">
                  <c:v>75.375702670322539</c:v>
                </c:pt>
                <c:pt idx="512">
                  <c:v>75.356990706910096</c:v>
                </c:pt>
                <c:pt idx="513">
                  <c:v>75.338278743497654</c:v>
                </c:pt>
                <c:pt idx="514">
                  <c:v>75.319566780085196</c:v>
                </c:pt>
                <c:pt idx="515">
                  <c:v>75.300854816672754</c:v>
                </c:pt>
                <c:pt idx="516">
                  <c:v>75.282142853260311</c:v>
                </c:pt>
                <c:pt idx="517">
                  <c:v>75.263430889847854</c:v>
                </c:pt>
                <c:pt idx="518">
                  <c:v>75.244718926435411</c:v>
                </c:pt>
                <c:pt idx="519">
                  <c:v>75.226006963022968</c:v>
                </c:pt>
                <c:pt idx="520">
                  <c:v>75.207294999610525</c:v>
                </c:pt>
                <c:pt idx="521">
                  <c:v>75.188583036198068</c:v>
                </c:pt>
                <c:pt idx="522">
                  <c:v>75.169871072785625</c:v>
                </c:pt>
                <c:pt idx="523">
                  <c:v>75.151159109373182</c:v>
                </c:pt>
                <c:pt idx="524">
                  <c:v>75.132447145960725</c:v>
                </c:pt>
                <c:pt idx="525">
                  <c:v>75.113735182548282</c:v>
                </c:pt>
                <c:pt idx="526">
                  <c:v>75.09502321913584</c:v>
                </c:pt>
                <c:pt idx="527">
                  <c:v>75.076311255723397</c:v>
                </c:pt>
                <c:pt idx="528">
                  <c:v>75.05759929231094</c:v>
                </c:pt>
                <c:pt idx="529">
                  <c:v>75.038887328898497</c:v>
                </c:pt>
                <c:pt idx="530">
                  <c:v>75.020175365486054</c:v>
                </c:pt>
                <c:pt idx="531">
                  <c:v>75.001463402073611</c:v>
                </c:pt>
                <c:pt idx="532">
                  <c:v>74.982751438661154</c:v>
                </c:pt>
                <c:pt idx="533">
                  <c:v>74.964039475248711</c:v>
                </c:pt>
                <c:pt idx="534">
                  <c:v>74.945327511836268</c:v>
                </c:pt>
                <c:pt idx="535">
                  <c:v>74.926615548423825</c:v>
                </c:pt>
                <c:pt idx="536">
                  <c:v>74.907903585011368</c:v>
                </c:pt>
                <c:pt idx="537">
                  <c:v>74.889191621598926</c:v>
                </c:pt>
                <c:pt idx="538">
                  <c:v>74.870479658186483</c:v>
                </c:pt>
                <c:pt idx="539">
                  <c:v>74.851767694774026</c:v>
                </c:pt>
                <c:pt idx="540">
                  <c:v>74.833055731361583</c:v>
                </c:pt>
                <c:pt idx="541">
                  <c:v>74.81434376794914</c:v>
                </c:pt>
                <c:pt idx="542">
                  <c:v>74.795631804536697</c:v>
                </c:pt>
                <c:pt idx="543">
                  <c:v>74.77691984112424</c:v>
                </c:pt>
                <c:pt idx="544">
                  <c:v>74.758207877711797</c:v>
                </c:pt>
                <c:pt idx="545">
                  <c:v>74.739495914299354</c:v>
                </c:pt>
                <c:pt idx="546">
                  <c:v>74.720783950886897</c:v>
                </c:pt>
                <c:pt idx="547">
                  <c:v>74.702071987474454</c:v>
                </c:pt>
                <c:pt idx="548">
                  <c:v>74.683360024062011</c:v>
                </c:pt>
                <c:pt idx="549">
                  <c:v>74.664648060649569</c:v>
                </c:pt>
                <c:pt idx="550">
                  <c:v>74.645936097237112</c:v>
                </c:pt>
                <c:pt idx="551">
                  <c:v>74.627224133824669</c:v>
                </c:pt>
                <c:pt idx="552">
                  <c:v>74.608512170412226</c:v>
                </c:pt>
                <c:pt idx="553">
                  <c:v>74.589800206999783</c:v>
                </c:pt>
                <c:pt idx="554">
                  <c:v>74.571088243587326</c:v>
                </c:pt>
                <c:pt idx="555">
                  <c:v>74.552376280174883</c:v>
                </c:pt>
                <c:pt idx="556">
                  <c:v>74.53366431676244</c:v>
                </c:pt>
                <c:pt idx="557">
                  <c:v>74.514952353349997</c:v>
                </c:pt>
                <c:pt idx="558">
                  <c:v>74.49624038993754</c:v>
                </c:pt>
                <c:pt idx="559">
                  <c:v>74.477528426525097</c:v>
                </c:pt>
                <c:pt idx="560">
                  <c:v>74.458816463112655</c:v>
                </c:pt>
                <c:pt idx="561">
                  <c:v>74.440104499700197</c:v>
                </c:pt>
                <c:pt idx="562">
                  <c:v>74.421392536287755</c:v>
                </c:pt>
                <c:pt idx="563">
                  <c:v>74.402680572875312</c:v>
                </c:pt>
                <c:pt idx="564">
                  <c:v>74.383968609462869</c:v>
                </c:pt>
                <c:pt idx="565">
                  <c:v>74.365256646050412</c:v>
                </c:pt>
                <c:pt idx="566">
                  <c:v>74.346544682637969</c:v>
                </c:pt>
                <c:pt idx="567">
                  <c:v>74.327832719225526</c:v>
                </c:pt>
                <c:pt idx="568">
                  <c:v>74.309120755813069</c:v>
                </c:pt>
                <c:pt idx="569">
                  <c:v>74.290408792400626</c:v>
                </c:pt>
                <c:pt idx="570">
                  <c:v>74.271696828988183</c:v>
                </c:pt>
                <c:pt idx="571">
                  <c:v>74.252984865575741</c:v>
                </c:pt>
                <c:pt idx="572">
                  <c:v>74.234272902163298</c:v>
                </c:pt>
                <c:pt idx="573">
                  <c:v>74.215560938750841</c:v>
                </c:pt>
                <c:pt idx="574">
                  <c:v>74.196848975338398</c:v>
                </c:pt>
                <c:pt idx="575">
                  <c:v>74.178137011925955</c:v>
                </c:pt>
                <c:pt idx="576">
                  <c:v>74.159425048513498</c:v>
                </c:pt>
                <c:pt idx="577">
                  <c:v>74.140713085101055</c:v>
                </c:pt>
                <c:pt idx="578">
                  <c:v>74.122001121688612</c:v>
                </c:pt>
                <c:pt idx="579">
                  <c:v>74.103289158276169</c:v>
                </c:pt>
                <c:pt idx="580">
                  <c:v>74.084577194863712</c:v>
                </c:pt>
                <c:pt idx="581">
                  <c:v>74.065865231451269</c:v>
                </c:pt>
                <c:pt idx="582">
                  <c:v>74.047153268038826</c:v>
                </c:pt>
                <c:pt idx="583">
                  <c:v>74.028441304626369</c:v>
                </c:pt>
                <c:pt idx="584">
                  <c:v>74.009729341213927</c:v>
                </c:pt>
                <c:pt idx="585">
                  <c:v>73.991017377801484</c:v>
                </c:pt>
                <c:pt idx="586">
                  <c:v>73.972305414389041</c:v>
                </c:pt>
                <c:pt idx="587">
                  <c:v>73.953593450976584</c:v>
                </c:pt>
                <c:pt idx="588">
                  <c:v>73.934881487564141</c:v>
                </c:pt>
                <c:pt idx="589">
                  <c:v>73.916169524151698</c:v>
                </c:pt>
                <c:pt idx="590">
                  <c:v>73.897457560739241</c:v>
                </c:pt>
                <c:pt idx="591">
                  <c:v>73.878745597326798</c:v>
                </c:pt>
                <c:pt idx="592">
                  <c:v>73.860033633914355</c:v>
                </c:pt>
                <c:pt idx="593">
                  <c:v>73.841321670501912</c:v>
                </c:pt>
                <c:pt idx="594">
                  <c:v>73.82260970708947</c:v>
                </c:pt>
                <c:pt idx="595">
                  <c:v>73.803897743677012</c:v>
                </c:pt>
                <c:pt idx="596">
                  <c:v>73.78518578026457</c:v>
                </c:pt>
                <c:pt idx="597">
                  <c:v>73.766473816852127</c:v>
                </c:pt>
                <c:pt idx="598">
                  <c:v>73.74776185343967</c:v>
                </c:pt>
                <c:pt idx="599">
                  <c:v>73.729049890027227</c:v>
                </c:pt>
                <c:pt idx="600">
                  <c:v>73.710337926614784</c:v>
                </c:pt>
                <c:pt idx="601">
                  <c:v>73.691625963202341</c:v>
                </c:pt>
                <c:pt idx="602">
                  <c:v>73.672913999789884</c:v>
                </c:pt>
                <c:pt idx="603">
                  <c:v>73.654202036377441</c:v>
                </c:pt>
                <c:pt idx="604">
                  <c:v>73.635490072964998</c:v>
                </c:pt>
                <c:pt idx="605">
                  <c:v>73.616778109552541</c:v>
                </c:pt>
                <c:pt idx="606">
                  <c:v>73.598066146140098</c:v>
                </c:pt>
                <c:pt idx="607">
                  <c:v>73.579354182727656</c:v>
                </c:pt>
                <c:pt idx="608">
                  <c:v>73.560642219315213</c:v>
                </c:pt>
                <c:pt idx="609">
                  <c:v>73.541930255902756</c:v>
                </c:pt>
                <c:pt idx="610">
                  <c:v>73.523218292490313</c:v>
                </c:pt>
                <c:pt idx="611">
                  <c:v>73.50450632907787</c:v>
                </c:pt>
                <c:pt idx="612">
                  <c:v>73.485794365665427</c:v>
                </c:pt>
                <c:pt idx="613">
                  <c:v>73.46708240225297</c:v>
                </c:pt>
                <c:pt idx="614">
                  <c:v>73.448370438840527</c:v>
                </c:pt>
                <c:pt idx="615">
                  <c:v>73.429658475428084</c:v>
                </c:pt>
                <c:pt idx="616">
                  <c:v>73.410946512015641</c:v>
                </c:pt>
                <c:pt idx="617">
                  <c:v>73.392234548603184</c:v>
                </c:pt>
                <c:pt idx="618">
                  <c:v>73.373522585190742</c:v>
                </c:pt>
                <c:pt idx="619">
                  <c:v>73.354810621778299</c:v>
                </c:pt>
                <c:pt idx="620">
                  <c:v>73.336098658365842</c:v>
                </c:pt>
                <c:pt idx="621">
                  <c:v>73.317386694953399</c:v>
                </c:pt>
                <c:pt idx="622">
                  <c:v>73.298674731540956</c:v>
                </c:pt>
                <c:pt idx="623">
                  <c:v>73.279962768128513</c:v>
                </c:pt>
                <c:pt idx="624">
                  <c:v>73.261250804716056</c:v>
                </c:pt>
                <c:pt idx="625">
                  <c:v>73.242538841303613</c:v>
                </c:pt>
                <c:pt idx="626">
                  <c:v>73.22382687789117</c:v>
                </c:pt>
                <c:pt idx="627">
                  <c:v>73.205114914478713</c:v>
                </c:pt>
                <c:pt idx="628">
                  <c:v>73.18640295106627</c:v>
                </c:pt>
                <c:pt idx="629">
                  <c:v>73.167690987653828</c:v>
                </c:pt>
                <c:pt idx="630">
                  <c:v>73.148979024241385</c:v>
                </c:pt>
                <c:pt idx="631">
                  <c:v>73.130267060828928</c:v>
                </c:pt>
                <c:pt idx="632">
                  <c:v>73.111555097416485</c:v>
                </c:pt>
                <c:pt idx="633">
                  <c:v>73.092843134004042</c:v>
                </c:pt>
                <c:pt idx="634">
                  <c:v>73.074131170591599</c:v>
                </c:pt>
                <c:pt idx="635">
                  <c:v>73.055419207179142</c:v>
                </c:pt>
                <c:pt idx="636">
                  <c:v>73.036707243766699</c:v>
                </c:pt>
                <c:pt idx="637">
                  <c:v>73.017995280354256</c:v>
                </c:pt>
                <c:pt idx="638">
                  <c:v>72.999283316941813</c:v>
                </c:pt>
                <c:pt idx="639">
                  <c:v>72.980571353529356</c:v>
                </c:pt>
                <c:pt idx="640">
                  <c:v>72.961859390116913</c:v>
                </c:pt>
                <c:pt idx="641">
                  <c:v>72.943147426704471</c:v>
                </c:pt>
                <c:pt idx="642">
                  <c:v>72.924435463292014</c:v>
                </c:pt>
                <c:pt idx="643">
                  <c:v>72.905723499879571</c:v>
                </c:pt>
                <c:pt idx="644">
                  <c:v>72.887011536467128</c:v>
                </c:pt>
                <c:pt idx="645">
                  <c:v>72.868299573054685</c:v>
                </c:pt>
                <c:pt idx="646">
                  <c:v>72.849587609642228</c:v>
                </c:pt>
                <c:pt idx="647">
                  <c:v>72.830875646229785</c:v>
                </c:pt>
                <c:pt idx="648">
                  <c:v>72.812163682817342</c:v>
                </c:pt>
                <c:pt idx="649">
                  <c:v>72.793451719404885</c:v>
                </c:pt>
                <c:pt idx="650">
                  <c:v>72.774739755992442</c:v>
                </c:pt>
                <c:pt idx="651">
                  <c:v>72.756027792579999</c:v>
                </c:pt>
                <c:pt idx="652">
                  <c:v>72.737315829167557</c:v>
                </c:pt>
                <c:pt idx="653">
                  <c:v>72.718603865755114</c:v>
                </c:pt>
                <c:pt idx="654">
                  <c:v>72.699891902342657</c:v>
                </c:pt>
                <c:pt idx="655">
                  <c:v>72.681179938930214</c:v>
                </c:pt>
                <c:pt idx="656">
                  <c:v>72.662467975517771</c:v>
                </c:pt>
                <c:pt idx="657">
                  <c:v>72.643756012105314</c:v>
                </c:pt>
                <c:pt idx="658">
                  <c:v>72.625044048692871</c:v>
                </c:pt>
                <c:pt idx="659">
                  <c:v>72.606332085280428</c:v>
                </c:pt>
                <c:pt idx="660">
                  <c:v>72.587620121867985</c:v>
                </c:pt>
                <c:pt idx="661">
                  <c:v>72.568908158455528</c:v>
                </c:pt>
                <c:pt idx="662">
                  <c:v>72.550196195043085</c:v>
                </c:pt>
                <c:pt idx="663">
                  <c:v>72.531484231630643</c:v>
                </c:pt>
                <c:pt idx="664">
                  <c:v>72.512772268218185</c:v>
                </c:pt>
                <c:pt idx="665">
                  <c:v>72.494060304805743</c:v>
                </c:pt>
                <c:pt idx="666">
                  <c:v>72.4753483413933</c:v>
                </c:pt>
                <c:pt idx="667">
                  <c:v>72.456636377980857</c:v>
                </c:pt>
                <c:pt idx="668">
                  <c:v>72.4379244145684</c:v>
                </c:pt>
                <c:pt idx="669">
                  <c:v>72.419212451155957</c:v>
                </c:pt>
                <c:pt idx="670">
                  <c:v>72.400500487743514</c:v>
                </c:pt>
                <c:pt idx="671">
                  <c:v>72.381788524331057</c:v>
                </c:pt>
                <c:pt idx="672">
                  <c:v>72.363076560918614</c:v>
                </c:pt>
                <c:pt idx="673">
                  <c:v>72.344364597506171</c:v>
                </c:pt>
                <c:pt idx="674">
                  <c:v>72.325652634093728</c:v>
                </c:pt>
                <c:pt idx="675">
                  <c:v>72.306940670681286</c:v>
                </c:pt>
                <c:pt idx="676">
                  <c:v>72.288228707268829</c:v>
                </c:pt>
                <c:pt idx="677">
                  <c:v>72.269516743856386</c:v>
                </c:pt>
                <c:pt idx="678">
                  <c:v>72.250804780443943</c:v>
                </c:pt>
                <c:pt idx="679">
                  <c:v>72.232092817031486</c:v>
                </c:pt>
                <c:pt idx="680">
                  <c:v>72.213380853619043</c:v>
                </c:pt>
                <c:pt idx="681">
                  <c:v>72.1946688902066</c:v>
                </c:pt>
                <c:pt idx="682">
                  <c:v>72.175956926794157</c:v>
                </c:pt>
                <c:pt idx="683">
                  <c:v>72.1572449633817</c:v>
                </c:pt>
                <c:pt idx="684">
                  <c:v>72.138532999969257</c:v>
                </c:pt>
                <c:pt idx="685">
                  <c:v>72.119821036556814</c:v>
                </c:pt>
                <c:pt idx="686">
                  <c:v>72.101109073144357</c:v>
                </c:pt>
                <c:pt idx="687">
                  <c:v>72.082397109731914</c:v>
                </c:pt>
                <c:pt idx="688">
                  <c:v>72.063685146319472</c:v>
                </c:pt>
                <c:pt idx="689">
                  <c:v>72.044973182907029</c:v>
                </c:pt>
                <c:pt idx="690">
                  <c:v>72.026261219494572</c:v>
                </c:pt>
                <c:pt idx="691">
                  <c:v>72.007549256082129</c:v>
                </c:pt>
                <c:pt idx="692">
                  <c:v>71.988837292669686</c:v>
                </c:pt>
                <c:pt idx="693">
                  <c:v>71.970125329257243</c:v>
                </c:pt>
                <c:pt idx="694">
                  <c:v>71.951413365844786</c:v>
                </c:pt>
                <c:pt idx="695">
                  <c:v>71.932701402432343</c:v>
                </c:pt>
                <c:pt idx="696">
                  <c:v>71.9139894390199</c:v>
                </c:pt>
                <c:pt idx="697">
                  <c:v>71.895277475607458</c:v>
                </c:pt>
                <c:pt idx="698">
                  <c:v>71.876565512195</c:v>
                </c:pt>
                <c:pt idx="699">
                  <c:v>71.857853548782558</c:v>
                </c:pt>
                <c:pt idx="700">
                  <c:v>71.839141585370115</c:v>
                </c:pt>
                <c:pt idx="701">
                  <c:v>71.820429621957658</c:v>
                </c:pt>
                <c:pt idx="702">
                  <c:v>71.801717658545215</c:v>
                </c:pt>
                <c:pt idx="703">
                  <c:v>71.783005695132772</c:v>
                </c:pt>
                <c:pt idx="704">
                  <c:v>71.764293731720329</c:v>
                </c:pt>
                <c:pt idx="705">
                  <c:v>71.745581768307872</c:v>
                </c:pt>
                <c:pt idx="706">
                  <c:v>71.726869804895429</c:v>
                </c:pt>
                <c:pt idx="707">
                  <c:v>71.708157841482986</c:v>
                </c:pt>
                <c:pt idx="708">
                  <c:v>71.689445878070529</c:v>
                </c:pt>
                <c:pt idx="709">
                  <c:v>71.670733914658086</c:v>
                </c:pt>
                <c:pt idx="710">
                  <c:v>71.652021951245644</c:v>
                </c:pt>
                <c:pt idx="711">
                  <c:v>71.633309987833201</c:v>
                </c:pt>
                <c:pt idx="712">
                  <c:v>71.614598024420744</c:v>
                </c:pt>
                <c:pt idx="713">
                  <c:v>71.595886061008301</c:v>
                </c:pt>
                <c:pt idx="714">
                  <c:v>71.577174097595858</c:v>
                </c:pt>
                <c:pt idx="715">
                  <c:v>71.558462134183415</c:v>
                </c:pt>
                <c:pt idx="716">
                  <c:v>71.539750170770958</c:v>
                </c:pt>
                <c:pt idx="717">
                  <c:v>71.521038207358515</c:v>
                </c:pt>
                <c:pt idx="718">
                  <c:v>71.502326243946072</c:v>
                </c:pt>
                <c:pt idx="719">
                  <c:v>71.483614280533629</c:v>
                </c:pt>
                <c:pt idx="720">
                  <c:v>71.464902317121172</c:v>
                </c:pt>
                <c:pt idx="721">
                  <c:v>71.44619035370873</c:v>
                </c:pt>
                <c:pt idx="722">
                  <c:v>71.427478390296287</c:v>
                </c:pt>
                <c:pt idx="723">
                  <c:v>71.40876642688383</c:v>
                </c:pt>
                <c:pt idx="724">
                  <c:v>71.390054463471387</c:v>
                </c:pt>
                <c:pt idx="725">
                  <c:v>71.371342500058944</c:v>
                </c:pt>
                <c:pt idx="726">
                  <c:v>71.352630536646501</c:v>
                </c:pt>
                <c:pt idx="727">
                  <c:v>71.333918573234044</c:v>
                </c:pt>
                <c:pt idx="728">
                  <c:v>71.315206609821601</c:v>
                </c:pt>
                <c:pt idx="729">
                  <c:v>71.296494646409158</c:v>
                </c:pt>
                <c:pt idx="730">
                  <c:v>71.277782682996701</c:v>
                </c:pt>
                <c:pt idx="731">
                  <c:v>71.259070719584258</c:v>
                </c:pt>
                <c:pt idx="732">
                  <c:v>71.240358756171815</c:v>
                </c:pt>
                <c:pt idx="733">
                  <c:v>71.221646792759373</c:v>
                </c:pt>
                <c:pt idx="734">
                  <c:v>71.20293482934693</c:v>
                </c:pt>
                <c:pt idx="735">
                  <c:v>71.184222865934473</c:v>
                </c:pt>
                <c:pt idx="736">
                  <c:v>71.16551090252203</c:v>
                </c:pt>
                <c:pt idx="737">
                  <c:v>71.146798939109587</c:v>
                </c:pt>
                <c:pt idx="738">
                  <c:v>71.12808697569713</c:v>
                </c:pt>
                <c:pt idx="739">
                  <c:v>71.109375012284687</c:v>
                </c:pt>
                <c:pt idx="740">
                  <c:v>71.090663048872244</c:v>
                </c:pt>
                <c:pt idx="741">
                  <c:v>71.071951085459801</c:v>
                </c:pt>
                <c:pt idx="742">
                  <c:v>71.053239122047344</c:v>
                </c:pt>
                <c:pt idx="743">
                  <c:v>71.034527158634901</c:v>
                </c:pt>
                <c:pt idx="744">
                  <c:v>71.015815195222459</c:v>
                </c:pt>
                <c:pt idx="745">
                  <c:v>70.997103231810001</c:v>
                </c:pt>
                <c:pt idx="746">
                  <c:v>70.978391268397559</c:v>
                </c:pt>
                <c:pt idx="747">
                  <c:v>70.959679304985116</c:v>
                </c:pt>
                <c:pt idx="748">
                  <c:v>70.940967341572673</c:v>
                </c:pt>
                <c:pt idx="749">
                  <c:v>70.922255378160216</c:v>
                </c:pt>
                <c:pt idx="750">
                  <c:v>70.903543414747773</c:v>
                </c:pt>
                <c:pt idx="751">
                  <c:v>70.88483145133533</c:v>
                </c:pt>
                <c:pt idx="752">
                  <c:v>70.866119487922887</c:v>
                </c:pt>
                <c:pt idx="753">
                  <c:v>70.84740752451043</c:v>
                </c:pt>
                <c:pt idx="754">
                  <c:v>70.828695561097987</c:v>
                </c:pt>
                <c:pt idx="755">
                  <c:v>70.809983597685545</c:v>
                </c:pt>
                <c:pt idx="756">
                  <c:v>70.791271634273102</c:v>
                </c:pt>
                <c:pt idx="757">
                  <c:v>70.772559670860645</c:v>
                </c:pt>
                <c:pt idx="758">
                  <c:v>70.753847707448202</c:v>
                </c:pt>
                <c:pt idx="759">
                  <c:v>70.735135744035759</c:v>
                </c:pt>
                <c:pt idx="760">
                  <c:v>70.716423780623302</c:v>
                </c:pt>
                <c:pt idx="761">
                  <c:v>70.697711817210859</c:v>
                </c:pt>
                <c:pt idx="762">
                  <c:v>70.678999853798416</c:v>
                </c:pt>
                <c:pt idx="763">
                  <c:v>70.660287890385973</c:v>
                </c:pt>
                <c:pt idx="764">
                  <c:v>70.641575926973516</c:v>
                </c:pt>
                <c:pt idx="765">
                  <c:v>70.622863963561073</c:v>
                </c:pt>
                <c:pt idx="766">
                  <c:v>70.60415200014863</c:v>
                </c:pt>
                <c:pt idx="767">
                  <c:v>70.585440036736173</c:v>
                </c:pt>
                <c:pt idx="768">
                  <c:v>70.566728073323731</c:v>
                </c:pt>
                <c:pt idx="769">
                  <c:v>70.548016109911288</c:v>
                </c:pt>
                <c:pt idx="770">
                  <c:v>70.529304146498845</c:v>
                </c:pt>
                <c:pt idx="771">
                  <c:v>70.510592183086388</c:v>
                </c:pt>
                <c:pt idx="772">
                  <c:v>70.491880219673945</c:v>
                </c:pt>
                <c:pt idx="773">
                  <c:v>70.473168256261502</c:v>
                </c:pt>
                <c:pt idx="774">
                  <c:v>70.454456292849059</c:v>
                </c:pt>
                <c:pt idx="775">
                  <c:v>70.435744329436602</c:v>
                </c:pt>
                <c:pt idx="776">
                  <c:v>70.417032366024159</c:v>
                </c:pt>
                <c:pt idx="777">
                  <c:v>70.398320402611716</c:v>
                </c:pt>
                <c:pt idx="778">
                  <c:v>70.379608439199274</c:v>
                </c:pt>
                <c:pt idx="779">
                  <c:v>70.360896475786816</c:v>
                </c:pt>
                <c:pt idx="780">
                  <c:v>70.342184512374374</c:v>
                </c:pt>
                <c:pt idx="781">
                  <c:v>70.323472548961931</c:v>
                </c:pt>
                <c:pt idx="782">
                  <c:v>70.304760585549474</c:v>
                </c:pt>
                <c:pt idx="783">
                  <c:v>70.286048622137031</c:v>
                </c:pt>
                <c:pt idx="784">
                  <c:v>70.267336658724588</c:v>
                </c:pt>
                <c:pt idx="785">
                  <c:v>70.248624695312145</c:v>
                </c:pt>
                <c:pt idx="786">
                  <c:v>70.229912731899688</c:v>
                </c:pt>
                <c:pt idx="787">
                  <c:v>70.211200768487245</c:v>
                </c:pt>
                <c:pt idx="788">
                  <c:v>70.192488805074802</c:v>
                </c:pt>
                <c:pt idx="789">
                  <c:v>70.173776841662345</c:v>
                </c:pt>
                <c:pt idx="790">
                  <c:v>70.155064878249902</c:v>
                </c:pt>
                <c:pt idx="791">
                  <c:v>70.13635291483746</c:v>
                </c:pt>
                <c:pt idx="792">
                  <c:v>70.117640951425017</c:v>
                </c:pt>
                <c:pt idx="793">
                  <c:v>70.098928988012574</c:v>
                </c:pt>
                <c:pt idx="794">
                  <c:v>70.080217024600117</c:v>
                </c:pt>
                <c:pt idx="795">
                  <c:v>70.061505061187674</c:v>
                </c:pt>
                <c:pt idx="796">
                  <c:v>70.042793097775231</c:v>
                </c:pt>
                <c:pt idx="797">
                  <c:v>70.024081134362774</c:v>
                </c:pt>
                <c:pt idx="798">
                  <c:v>70.005369170950331</c:v>
                </c:pt>
                <c:pt idx="799">
                  <c:v>69.986657207537888</c:v>
                </c:pt>
                <c:pt idx="800">
                  <c:v>69.967945244125445</c:v>
                </c:pt>
                <c:pt idx="801">
                  <c:v>69.949233280712988</c:v>
                </c:pt>
                <c:pt idx="802">
                  <c:v>69.930521317300546</c:v>
                </c:pt>
                <c:pt idx="803">
                  <c:v>69.911809353888103</c:v>
                </c:pt>
                <c:pt idx="804">
                  <c:v>69.893097390475646</c:v>
                </c:pt>
                <c:pt idx="805">
                  <c:v>69.874385427063203</c:v>
                </c:pt>
                <c:pt idx="806">
                  <c:v>69.85567346365076</c:v>
                </c:pt>
                <c:pt idx="807">
                  <c:v>69.836961500238317</c:v>
                </c:pt>
                <c:pt idx="808">
                  <c:v>69.81824953682586</c:v>
                </c:pt>
                <c:pt idx="809">
                  <c:v>69.799537573413417</c:v>
                </c:pt>
                <c:pt idx="810">
                  <c:v>69.780825610000974</c:v>
                </c:pt>
                <c:pt idx="811">
                  <c:v>69.762113646588517</c:v>
                </c:pt>
                <c:pt idx="812">
                  <c:v>69.743401683176074</c:v>
                </c:pt>
                <c:pt idx="813">
                  <c:v>69.724689719763632</c:v>
                </c:pt>
                <c:pt idx="814">
                  <c:v>69.705977756351189</c:v>
                </c:pt>
                <c:pt idx="815">
                  <c:v>69.687265792938746</c:v>
                </c:pt>
                <c:pt idx="816">
                  <c:v>69.668553829526289</c:v>
                </c:pt>
                <c:pt idx="817">
                  <c:v>69.649841866113846</c:v>
                </c:pt>
                <c:pt idx="818">
                  <c:v>69.631129902701403</c:v>
                </c:pt>
                <c:pt idx="819">
                  <c:v>69.612417939288946</c:v>
                </c:pt>
                <c:pt idx="820">
                  <c:v>69.593705975876503</c:v>
                </c:pt>
                <c:pt idx="821">
                  <c:v>69.57499401246406</c:v>
                </c:pt>
                <c:pt idx="822">
                  <c:v>69.556282049051617</c:v>
                </c:pt>
                <c:pt idx="823">
                  <c:v>69.53757008563916</c:v>
                </c:pt>
                <c:pt idx="824">
                  <c:v>69.518858122226717</c:v>
                </c:pt>
                <c:pt idx="825">
                  <c:v>69.500146158814275</c:v>
                </c:pt>
                <c:pt idx="826">
                  <c:v>69.481434195401818</c:v>
                </c:pt>
                <c:pt idx="827">
                  <c:v>69.462722231989375</c:v>
                </c:pt>
                <c:pt idx="828">
                  <c:v>69.444010268576932</c:v>
                </c:pt>
                <c:pt idx="829">
                  <c:v>69.425298305164489</c:v>
                </c:pt>
                <c:pt idx="830">
                  <c:v>69.406586341752032</c:v>
                </c:pt>
                <c:pt idx="831">
                  <c:v>69.387874378339589</c:v>
                </c:pt>
                <c:pt idx="832">
                  <c:v>69.369162414927146</c:v>
                </c:pt>
                <c:pt idx="833">
                  <c:v>69.350450451514703</c:v>
                </c:pt>
                <c:pt idx="834">
                  <c:v>69.331738488102246</c:v>
                </c:pt>
                <c:pt idx="835">
                  <c:v>69.313026524689803</c:v>
                </c:pt>
                <c:pt idx="836">
                  <c:v>69.294314561277361</c:v>
                </c:pt>
                <c:pt idx="837">
                  <c:v>69.275602597864918</c:v>
                </c:pt>
                <c:pt idx="838">
                  <c:v>69.256890634452461</c:v>
                </c:pt>
                <c:pt idx="839">
                  <c:v>69.238178671040018</c:v>
                </c:pt>
                <c:pt idx="840">
                  <c:v>69.219466707627575</c:v>
                </c:pt>
                <c:pt idx="841">
                  <c:v>69.200754744215118</c:v>
                </c:pt>
                <c:pt idx="842">
                  <c:v>69.182042780802675</c:v>
                </c:pt>
                <c:pt idx="843">
                  <c:v>69.163330817390232</c:v>
                </c:pt>
                <c:pt idx="844">
                  <c:v>69.144618853977789</c:v>
                </c:pt>
                <c:pt idx="845">
                  <c:v>69.125906890565332</c:v>
                </c:pt>
                <c:pt idx="846">
                  <c:v>69.107194927152889</c:v>
                </c:pt>
                <c:pt idx="847">
                  <c:v>69.088482963740447</c:v>
                </c:pt>
                <c:pt idx="848">
                  <c:v>69.069771000327989</c:v>
                </c:pt>
                <c:pt idx="849">
                  <c:v>69.051059036915547</c:v>
                </c:pt>
                <c:pt idx="850">
                  <c:v>69.032347073503104</c:v>
                </c:pt>
                <c:pt idx="851">
                  <c:v>69.013635110090661</c:v>
                </c:pt>
                <c:pt idx="852">
                  <c:v>68.994923146678204</c:v>
                </c:pt>
                <c:pt idx="853">
                  <c:v>68.976211183265761</c:v>
                </c:pt>
                <c:pt idx="854">
                  <c:v>68.957499219853318</c:v>
                </c:pt>
                <c:pt idx="855">
                  <c:v>68.938787256440861</c:v>
                </c:pt>
                <c:pt idx="856">
                  <c:v>68.920075293028418</c:v>
                </c:pt>
                <c:pt idx="857">
                  <c:v>68.901363329615975</c:v>
                </c:pt>
                <c:pt idx="858">
                  <c:v>68.882651366203532</c:v>
                </c:pt>
                <c:pt idx="859">
                  <c:v>68.86393940279109</c:v>
                </c:pt>
                <c:pt idx="860">
                  <c:v>68.845227439378633</c:v>
                </c:pt>
                <c:pt idx="861">
                  <c:v>68.82651547596619</c:v>
                </c:pt>
                <c:pt idx="862">
                  <c:v>68.807803512553747</c:v>
                </c:pt>
                <c:pt idx="863">
                  <c:v>68.78909154914129</c:v>
                </c:pt>
                <c:pt idx="864">
                  <c:v>68.770379585728847</c:v>
                </c:pt>
                <c:pt idx="865">
                  <c:v>68.751667622316404</c:v>
                </c:pt>
                <c:pt idx="866">
                  <c:v>68.732955658903961</c:v>
                </c:pt>
                <c:pt idx="867">
                  <c:v>68.714243695491504</c:v>
                </c:pt>
                <c:pt idx="868">
                  <c:v>68.695531732079061</c:v>
                </c:pt>
                <c:pt idx="869">
                  <c:v>68.676819768666618</c:v>
                </c:pt>
                <c:pt idx="870">
                  <c:v>68.658107805254161</c:v>
                </c:pt>
                <c:pt idx="871">
                  <c:v>68.639395841841718</c:v>
                </c:pt>
                <c:pt idx="872">
                  <c:v>68.620683878429276</c:v>
                </c:pt>
                <c:pt idx="873">
                  <c:v>68.601971915016833</c:v>
                </c:pt>
                <c:pt idx="874">
                  <c:v>68.58325995160439</c:v>
                </c:pt>
                <c:pt idx="875">
                  <c:v>68.564547988191933</c:v>
                </c:pt>
                <c:pt idx="876">
                  <c:v>68.54583602477949</c:v>
                </c:pt>
                <c:pt idx="877">
                  <c:v>68.527124061367047</c:v>
                </c:pt>
                <c:pt idx="878">
                  <c:v>68.50841209795459</c:v>
                </c:pt>
                <c:pt idx="879">
                  <c:v>68.489700134542147</c:v>
                </c:pt>
                <c:pt idx="880">
                  <c:v>68.470988171129704</c:v>
                </c:pt>
                <c:pt idx="881">
                  <c:v>68.452276207717262</c:v>
                </c:pt>
                <c:pt idx="882">
                  <c:v>68.433564244304804</c:v>
                </c:pt>
                <c:pt idx="883">
                  <c:v>68.414852280892362</c:v>
                </c:pt>
                <c:pt idx="884">
                  <c:v>68.396140317479919</c:v>
                </c:pt>
                <c:pt idx="885">
                  <c:v>68.377428354067462</c:v>
                </c:pt>
                <c:pt idx="886">
                  <c:v>68.358716390655019</c:v>
                </c:pt>
                <c:pt idx="887">
                  <c:v>68.340004427242576</c:v>
                </c:pt>
                <c:pt idx="888">
                  <c:v>68.321292463830133</c:v>
                </c:pt>
                <c:pt idx="889">
                  <c:v>68.30258050041769</c:v>
                </c:pt>
                <c:pt idx="890">
                  <c:v>68.283868537005233</c:v>
                </c:pt>
                <c:pt idx="891">
                  <c:v>68.26515657359279</c:v>
                </c:pt>
                <c:pt idx="892">
                  <c:v>68.246444610180333</c:v>
                </c:pt>
                <c:pt idx="893">
                  <c:v>68.22773264676789</c:v>
                </c:pt>
                <c:pt idx="894">
                  <c:v>68.209020683355448</c:v>
                </c:pt>
                <c:pt idx="895">
                  <c:v>68.190308719943005</c:v>
                </c:pt>
                <c:pt idx="896">
                  <c:v>68.171596756530562</c:v>
                </c:pt>
                <c:pt idx="897">
                  <c:v>68.152884793118105</c:v>
                </c:pt>
                <c:pt idx="898">
                  <c:v>68.134172829705662</c:v>
                </c:pt>
                <c:pt idx="899">
                  <c:v>68.115460866293219</c:v>
                </c:pt>
                <c:pt idx="900">
                  <c:v>68.096748902880762</c:v>
                </c:pt>
                <c:pt idx="901">
                  <c:v>68.078036939468319</c:v>
                </c:pt>
                <c:pt idx="902">
                  <c:v>68.059324976055876</c:v>
                </c:pt>
                <c:pt idx="903">
                  <c:v>68.040613012643433</c:v>
                </c:pt>
                <c:pt idx="904">
                  <c:v>68.021901049230976</c:v>
                </c:pt>
                <c:pt idx="905">
                  <c:v>68.003189085818533</c:v>
                </c:pt>
                <c:pt idx="906">
                  <c:v>67.984477122406091</c:v>
                </c:pt>
                <c:pt idx="907">
                  <c:v>67.965765158993634</c:v>
                </c:pt>
                <c:pt idx="908">
                  <c:v>67.947053195581191</c:v>
                </c:pt>
                <c:pt idx="909">
                  <c:v>67.928341232168748</c:v>
                </c:pt>
                <c:pt idx="910">
                  <c:v>67.909629268756305</c:v>
                </c:pt>
                <c:pt idx="911">
                  <c:v>67.890917305343862</c:v>
                </c:pt>
                <c:pt idx="912">
                  <c:v>67.872205341931405</c:v>
                </c:pt>
                <c:pt idx="913">
                  <c:v>67.853493378518962</c:v>
                </c:pt>
                <c:pt idx="914">
                  <c:v>67.834781415106505</c:v>
                </c:pt>
                <c:pt idx="915">
                  <c:v>67.816069451694062</c:v>
                </c:pt>
                <c:pt idx="916">
                  <c:v>67.797357488281619</c:v>
                </c:pt>
                <c:pt idx="917">
                  <c:v>67.778645524869177</c:v>
                </c:pt>
                <c:pt idx="918">
                  <c:v>67.759933561456734</c:v>
                </c:pt>
                <c:pt idx="919">
                  <c:v>67.741221598044277</c:v>
                </c:pt>
                <c:pt idx="920">
                  <c:v>67.722509634631834</c:v>
                </c:pt>
                <c:pt idx="921">
                  <c:v>67.703797671219391</c:v>
                </c:pt>
                <c:pt idx="922">
                  <c:v>67.685085707806934</c:v>
                </c:pt>
                <c:pt idx="923">
                  <c:v>67.666373744394491</c:v>
                </c:pt>
                <c:pt idx="924">
                  <c:v>67.647661780982048</c:v>
                </c:pt>
                <c:pt idx="925">
                  <c:v>67.628949817569605</c:v>
                </c:pt>
                <c:pt idx="926">
                  <c:v>67.610237854157148</c:v>
                </c:pt>
                <c:pt idx="927">
                  <c:v>67.591525890744705</c:v>
                </c:pt>
                <c:pt idx="928">
                  <c:v>67.572813927332263</c:v>
                </c:pt>
                <c:pt idx="929">
                  <c:v>67.554101963919805</c:v>
                </c:pt>
                <c:pt idx="930">
                  <c:v>67.535390000507363</c:v>
                </c:pt>
                <c:pt idx="931">
                  <c:v>67.51667803709492</c:v>
                </c:pt>
                <c:pt idx="932">
                  <c:v>67.497966073682477</c:v>
                </c:pt>
                <c:pt idx="933">
                  <c:v>67.479254110270034</c:v>
                </c:pt>
                <c:pt idx="934">
                  <c:v>67.460542146857577</c:v>
                </c:pt>
                <c:pt idx="935">
                  <c:v>67.441830183445134</c:v>
                </c:pt>
                <c:pt idx="936">
                  <c:v>67.423118220032677</c:v>
                </c:pt>
                <c:pt idx="937">
                  <c:v>67.404406256620234</c:v>
                </c:pt>
                <c:pt idx="938">
                  <c:v>67.385694293207791</c:v>
                </c:pt>
                <c:pt idx="939">
                  <c:v>67.366982329795349</c:v>
                </c:pt>
                <c:pt idx="940">
                  <c:v>67.348270366382906</c:v>
                </c:pt>
                <c:pt idx="941">
                  <c:v>67.329558402970449</c:v>
                </c:pt>
                <c:pt idx="942">
                  <c:v>67.310846439558006</c:v>
                </c:pt>
                <c:pt idx="943">
                  <c:v>67.292134476145563</c:v>
                </c:pt>
                <c:pt idx="944">
                  <c:v>67.273422512733106</c:v>
                </c:pt>
                <c:pt idx="945">
                  <c:v>67.254710549320663</c:v>
                </c:pt>
                <c:pt idx="946">
                  <c:v>67.23599858590822</c:v>
                </c:pt>
                <c:pt idx="947">
                  <c:v>67.217286622495777</c:v>
                </c:pt>
                <c:pt idx="948">
                  <c:v>67.19857465908332</c:v>
                </c:pt>
                <c:pt idx="949">
                  <c:v>67.179862695670877</c:v>
                </c:pt>
                <c:pt idx="950">
                  <c:v>67.161150732258434</c:v>
                </c:pt>
                <c:pt idx="951">
                  <c:v>67.142438768845977</c:v>
                </c:pt>
                <c:pt idx="952">
                  <c:v>67.123726805433535</c:v>
                </c:pt>
                <c:pt idx="953">
                  <c:v>67.105014842021092</c:v>
                </c:pt>
                <c:pt idx="954">
                  <c:v>67.086302878608649</c:v>
                </c:pt>
                <c:pt idx="955">
                  <c:v>67.067590915196206</c:v>
                </c:pt>
                <c:pt idx="956">
                  <c:v>67.048878951783749</c:v>
                </c:pt>
                <c:pt idx="957">
                  <c:v>67.030166988371306</c:v>
                </c:pt>
                <c:pt idx="958">
                  <c:v>67.011455024958863</c:v>
                </c:pt>
                <c:pt idx="959">
                  <c:v>66.992743061546406</c:v>
                </c:pt>
                <c:pt idx="960">
                  <c:v>66.974031098133963</c:v>
                </c:pt>
                <c:pt idx="961">
                  <c:v>66.95531913472152</c:v>
                </c:pt>
                <c:pt idx="962">
                  <c:v>66.936607171309078</c:v>
                </c:pt>
                <c:pt idx="963">
                  <c:v>66.91789520789662</c:v>
                </c:pt>
                <c:pt idx="964">
                  <c:v>66.899183244484178</c:v>
                </c:pt>
                <c:pt idx="965">
                  <c:v>66.880471281071735</c:v>
                </c:pt>
                <c:pt idx="966">
                  <c:v>66.861759317659278</c:v>
                </c:pt>
                <c:pt idx="967">
                  <c:v>66.843047354246835</c:v>
                </c:pt>
                <c:pt idx="968">
                  <c:v>66.824335390834392</c:v>
                </c:pt>
                <c:pt idx="969">
                  <c:v>66.805623427421949</c:v>
                </c:pt>
                <c:pt idx="970">
                  <c:v>66.786911464009506</c:v>
                </c:pt>
                <c:pt idx="971">
                  <c:v>66.768199500597049</c:v>
                </c:pt>
                <c:pt idx="972">
                  <c:v>66.749487537184606</c:v>
                </c:pt>
                <c:pt idx="973">
                  <c:v>66.730775573772149</c:v>
                </c:pt>
                <c:pt idx="974">
                  <c:v>66.712063610359706</c:v>
                </c:pt>
                <c:pt idx="975">
                  <c:v>66.693351646947264</c:v>
                </c:pt>
                <c:pt idx="976">
                  <c:v>66.674639683534821</c:v>
                </c:pt>
                <c:pt idx="977">
                  <c:v>66.655927720122378</c:v>
                </c:pt>
                <c:pt idx="978">
                  <c:v>66.637215756709921</c:v>
                </c:pt>
                <c:pt idx="979">
                  <c:v>66.618503793297478</c:v>
                </c:pt>
                <c:pt idx="980">
                  <c:v>66.599791829885035</c:v>
                </c:pt>
                <c:pt idx="981">
                  <c:v>66.581079866472592</c:v>
                </c:pt>
                <c:pt idx="982">
                  <c:v>66.562367903060135</c:v>
                </c:pt>
                <c:pt idx="983">
                  <c:v>66.543655939647692</c:v>
                </c:pt>
                <c:pt idx="984">
                  <c:v>66.524943976235249</c:v>
                </c:pt>
                <c:pt idx="985">
                  <c:v>66.506232012822792</c:v>
                </c:pt>
                <c:pt idx="986">
                  <c:v>66.48752004941035</c:v>
                </c:pt>
                <c:pt idx="987">
                  <c:v>66.468808085997907</c:v>
                </c:pt>
                <c:pt idx="988">
                  <c:v>66.450096122585464</c:v>
                </c:pt>
                <c:pt idx="989">
                  <c:v>66.431384159173007</c:v>
                </c:pt>
                <c:pt idx="990">
                  <c:v>66.412672195760564</c:v>
                </c:pt>
                <c:pt idx="991">
                  <c:v>66.393960232348121</c:v>
                </c:pt>
                <c:pt idx="992">
                  <c:v>66.375248268935678</c:v>
                </c:pt>
                <c:pt idx="993">
                  <c:v>66.356536305523221</c:v>
                </c:pt>
                <c:pt idx="994">
                  <c:v>66.337824342110778</c:v>
                </c:pt>
                <c:pt idx="995">
                  <c:v>66.319112378698335</c:v>
                </c:pt>
                <c:pt idx="996">
                  <c:v>66.300400415285878</c:v>
                </c:pt>
                <c:pt idx="997">
                  <c:v>66.281688451873435</c:v>
                </c:pt>
                <c:pt idx="998">
                  <c:v>66.262976488460993</c:v>
                </c:pt>
                <c:pt idx="999">
                  <c:v>66.24426452504855</c:v>
                </c:pt>
                <c:pt idx="1000">
                  <c:v>66.225552561636093</c:v>
                </c:pt>
                <c:pt idx="1001">
                  <c:v>66.20684059822365</c:v>
                </c:pt>
                <c:pt idx="1002">
                  <c:v>66.188128634811207</c:v>
                </c:pt>
                <c:pt idx="1003">
                  <c:v>66.169416671398764</c:v>
                </c:pt>
                <c:pt idx="1004">
                  <c:v>66.150704707986307</c:v>
                </c:pt>
                <c:pt idx="1005">
                  <c:v>66.131992744573864</c:v>
                </c:pt>
                <c:pt idx="1006">
                  <c:v>66.113280781161421</c:v>
                </c:pt>
                <c:pt idx="1007">
                  <c:v>66.094568817748964</c:v>
                </c:pt>
                <c:pt idx="1008">
                  <c:v>66.075856854336521</c:v>
                </c:pt>
                <c:pt idx="1009">
                  <c:v>66.057144890924079</c:v>
                </c:pt>
                <c:pt idx="1010">
                  <c:v>66.038432927511636</c:v>
                </c:pt>
                <c:pt idx="1011">
                  <c:v>66.019720964099179</c:v>
                </c:pt>
                <c:pt idx="1012">
                  <c:v>66.001009000686736</c:v>
                </c:pt>
                <c:pt idx="1013">
                  <c:v>65.982297037274293</c:v>
                </c:pt>
                <c:pt idx="1014">
                  <c:v>65.96358507386185</c:v>
                </c:pt>
                <c:pt idx="1015">
                  <c:v>65.944873110449393</c:v>
                </c:pt>
                <c:pt idx="1016">
                  <c:v>65.92616114703695</c:v>
                </c:pt>
                <c:pt idx="1017">
                  <c:v>65.907449183624507</c:v>
                </c:pt>
                <c:pt idx="1018">
                  <c:v>65.88873722021205</c:v>
                </c:pt>
                <c:pt idx="1019">
                  <c:v>65.870025256799607</c:v>
                </c:pt>
                <c:pt idx="1020">
                  <c:v>65.851313293387165</c:v>
                </c:pt>
                <c:pt idx="1021">
                  <c:v>65.832601329974722</c:v>
                </c:pt>
                <c:pt idx="1022">
                  <c:v>65.813889366562265</c:v>
                </c:pt>
                <c:pt idx="1023">
                  <c:v>65.795177403149822</c:v>
                </c:pt>
                <c:pt idx="1024">
                  <c:v>65.776465439737379</c:v>
                </c:pt>
                <c:pt idx="1025">
                  <c:v>65.757753476324936</c:v>
                </c:pt>
                <c:pt idx="1026">
                  <c:v>65.739041512912479</c:v>
                </c:pt>
                <c:pt idx="1027">
                  <c:v>65.720329549500036</c:v>
                </c:pt>
                <c:pt idx="1028">
                  <c:v>65.701617586087593</c:v>
                </c:pt>
                <c:pt idx="1029">
                  <c:v>65.682905622675136</c:v>
                </c:pt>
                <c:pt idx="1030">
                  <c:v>65.664193659262693</c:v>
                </c:pt>
                <c:pt idx="1031">
                  <c:v>65.645481695850251</c:v>
                </c:pt>
                <c:pt idx="1032">
                  <c:v>65.626769732437808</c:v>
                </c:pt>
                <c:pt idx="1033">
                  <c:v>65.608057769025351</c:v>
                </c:pt>
                <c:pt idx="1034">
                  <c:v>65.589345805612908</c:v>
                </c:pt>
                <c:pt idx="1035">
                  <c:v>65.570633842200465</c:v>
                </c:pt>
                <c:pt idx="1036">
                  <c:v>65.551921878788022</c:v>
                </c:pt>
                <c:pt idx="1037">
                  <c:v>65.533209915375565</c:v>
                </c:pt>
                <c:pt idx="1038">
                  <c:v>65.514497951963122</c:v>
                </c:pt>
                <c:pt idx="1039">
                  <c:v>65.495785988550679</c:v>
                </c:pt>
                <c:pt idx="1040">
                  <c:v>65.477074025138236</c:v>
                </c:pt>
                <c:pt idx="1041">
                  <c:v>65.458362061725779</c:v>
                </c:pt>
                <c:pt idx="1042">
                  <c:v>65.439650098313336</c:v>
                </c:pt>
                <c:pt idx="1043">
                  <c:v>65.420938134900894</c:v>
                </c:pt>
                <c:pt idx="1044">
                  <c:v>65.402226171488437</c:v>
                </c:pt>
                <c:pt idx="1045">
                  <c:v>65.383514208075994</c:v>
                </c:pt>
                <c:pt idx="1046">
                  <c:v>65.364802244663551</c:v>
                </c:pt>
                <c:pt idx="1047">
                  <c:v>65.346090281251108</c:v>
                </c:pt>
                <c:pt idx="1048">
                  <c:v>65.327378317838651</c:v>
                </c:pt>
                <c:pt idx="1049">
                  <c:v>65.308666354426208</c:v>
                </c:pt>
                <c:pt idx="1050">
                  <c:v>65.289954391013765</c:v>
                </c:pt>
                <c:pt idx="1051">
                  <c:v>65.271242427601322</c:v>
                </c:pt>
                <c:pt idx="1052">
                  <c:v>65.252530464188865</c:v>
                </c:pt>
                <c:pt idx="1053">
                  <c:v>65.233818500776422</c:v>
                </c:pt>
                <c:pt idx="1054">
                  <c:v>65.21510653736398</c:v>
                </c:pt>
                <c:pt idx="1055">
                  <c:v>65.196394573951522</c:v>
                </c:pt>
                <c:pt idx="1056">
                  <c:v>65.17768261053908</c:v>
                </c:pt>
                <c:pt idx="1057">
                  <c:v>65.158970647126637</c:v>
                </c:pt>
                <c:pt idx="1058">
                  <c:v>65.140258683714194</c:v>
                </c:pt>
                <c:pt idx="1059">
                  <c:v>65.121546720301737</c:v>
                </c:pt>
                <c:pt idx="1060">
                  <c:v>65.102834756889294</c:v>
                </c:pt>
                <c:pt idx="1061">
                  <c:v>65.084122793476851</c:v>
                </c:pt>
                <c:pt idx="1062">
                  <c:v>65.065410830064408</c:v>
                </c:pt>
                <c:pt idx="1063">
                  <c:v>65.046698866651951</c:v>
                </c:pt>
                <c:pt idx="1064">
                  <c:v>65.027986903239508</c:v>
                </c:pt>
                <c:pt idx="1065">
                  <c:v>65.009274939827066</c:v>
                </c:pt>
                <c:pt idx="1066">
                  <c:v>64.990562976414608</c:v>
                </c:pt>
                <c:pt idx="1067">
                  <c:v>64.971851013002166</c:v>
                </c:pt>
                <c:pt idx="1068">
                  <c:v>64.953139049589723</c:v>
                </c:pt>
                <c:pt idx="1069">
                  <c:v>64.93442708617728</c:v>
                </c:pt>
                <c:pt idx="1070">
                  <c:v>64.915715122764823</c:v>
                </c:pt>
                <c:pt idx="1071">
                  <c:v>64.89700315935238</c:v>
                </c:pt>
                <c:pt idx="1072">
                  <c:v>64.878291195939937</c:v>
                </c:pt>
                <c:pt idx="1073">
                  <c:v>64.859579232527494</c:v>
                </c:pt>
                <c:pt idx="1074">
                  <c:v>64.840867269115037</c:v>
                </c:pt>
                <c:pt idx="1075">
                  <c:v>64.822155305702594</c:v>
                </c:pt>
                <c:pt idx="1076">
                  <c:v>64.803443342290151</c:v>
                </c:pt>
                <c:pt idx="1077">
                  <c:v>64.784731378877694</c:v>
                </c:pt>
                <c:pt idx="1078">
                  <c:v>64.766019415465252</c:v>
                </c:pt>
                <c:pt idx="1079">
                  <c:v>64.747307452052809</c:v>
                </c:pt>
                <c:pt idx="1080">
                  <c:v>64.728595488640366</c:v>
                </c:pt>
                <c:pt idx="1081">
                  <c:v>64.709883525227909</c:v>
                </c:pt>
                <c:pt idx="1082">
                  <c:v>64.691171561815466</c:v>
                </c:pt>
                <c:pt idx="1083">
                  <c:v>64.672459598403023</c:v>
                </c:pt>
                <c:pt idx="1084">
                  <c:v>64.65374763499058</c:v>
                </c:pt>
                <c:pt idx="1085">
                  <c:v>64.635035671578123</c:v>
                </c:pt>
                <c:pt idx="1086">
                  <c:v>64.61632370816568</c:v>
                </c:pt>
                <c:pt idx="1087">
                  <c:v>64.597611744753237</c:v>
                </c:pt>
                <c:pt idx="1088">
                  <c:v>64.57889978134078</c:v>
                </c:pt>
                <c:pt idx="1089">
                  <c:v>64.560187817928337</c:v>
                </c:pt>
                <c:pt idx="1090">
                  <c:v>64.541475854515895</c:v>
                </c:pt>
                <c:pt idx="1091">
                  <c:v>64.522763891103452</c:v>
                </c:pt>
                <c:pt idx="1092">
                  <c:v>64.504051927690995</c:v>
                </c:pt>
                <c:pt idx="1093">
                  <c:v>64.485339964278552</c:v>
                </c:pt>
                <c:pt idx="1094">
                  <c:v>64.466628000866109</c:v>
                </c:pt>
                <c:pt idx="1095">
                  <c:v>64.447916037453666</c:v>
                </c:pt>
                <c:pt idx="1096">
                  <c:v>64.429204074041209</c:v>
                </c:pt>
                <c:pt idx="1097">
                  <c:v>64.410492110628766</c:v>
                </c:pt>
                <c:pt idx="1098">
                  <c:v>64.391780147216323</c:v>
                </c:pt>
                <c:pt idx="1099">
                  <c:v>64.373068183803866</c:v>
                </c:pt>
                <c:pt idx="1100">
                  <c:v>64.354356220391423</c:v>
                </c:pt>
                <c:pt idx="1101">
                  <c:v>64.335644256978981</c:v>
                </c:pt>
                <c:pt idx="1102">
                  <c:v>64.316932293566538</c:v>
                </c:pt>
                <c:pt idx="1103">
                  <c:v>64.298220330154081</c:v>
                </c:pt>
                <c:pt idx="1104">
                  <c:v>64.279508366741638</c:v>
                </c:pt>
                <c:pt idx="1105">
                  <c:v>64.260796403329195</c:v>
                </c:pt>
                <c:pt idx="1106">
                  <c:v>64.242084439916752</c:v>
                </c:pt>
                <c:pt idx="1107">
                  <c:v>64.223372476504295</c:v>
                </c:pt>
                <c:pt idx="1108">
                  <c:v>64.204660513091852</c:v>
                </c:pt>
                <c:pt idx="1109">
                  <c:v>64.185948549679409</c:v>
                </c:pt>
                <c:pt idx="1110">
                  <c:v>64.167236586266966</c:v>
                </c:pt>
                <c:pt idx="1111">
                  <c:v>64.148524622854509</c:v>
                </c:pt>
                <c:pt idx="1112">
                  <c:v>64.129812659442067</c:v>
                </c:pt>
                <c:pt idx="1113">
                  <c:v>64.111100696029624</c:v>
                </c:pt>
                <c:pt idx="1114">
                  <c:v>64.092388732617167</c:v>
                </c:pt>
                <c:pt idx="1115">
                  <c:v>64.073676769204724</c:v>
                </c:pt>
                <c:pt idx="1116">
                  <c:v>64.054964805792281</c:v>
                </c:pt>
                <c:pt idx="1117">
                  <c:v>64.036252842379838</c:v>
                </c:pt>
                <c:pt idx="1118">
                  <c:v>64.017540878967381</c:v>
                </c:pt>
                <c:pt idx="1119">
                  <c:v>63.998828915554938</c:v>
                </c:pt>
                <c:pt idx="1120">
                  <c:v>63.980116952142495</c:v>
                </c:pt>
                <c:pt idx="1121">
                  <c:v>63.961404988730045</c:v>
                </c:pt>
                <c:pt idx="1122">
                  <c:v>63.942693025317595</c:v>
                </c:pt>
                <c:pt idx="1123">
                  <c:v>63.923981061905153</c:v>
                </c:pt>
                <c:pt idx="1124">
                  <c:v>63.905269098492703</c:v>
                </c:pt>
                <c:pt idx="1125">
                  <c:v>63.886557135080253</c:v>
                </c:pt>
                <c:pt idx="1126">
                  <c:v>63.86784517166781</c:v>
                </c:pt>
                <c:pt idx="1127">
                  <c:v>63.849133208255367</c:v>
                </c:pt>
                <c:pt idx="1128">
                  <c:v>63.830421244842917</c:v>
                </c:pt>
                <c:pt idx="1129">
                  <c:v>63.811709281430467</c:v>
                </c:pt>
                <c:pt idx="1130">
                  <c:v>63.792997318018024</c:v>
                </c:pt>
                <c:pt idx="1131">
                  <c:v>63.774285354605581</c:v>
                </c:pt>
                <c:pt idx="1132">
                  <c:v>63.755573391193131</c:v>
                </c:pt>
                <c:pt idx="1133">
                  <c:v>63.736861427780681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CE-4EBD-AD2A-234A8DD26543}"/>
            </c:ext>
          </c:extLst>
        </c:ser>
        <c:ser>
          <c:idx val="3"/>
          <c:order val="3"/>
          <c:tx>
            <c:v>Banda -1.5σ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Análise_À_Vista!$AB$3:$AB$1136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Análise_À_Vista!$AG$3:$AG$1136</c:f>
              <c:numCache>
                <c:formatCode>#,##0.00</c:formatCode>
                <c:ptCount val="1134"/>
                <c:pt idx="0">
                  <c:v>79.634196773277424</c:v>
                </c:pt>
                <c:pt idx="1">
                  <c:v>79.615484809864967</c:v>
                </c:pt>
                <c:pt idx="2">
                  <c:v>79.596772846452524</c:v>
                </c:pt>
                <c:pt idx="3">
                  <c:v>79.578060883040081</c:v>
                </c:pt>
                <c:pt idx="4">
                  <c:v>79.559348919627638</c:v>
                </c:pt>
                <c:pt idx="5">
                  <c:v>79.540636956215181</c:v>
                </c:pt>
                <c:pt idx="6">
                  <c:v>79.521924992802738</c:v>
                </c:pt>
                <c:pt idx="7">
                  <c:v>79.503213029390295</c:v>
                </c:pt>
                <c:pt idx="8">
                  <c:v>79.484501065977852</c:v>
                </c:pt>
                <c:pt idx="9" formatCode="0.00">
                  <c:v>79.465789102565395</c:v>
                </c:pt>
                <c:pt idx="10" formatCode="0.00">
                  <c:v>79.447077139152952</c:v>
                </c:pt>
                <c:pt idx="11" formatCode="0.00">
                  <c:v>79.42836517574051</c:v>
                </c:pt>
                <c:pt idx="12" formatCode="0.00">
                  <c:v>79.409653212328053</c:v>
                </c:pt>
                <c:pt idx="13" formatCode="0.00">
                  <c:v>79.39094124891561</c:v>
                </c:pt>
                <c:pt idx="14" formatCode="0.00">
                  <c:v>79.372229285503167</c:v>
                </c:pt>
                <c:pt idx="15" formatCode="0.00">
                  <c:v>79.353517322090724</c:v>
                </c:pt>
                <c:pt idx="16">
                  <c:v>79.334805358678267</c:v>
                </c:pt>
                <c:pt idx="17">
                  <c:v>79.316093395265824</c:v>
                </c:pt>
                <c:pt idx="18">
                  <c:v>79.297381431853381</c:v>
                </c:pt>
                <c:pt idx="19">
                  <c:v>79.278669468440938</c:v>
                </c:pt>
                <c:pt idx="20">
                  <c:v>79.259957505028481</c:v>
                </c:pt>
                <c:pt idx="21">
                  <c:v>79.241245541616038</c:v>
                </c:pt>
                <c:pt idx="22">
                  <c:v>79.222533578203596</c:v>
                </c:pt>
                <c:pt idx="23">
                  <c:v>79.203821614791138</c:v>
                </c:pt>
                <c:pt idx="24">
                  <c:v>79.185109651378696</c:v>
                </c:pt>
                <c:pt idx="25">
                  <c:v>79.166397687966253</c:v>
                </c:pt>
                <c:pt idx="26">
                  <c:v>79.14768572455381</c:v>
                </c:pt>
                <c:pt idx="27">
                  <c:v>79.128973761141353</c:v>
                </c:pt>
                <c:pt idx="28">
                  <c:v>79.11026179772891</c:v>
                </c:pt>
                <c:pt idx="29">
                  <c:v>79.091549834316467</c:v>
                </c:pt>
                <c:pt idx="30">
                  <c:v>79.072837870904024</c:v>
                </c:pt>
                <c:pt idx="31">
                  <c:v>79.054125907491567</c:v>
                </c:pt>
                <c:pt idx="32">
                  <c:v>79.035413944079124</c:v>
                </c:pt>
                <c:pt idx="33">
                  <c:v>79.016701980666681</c:v>
                </c:pt>
                <c:pt idx="34">
                  <c:v>78.997990017254239</c:v>
                </c:pt>
                <c:pt idx="35">
                  <c:v>78.979278053841782</c:v>
                </c:pt>
                <c:pt idx="36">
                  <c:v>78.960566090429339</c:v>
                </c:pt>
                <c:pt idx="37">
                  <c:v>78.941854127016896</c:v>
                </c:pt>
                <c:pt idx="38">
                  <c:v>78.923142163604439</c:v>
                </c:pt>
                <c:pt idx="39">
                  <c:v>78.904430200191996</c:v>
                </c:pt>
                <c:pt idx="40">
                  <c:v>78.885718236779553</c:v>
                </c:pt>
                <c:pt idx="41">
                  <c:v>78.86700627336711</c:v>
                </c:pt>
                <c:pt idx="42">
                  <c:v>78.848294309954653</c:v>
                </c:pt>
                <c:pt idx="43">
                  <c:v>78.82958234654221</c:v>
                </c:pt>
                <c:pt idx="44">
                  <c:v>78.810870383129767</c:v>
                </c:pt>
                <c:pt idx="45">
                  <c:v>78.792158419717325</c:v>
                </c:pt>
                <c:pt idx="46">
                  <c:v>78.773446456304868</c:v>
                </c:pt>
                <c:pt idx="47">
                  <c:v>78.754734492892425</c:v>
                </c:pt>
                <c:pt idx="48">
                  <c:v>78.736022529479982</c:v>
                </c:pt>
                <c:pt idx="49">
                  <c:v>78.717310566067525</c:v>
                </c:pt>
                <c:pt idx="50">
                  <c:v>78.698598602655082</c:v>
                </c:pt>
                <c:pt idx="51">
                  <c:v>78.679886639242639</c:v>
                </c:pt>
                <c:pt idx="52">
                  <c:v>78.661174675830196</c:v>
                </c:pt>
                <c:pt idx="53">
                  <c:v>78.642462712417739</c:v>
                </c:pt>
                <c:pt idx="54">
                  <c:v>78.623750749005296</c:v>
                </c:pt>
                <c:pt idx="55">
                  <c:v>78.605038785592853</c:v>
                </c:pt>
                <c:pt idx="56">
                  <c:v>78.586326822180411</c:v>
                </c:pt>
                <c:pt idx="57">
                  <c:v>78.567614858767953</c:v>
                </c:pt>
                <c:pt idx="58">
                  <c:v>78.548902895355511</c:v>
                </c:pt>
                <c:pt idx="59">
                  <c:v>78.530190931943068</c:v>
                </c:pt>
                <c:pt idx="60">
                  <c:v>78.511478968530611</c:v>
                </c:pt>
                <c:pt idx="61">
                  <c:v>78.492767005118168</c:v>
                </c:pt>
                <c:pt idx="62">
                  <c:v>78.474055041705725</c:v>
                </c:pt>
                <c:pt idx="63">
                  <c:v>78.455343078293282</c:v>
                </c:pt>
                <c:pt idx="64">
                  <c:v>78.436631114880825</c:v>
                </c:pt>
                <c:pt idx="65">
                  <c:v>78.417919151468382</c:v>
                </c:pt>
                <c:pt idx="66">
                  <c:v>78.399207188055939</c:v>
                </c:pt>
                <c:pt idx="67">
                  <c:v>78.380495224643496</c:v>
                </c:pt>
                <c:pt idx="68">
                  <c:v>78.361783261231039</c:v>
                </c:pt>
                <c:pt idx="69">
                  <c:v>78.343071297818597</c:v>
                </c:pt>
                <c:pt idx="70">
                  <c:v>78.324359334406154</c:v>
                </c:pt>
                <c:pt idx="71">
                  <c:v>78.305647370993697</c:v>
                </c:pt>
                <c:pt idx="72">
                  <c:v>78.286935407581254</c:v>
                </c:pt>
                <c:pt idx="73">
                  <c:v>78.268223444168811</c:v>
                </c:pt>
                <c:pt idx="74">
                  <c:v>78.249511480756368</c:v>
                </c:pt>
                <c:pt idx="75">
                  <c:v>78.230799517343911</c:v>
                </c:pt>
                <c:pt idx="76">
                  <c:v>78.212087553931468</c:v>
                </c:pt>
                <c:pt idx="77">
                  <c:v>78.193375590519025</c:v>
                </c:pt>
                <c:pt idx="78">
                  <c:v>78.174663627106582</c:v>
                </c:pt>
                <c:pt idx="79">
                  <c:v>78.155951663694125</c:v>
                </c:pt>
                <c:pt idx="80">
                  <c:v>78.137239700281683</c:v>
                </c:pt>
                <c:pt idx="81">
                  <c:v>78.11852773686924</c:v>
                </c:pt>
                <c:pt idx="82">
                  <c:v>78.099815773456783</c:v>
                </c:pt>
                <c:pt idx="83">
                  <c:v>78.08110381004434</c:v>
                </c:pt>
                <c:pt idx="84">
                  <c:v>78.062391846631897</c:v>
                </c:pt>
                <c:pt idx="85">
                  <c:v>78.043679883219454</c:v>
                </c:pt>
                <c:pt idx="86">
                  <c:v>78.024967919806997</c:v>
                </c:pt>
                <c:pt idx="87">
                  <c:v>78.006255956394554</c:v>
                </c:pt>
                <c:pt idx="88">
                  <c:v>77.987543992982111</c:v>
                </c:pt>
                <c:pt idx="89">
                  <c:v>77.968832029569668</c:v>
                </c:pt>
                <c:pt idx="90">
                  <c:v>77.950120066157211</c:v>
                </c:pt>
                <c:pt idx="91">
                  <c:v>77.931408102744768</c:v>
                </c:pt>
                <c:pt idx="92">
                  <c:v>77.912696139332326</c:v>
                </c:pt>
                <c:pt idx="93">
                  <c:v>77.893984175919869</c:v>
                </c:pt>
                <c:pt idx="94">
                  <c:v>77.875272212507426</c:v>
                </c:pt>
                <c:pt idx="95">
                  <c:v>77.856560249094983</c:v>
                </c:pt>
                <c:pt idx="96">
                  <c:v>77.83784828568254</c:v>
                </c:pt>
                <c:pt idx="97">
                  <c:v>77.819136322270083</c:v>
                </c:pt>
                <c:pt idx="98">
                  <c:v>77.80042435885764</c:v>
                </c:pt>
                <c:pt idx="99">
                  <c:v>77.781712395445197</c:v>
                </c:pt>
                <c:pt idx="100">
                  <c:v>77.763000432032754</c:v>
                </c:pt>
                <c:pt idx="101">
                  <c:v>77.744288468620297</c:v>
                </c:pt>
                <c:pt idx="102">
                  <c:v>77.725576505207854</c:v>
                </c:pt>
                <c:pt idx="103">
                  <c:v>77.706864541795412</c:v>
                </c:pt>
                <c:pt idx="104">
                  <c:v>77.688152578382955</c:v>
                </c:pt>
                <c:pt idx="105">
                  <c:v>77.669440614970512</c:v>
                </c:pt>
                <c:pt idx="106">
                  <c:v>77.650728651558069</c:v>
                </c:pt>
                <c:pt idx="107">
                  <c:v>77.632016688145626</c:v>
                </c:pt>
                <c:pt idx="108">
                  <c:v>77.613304724733169</c:v>
                </c:pt>
                <c:pt idx="109">
                  <c:v>77.594592761320726</c:v>
                </c:pt>
                <c:pt idx="110">
                  <c:v>77.575880797908283</c:v>
                </c:pt>
                <c:pt idx="111">
                  <c:v>77.55716883449584</c:v>
                </c:pt>
                <c:pt idx="112">
                  <c:v>77.538456871083383</c:v>
                </c:pt>
                <c:pt idx="113">
                  <c:v>77.51974490767094</c:v>
                </c:pt>
                <c:pt idx="114">
                  <c:v>77.501032944258498</c:v>
                </c:pt>
                <c:pt idx="115">
                  <c:v>77.482320980846055</c:v>
                </c:pt>
                <c:pt idx="116">
                  <c:v>77.463609017433598</c:v>
                </c:pt>
                <c:pt idx="117">
                  <c:v>77.444897054021155</c:v>
                </c:pt>
                <c:pt idx="118">
                  <c:v>77.426185090608712</c:v>
                </c:pt>
                <c:pt idx="119">
                  <c:v>77.407473127196255</c:v>
                </c:pt>
                <c:pt idx="120">
                  <c:v>77.388761163783812</c:v>
                </c:pt>
                <c:pt idx="121">
                  <c:v>77.370049200371369</c:v>
                </c:pt>
                <c:pt idx="122">
                  <c:v>77.351337236958926</c:v>
                </c:pt>
                <c:pt idx="123">
                  <c:v>77.332625273546469</c:v>
                </c:pt>
                <c:pt idx="124">
                  <c:v>77.313913310134026</c:v>
                </c:pt>
                <c:pt idx="125">
                  <c:v>77.295201346721583</c:v>
                </c:pt>
                <c:pt idx="126">
                  <c:v>77.276489383309141</c:v>
                </c:pt>
                <c:pt idx="127">
                  <c:v>77.257777419896684</c:v>
                </c:pt>
                <c:pt idx="128">
                  <c:v>77.239065456484241</c:v>
                </c:pt>
                <c:pt idx="129">
                  <c:v>77.220353493071798</c:v>
                </c:pt>
                <c:pt idx="130">
                  <c:v>77.201641529659341</c:v>
                </c:pt>
                <c:pt idx="131">
                  <c:v>77.182929566246898</c:v>
                </c:pt>
                <c:pt idx="132">
                  <c:v>77.164217602834455</c:v>
                </c:pt>
                <c:pt idx="133">
                  <c:v>77.145505639422012</c:v>
                </c:pt>
                <c:pt idx="134">
                  <c:v>77.126793676009555</c:v>
                </c:pt>
                <c:pt idx="135">
                  <c:v>77.108081712597112</c:v>
                </c:pt>
                <c:pt idx="136">
                  <c:v>77.089369749184669</c:v>
                </c:pt>
                <c:pt idx="137">
                  <c:v>77.070657785772227</c:v>
                </c:pt>
                <c:pt idx="138">
                  <c:v>77.05194582235977</c:v>
                </c:pt>
                <c:pt idx="139">
                  <c:v>77.033233858947327</c:v>
                </c:pt>
                <c:pt idx="140">
                  <c:v>77.014521895534884</c:v>
                </c:pt>
                <c:pt idx="141">
                  <c:v>76.995809932122427</c:v>
                </c:pt>
                <c:pt idx="142">
                  <c:v>76.977097968709984</c:v>
                </c:pt>
                <c:pt idx="143">
                  <c:v>76.958386005297541</c:v>
                </c:pt>
                <c:pt idx="144">
                  <c:v>76.939674041885098</c:v>
                </c:pt>
                <c:pt idx="145">
                  <c:v>76.920962078472641</c:v>
                </c:pt>
                <c:pt idx="146">
                  <c:v>76.902250115060198</c:v>
                </c:pt>
                <c:pt idx="147">
                  <c:v>76.883538151647755</c:v>
                </c:pt>
                <c:pt idx="148">
                  <c:v>76.864826188235313</c:v>
                </c:pt>
                <c:pt idx="149">
                  <c:v>76.846114224822855</c:v>
                </c:pt>
                <c:pt idx="150">
                  <c:v>76.827402261410413</c:v>
                </c:pt>
                <c:pt idx="151">
                  <c:v>76.80869029799797</c:v>
                </c:pt>
                <c:pt idx="152">
                  <c:v>76.789978334585513</c:v>
                </c:pt>
                <c:pt idx="153">
                  <c:v>76.77126637117307</c:v>
                </c:pt>
                <c:pt idx="154">
                  <c:v>76.752554407760627</c:v>
                </c:pt>
                <c:pt idx="155">
                  <c:v>76.733842444348184</c:v>
                </c:pt>
                <c:pt idx="156">
                  <c:v>76.715130480935727</c:v>
                </c:pt>
                <c:pt idx="157">
                  <c:v>76.696418517523284</c:v>
                </c:pt>
                <c:pt idx="158">
                  <c:v>76.677706554110841</c:v>
                </c:pt>
                <c:pt idx="159">
                  <c:v>76.658994590698398</c:v>
                </c:pt>
                <c:pt idx="160">
                  <c:v>76.640282627285941</c:v>
                </c:pt>
                <c:pt idx="161">
                  <c:v>76.621570663873499</c:v>
                </c:pt>
                <c:pt idx="162">
                  <c:v>76.602858700461056</c:v>
                </c:pt>
                <c:pt idx="163">
                  <c:v>76.584146737048599</c:v>
                </c:pt>
                <c:pt idx="164">
                  <c:v>76.565434773636156</c:v>
                </c:pt>
                <c:pt idx="165">
                  <c:v>76.546722810223713</c:v>
                </c:pt>
                <c:pt idx="166">
                  <c:v>76.52801084681127</c:v>
                </c:pt>
                <c:pt idx="167">
                  <c:v>76.509298883398813</c:v>
                </c:pt>
                <c:pt idx="168">
                  <c:v>76.49058691998637</c:v>
                </c:pt>
                <c:pt idx="169">
                  <c:v>76.471874956573927</c:v>
                </c:pt>
                <c:pt idx="170">
                  <c:v>76.453162993161484</c:v>
                </c:pt>
                <c:pt idx="171">
                  <c:v>76.434451029749027</c:v>
                </c:pt>
                <c:pt idx="172">
                  <c:v>76.415739066336585</c:v>
                </c:pt>
                <c:pt idx="173">
                  <c:v>76.397027102924142</c:v>
                </c:pt>
                <c:pt idx="174">
                  <c:v>76.378315139511699</c:v>
                </c:pt>
                <c:pt idx="175">
                  <c:v>76.359603176099242</c:v>
                </c:pt>
                <c:pt idx="176">
                  <c:v>76.340891212686799</c:v>
                </c:pt>
                <c:pt idx="177">
                  <c:v>76.322179249274356</c:v>
                </c:pt>
                <c:pt idx="178">
                  <c:v>76.303467285861899</c:v>
                </c:pt>
                <c:pt idx="179">
                  <c:v>76.284755322449456</c:v>
                </c:pt>
                <c:pt idx="180">
                  <c:v>76.266043359037013</c:v>
                </c:pt>
                <c:pt idx="181">
                  <c:v>76.24733139562457</c:v>
                </c:pt>
                <c:pt idx="182">
                  <c:v>76.228619432212113</c:v>
                </c:pt>
                <c:pt idx="183">
                  <c:v>76.20990746879967</c:v>
                </c:pt>
                <c:pt idx="184">
                  <c:v>76.191195505387228</c:v>
                </c:pt>
                <c:pt idx="185">
                  <c:v>76.172483541974771</c:v>
                </c:pt>
                <c:pt idx="186">
                  <c:v>76.153771578562328</c:v>
                </c:pt>
                <c:pt idx="187">
                  <c:v>76.135059615149885</c:v>
                </c:pt>
                <c:pt idx="188">
                  <c:v>76.116347651737442</c:v>
                </c:pt>
                <c:pt idx="189">
                  <c:v>76.097635688324985</c:v>
                </c:pt>
                <c:pt idx="190">
                  <c:v>76.078923724912542</c:v>
                </c:pt>
                <c:pt idx="191">
                  <c:v>76.060211761500099</c:v>
                </c:pt>
                <c:pt idx="192">
                  <c:v>76.041499798087656</c:v>
                </c:pt>
                <c:pt idx="193">
                  <c:v>76.022787834675199</c:v>
                </c:pt>
                <c:pt idx="194">
                  <c:v>76.004075871262756</c:v>
                </c:pt>
                <c:pt idx="195">
                  <c:v>75.985363907850314</c:v>
                </c:pt>
                <c:pt idx="196">
                  <c:v>75.966651944437871</c:v>
                </c:pt>
                <c:pt idx="197">
                  <c:v>75.947939981025414</c:v>
                </c:pt>
                <c:pt idx="198">
                  <c:v>75.929228017612971</c:v>
                </c:pt>
                <c:pt idx="199">
                  <c:v>75.910516054200528</c:v>
                </c:pt>
                <c:pt idx="200">
                  <c:v>75.891804090788071</c:v>
                </c:pt>
                <c:pt idx="201">
                  <c:v>75.873092127375628</c:v>
                </c:pt>
                <c:pt idx="202">
                  <c:v>75.854380163963185</c:v>
                </c:pt>
                <c:pt idx="203">
                  <c:v>75.835668200550742</c:v>
                </c:pt>
                <c:pt idx="204">
                  <c:v>75.816956237138285</c:v>
                </c:pt>
                <c:pt idx="205">
                  <c:v>75.798244273725842</c:v>
                </c:pt>
                <c:pt idx="206">
                  <c:v>75.7795323103134</c:v>
                </c:pt>
                <c:pt idx="207">
                  <c:v>75.760820346900957</c:v>
                </c:pt>
                <c:pt idx="208">
                  <c:v>75.7421083834885</c:v>
                </c:pt>
                <c:pt idx="209">
                  <c:v>75.723396420076057</c:v>
                </c:pt>
                <c:pt idx="210">
                  <c:v>75.704684456663614</c:v>
                </c:pt>
                <c:pt idx="211">
                  <c:v>75.685972493251157</c:v>
                </c:pt>
                <c:pt idx="212">
                  <c:v>75.667260529838714</c:v>
                </c:pt>
                <c:pt idx="213">
                  <c:v>75.648548566426271</c:v>
                </c:pt>
                <c:pt idx="214">
                  <c:v>75.629836603013828</c:v>
                </c:pt>
                <c:pt idx="215">
                  <c:v>75.611124639601371</c:v>
                </c:pt>
                <c:pt idx="216">
                  <c:v>75.592412676188928</c:v>
                </c:pt>
                <c:pt idx="217">
                  <c:v>75.573700712776485</c:v>
                </c:pt>
                <c:pt idx="218">
                  <c:v>75.554988749364043</c:v>
                </c:pt>
                <c:pt idx="219">
                  <c:v>75.536276785951586</c:v>
                </c:pt>
                <c:pt idx="220">
                  <c:v>75.517564822539143</c:v>
                </c:pt>
                <c:pt idx="221">
                  <c:v>75.4988528591267</c:v>
                </c:pt>
                <c:pt idx="222">
                  <c:v>75.480140895714243</c:v>
                </c:pt>
                <c:pt idx="223">
                  <c:v>75.4614289323018</c:v>
                </c:pt>
                <c:pt idx="224">
                  <c:v>75.442716968889357</c:v>
                </c:pt>
                <c:pt idx="225">
                  <c:v>75.424005005476914</c:v>
                </c:pt>
                <c:pt idx="226">
                  <c:v>75.405293042064457</c:v>
                </c:pt>
                <c:pt idx="227">
                  <c:v>75.386581078652014</c:v>
                </c:pt>
                <c:pt idx="228">
                  <c:v>75.367869115239571</c:v>
                </c:pt>
                <c:pt idx="229">
                  <c:v>75.349157151827129</c:v>
                </c:pt>
                <c:pt idx="230">
                  <c:v>75.330445188414672</c:v>
                </c:pt>
                <c:pt idx="231">
                  <c:v>75.311733225002229</c:v>
                </c:pt>
                <c:pt idx="232">
                  <c:v>75.293021261589786</c:v>
                </c:pt>
                <c:pt idx="233">
                  <c:v>75.274309298177343</c:v>
                </c:pt>
                <c:pt idx="234">
                  <c:v>75.255597334764886</c:v>
                </c:pt>
                <c:pt idx="235">
                  <c:v>75.236885371352443</c:v>
                </c:pt>
                <c:pt idx="236">
                  <c:v>75.21817340794</c:v>
                </c:pt>
                <c:pt idx="237">
                  <c:v>75.199461444527543</c:v>
                </c:pt>
                <c:pt idx="238">
                  <c:v>75.1807494811151</c:v>
                </c:pt>
                <c:pt idx="239">
                  <c:v>75.162037517702657</c:v>
                </c:pt>
                <c:pt idx="240">
                  <c:v>75.143325554290215</c:v>
                </c:pt>
                <c:pt idx="241">
                  <c:v>75.124613590877757</c:v>
                </c:pt>
                <c:pt idx="242">
                  <c:v>75.105901627465315</c:v>
                </c:pt>
                <c:pt idx="243">
                  <c:v>75.087189664052872</c:v>
                </c:pt>
                <c:pt idx="244">
                  <c:v>75.068477700640415</c:v>
                </c:pt>
                <c:pt idx="245">
                  <c:v>75.049765737227972</c:v>
                </c:pt>
                <c:pt idx="246">
                  <c:v>75.031053773815529</c:v>
                </c:pt>
                <c:pt idx="247">
                  <c:v>75.012341810403086</c:v>
                </c:pt>
                <c:pt idx="248">
                  <c:v>74.993629846990629</c:v>
                </c:pt>
                <c:pt idx="249">
                  <c:v>74.974917883578186</c:v>
                </c:pt>
                <c:pt idx="250">
                  <c:v>74.956205920165743</c:v>
                </c:pt>
                <c:pt idx="251">
                  <c:v>74.9374939567533</c:v>
                </c:pt>
                <c:pt idx="252">
                  <c:v>74.918781993340843</c:v>
                </c:pt>
                <c:pt idx="253">
                  <c:v>74.900070029928401</c:v>
                </c:pt>
                <c:pt idx="254">
                  <c:v>74.881358066515958</c:v>
                </c:pt>
                <c:pt idx="255">
                  <c:v>74.862646103103515</c:v>
                </c:pt>
                <c:pt idx="256">
                  <c:v>74.843934139691058</c:v>
                </c:pt>
                <c:pt idx="257">
                  <c:v>74.825222176278615</c:v>
                </c:pt>
                <c:pt idx="258">
                  <c:v>74.806510212866172</c:v>
                </c:pt>
                <c:pt idx="259">
                  <c:v>74.787798249453715</c:v>
                </c:pt>
                <c:pt idx="260">
                  <c:v>74.769086286041272</c:v>
                </c:pt>
                <c:pt idx="261">
                  <c:v>74.750374322628829</c:v>
                </c:pt>
                <c:pt idx="262">
                  <c:v>74.731662359216386</c:v>
                </c:pt>
                <c:pt idx="263">
                  <c:v>74.712950395803929</c:v>
                </c:pt>
                <c:pt idx="264">
                  <c:v>74.694238432391487</c:v>
                </c:pt>
                <c:pt idx="265">
                  <c:v>74.675526468979044</c:v>
                </c:pt>
                <c:pt idx="266">
                  <c:v>74.656814505566587</c:v>
                </c:pt>
                <c:pt idx="267">
                  <c:v>74.638102542154144</c:v>
                </c:pt>
                <c:pt idx="268">
                  <c:v>74.619390578741701</c:v>
                </c:pt>
                <c:pt idx="269">
                  <c:v>74.600678615329258</c:v>
                </c:pt>
                <c:pt idx="270">
                  <c:v>74.581966651916801</c:v>
                </c:pt>
                <c:pt idx="271">
                  <c:v>74.563254688504358</c:v>
                </c:pt>
                <c:pt idx="272">
                  <c:v>74.544542725091915</c:v>
                </c:pt>
                <c:pt idx="273">
                  <c:v>74.525830761679472</c:v>
                </c:pt>
                <c:pt idx="274">
                  <c:v>74.507118798267015</c:v>
                </c:pt>
                <c:pt idx="275">
                  <c:v>74.488406834854572</c:v>
                </c:pt>
                <c:pt idx="276">
                  <c:v>74.46969487144213</c:v>
                </c:pt>
                <c:pt idx="277">
                  <c:v>74.450982908029687</c:v>
                </c:pt>
                <c:pt idx="278">
                  <c:v>74.43227094461723</c:v>
                </c:pt>
                <c:pt idx="279">
                  <c:v>74.413558981204787</c:v>
                </c:pt>
                <c:pt idx="280">
                  <c:v>74.394847017792344</c:v>
                </c:pt>
                <c:pt idx="281">
                  <c:v>74.376135054379887</c:v>
                </c:pt>
                <c:pt idx="282">
                  <c:v>74.357423090967444</c:v>
                </c:pt>
                <c:pt idx="283">
                  <c:v>74.338711127555001</c:v>
                </c:pt>
                <c:pt idx="284">
                  <c:v>74.319999164142558</c:v>
                </c:pt>
                <c:pt idx="285">
                  <c:v>74.301287200730101</c:v>
                </c:pt>
                <c:pt idx="286">
                  <c:v>74.282575237317658</c:v>
                </c:pt>
                <c:pt idx="287">
                  <c:v>74.263863273905216</c:v>
                </c:pt>
                <c:pt idx="288">
                  <c:v>74.245151310492773</c:v>
                </c:pt>
                <c:pt idx="289">
                  <c:v>74.226439347080316</c:v>
                </c:pt>
                <c:pt idx="290">
                  <c:v>74.207727383667873</c:v>
                </c:pt>
                <c:pt idx="291">
                  <c:v>74.18901542025543</c:v>
                </c:pt>
                <c:pt idx="292">
                  <c:v>74.170303456842973</c:v>
                </c:pt>
                <c:pt idx="293">
                  <c:v>74.15159149343053</c:v>
                </c:pt>
                <c:pt idx="294">
                  <c:v>74.132879530018087</c:v>
                </c:pt>
                <c:pt idx="295">
                  <c:v>74.114167566605644</c:v>
                </c:pt>
                <c:pt idx="296">
                  <c:v>74.095455603193187</c:v>
                </c:pt>
                <c:pt idx="297">
                  <c:v>74.076743639780744</c:v>
                </c:pt>
                <c:pt idx="298">
                  <c:v>74.058031676368302</c:v>
                </c:pt>
                <c:pt idx="299">
                  <c:v>74.039319712955859</c:v>
                </c:pt>
                <c:pt idx="300">
                  <c:v>74.020607749543402</c:v>
                </c:pt>
                <c:pt idx="301">
                  <c:v>74.001895786130959</c:v>
                </c:pt>
                <c:pt idx="302">
                  <c:v>73.983183822718516</c:v>
                </c:pt>
                <c:pt idx="303">
                  <c:v>73.964471859306059</c:v>
                </c:pt>
                <c:pt idx="304">
                  <c:v>73.945759895893616</c:v>
                </c:pt>
                <c:pt idx="305">
                  <c:v>73.927047932481173</c:v>
                </c:pt>
                <c:pt idx="306">
                  <c:v>73.90833596906873</c:v>
                </c:pt>
                <c:pt idx="307">
                  <c:v>73.889624005656273</c:v>
                </c:pt>
                <c:pt idx="308">
                  <c:v>73.87091204224383</c:v>
                </c:pt>
                <c:pt idx="309">
                  <c:v>73.852200078831387</c:v>
                </c:pt>
                <c:pt idx="310">
                  <c:v>73.833488115418945</c:v>
                </c:pt>
                <c:pt idx="311">
                  <c:v>73.814776152006488</c:v>
                </c:pt>
                <c:pt idx="312">
                  <c:v>73.796064188594045</c:v>
                </c:pt>
                <c:pt idx="313">
                  <c:v>73.777352225181602</c:v>
                </c:pt>
                <c:pt idx="314">
                  <c:v>73.758640261769159</c:v>
                </c:pt>
                <c:pt idx="315">
                  <c:v>73.739928298356702</c:v>
                </c:pt>
                <c:pt idx="316">
                  <c:v>73.721216334944259</c:v>
                </c:pt>
                <c:pt idx="317">
                  <c:v>73.702504371531816</c:v>
                </c:pt>
                <c:pt idx="318">
                  <c:v>73.683792408119359</c:v>
                </c:pt>
                <c:pt idx="319">
                  <c:v>73.665080444706916</c:v>
                </c:pt>
                <c:pt idx="320">
                  <c:v>73.646368481294473</c:v>
                </c:pt>
                <c:pt idx="321">
                  <c:v>73.627656517882031</c:v>
                </c:pt>
                <c:pt idx="322">
                  <c:v>73.608944554469574</c:v>
                </c:pt>
                <c:pt idx="323">
                  <c:v>73.590232591057131</c:v>
                </c:pt>
                <c:pt idx="324">
                  <c:v>73.571520627644688</c:v>
                </c:pt>
                <c:pt idx="325">
                  <c:v>73.552808664232231</c:v>
                </c:pt>
                <c:pt idx="326">
                  <c:v>73.534096700819788</c:v>
                </c:pt>
                <c:pt idx="327">
                  <c:v>73.515384737407345</c:v>
                </c:pt>
                <c:pt idx="328">
                  <c:v>73.496672773994902</c:v>
                </c:pt>
                <c:pt idx="329">
                  <c:v>73.477960810582445</c:v>
                </c:pt>
                <c:pt idx="330">
                  <c:v>73.459248847170002</c:v>
                </c:pt>
                <c:pt idx="331">
                  <c:v>73.440536883757559</c:v>
                </c:pt>
                <c:pt idx="332">
                  <c:v>73.421824920345117</c:v>
                </c:pt>
                <c:pt idx="333">
                  <c:v>73.403112956932659</c:v>
                </c:pt>
                <c:pt idx="334">
                  <c:v>73.384400993520217</c:v>
                </c:pt>
                <c:pt idx="335">
                  <c:v>73.365689030107774</c:v>
                </c:pt>
                <c:pt idx="336">
                  <c:v>73.346977066695331</c:v>
                </c:pt>
                <c:pt idx="337">
                  <c:v>73.328265103282874</c:v>
                </c:pt>
                <c:pt idx="338">
                  <c:v>73.309553139870431</c:v>
                </c:pt>
                <c:pt idx="339">
                  <c:v>73.290841176457988</c:v>
                </c:pt>
                <c:pt idx="340">
                  <c:v>73.272129213045531</c:v>
                </c:pt>
                <c:pt idx="341">
                  <c:v>73.253417249633088</c:v>
                </c:pt>
                <c:pt idx="342">
                  <c:v>73.234705286220645</c:v>
                </c:pt>
                <c:pt idx="343">
                  <c:v>73.215993322808202</c:v>
                </c:pt>
                <c:pt idx="344">
                  <c:v>73.197281359395745</c:v>
                </c:pt>
                <c:pt idx="345">
                  <c:v>73.178569395983303</c:v>
                </c:pt>
                <c:pt idx="346">
                  <c:v>73.15985743257086</c:v>
                </c:pt>
                <c:pt idx="347">
                  <c:v>73.141145469158403</c:v>
                </c:pt>
                <c:pt idx="348">
                  <c:v>73.12243350574596</c:v>
                </c:pt>
                <c:pt idx="349">
                  <c:v>73.103721542333517</c:v>
                </c:pt>
                <c:pt idx="350">
                  <c:v>73.085009578921074</c:v>
                </c:pt>
                <c:pt idx="351">
                  <c:v>73.066297615508617</c:v>
                </c:pt>
                <c:pt idx="352">
                  <c:v>73.047585652096174</c:v>
                </c:pt>
                <c:pt idx="353">
                  <c:v>73.028873688683731</c:v>
                </c:pt>
                <c:pt idx="354">
                  <c:v>73.010161725271288</c:v>
                </c:pt>
                <c:pt idx="355">
                  <c:v>72.991449761858831</c:v>
                </c:pt>
                <c:pt idx="356">
                  <c:v>72.972737798446389</c:v>
                </c:pt>
                <c:pt idx="357">
                  <c:v>72.954025835033946</c:v>
                </c:pt>
                <c:pt idx="358">
                  <c:v>72.935313871621503</c:v>
                </c:pt>
                <c:pt idx="359">
                  <c:v>72.916601908209046</c:v>
                </c:pt>
                <c:pt idx="360">
                  <c:v>72.897889944796603</c:v>
                </c:pt>
                <c:pt idx="361">
                  <c:v>72.87917798138416</c:v>
                </c:pt>
                <c:pt idx="362">
                  <c:v>72.860466017971703</c:v>
                </c:pt>
                <c:pt idx="363">
                  <c:v>72.84175405455926</c:v>
                </c:pt>
                <c:pt idx="364">
                  <c:v>72.823042091146817</c:v>
                </c:pt>
                <c:pt idx="365">
                  <c:v>72.804330127734374</c:v>
                </c:pt>
                <c:pt idx="366">
                  <c:v>72.785618164321917</c:v>
                </c:pt>
                <c:pt idx="367">
                  <c:v>72.766906200909474</c:v>
                </c:pt>
                <c:pt idx="368">
                  <c:v>72.748194237497032</c:v>
                </c:pt>
                <c:pt idx="369">
                  <c:v>72.729482274084589</c:v>
                </c:pt>
                <c:pt idx="370">
                  <c:v>72.710770310672132</c:v>
                </c:pt>
                <c:pt idx="371">
                  <c:v>72.692058347259689</c:v>
                </c:pt>
                <c:pt idx="372">
                  <c:v>72.673346383847246</c:v>
                </c:pt>
                <c:pt idx="373">
                  <c:v>72.654634420434789</c:v>
                </c:pt>
                <c:pt idx="374">
                  <c:v>72.635922457022346</c:v>
                </c:pt>
                <c:pt idx="375">
                  <c:v>72.617210493609903</c:v>
                </c:pt>
                <c:pt idx="376">
                  <c:v>72.59849853019746</c:v>
                </c:pt>
                <c:pt idx="377">
                  <c:v>72.579786566785003</c:v>
                </c:pt>
                <c:pt idx="378">
                  <c:v>72.56107460337256</c:v>
                </c:pt>
                <c:pt idx="379">
                  <c:v>72.542362639960118</c:v>
                </c:pt>
                <c:pt idx="380">
                  <c:v>72.523650676547675</c:v>
                </c:pt>
                <c:pt idx="381">
                  <c:v>72.504938713135218</c:v>
                </c:pt>
                <c:pt idx="382">
                  <c:v>72.486226749722775</c:v>
                </c:pt>
                <c:pt idx="383">
                  <c:v>72.467514786310332</c:v>
                </c:pt>
                <c:pt idx="384">
                  <c:v>72.448802822897875</c:v>
                </c:pt>
                <c:pt idx="385">
                  <c:v>72.430090859485432</c:v>
                </c:pt>
                <c:pt idx="386">
                  <c:v>72.411378896072989</c:v>
                </c:pt>
                <c:pt idx="387">
                  <c:v>72.392666932660546</c:v>
                </c:pt>
                <c:pt idx="388">
                  <c:v>72.373954969248089</c:v>
                </c:pt>
                <c:pt idx="389">
                  <c:v>72.355243005835646</c:v>
                </c:pt>
                <c:pt idx="390">
                  <c:v>72.336531042423204</c:v>
                </c:pt>
                <c:pt idx="391">
                  <c:v>72.317819079010761</c:v>
                </c:pt>
                <c:pt idx="392">
                  <c:v>72.299107115598304</c:v>
                </c:pt>
                <c:pt idx="393">
                  <c:v>72.280395152185861</c:v>
                </c:pt>
                <c:pt idx="394">
                  <c:v>72.261683188773418</c:v>
                </c:pt>
                <c:pt idx="395">
                  <c:v>72.242971225360975</c:v>
                </c:pt>
                <c:pt idx="396">
                  <c:v>72.224259261948518</c:v>
                </c:pt>
                <c:pt idx="397">
                  <c:v>72.205547298536075</c:v>
                </c:pt>
                <c:pt idx="398">
                  <c:v>72.186835335123632</c:v>
                </c:pt>
                <c:pt idx="399">
                  <c:v>72.168123371711175</c:v>
                </c:pt>
                <c:pt idx="400">
                  <c:v>72.149411408298732</c:v>
                </c:pt>
                <c:pt idx="401">
                  <c:v>72.130699444886289</c:v>
                </c:pt>
                <c:pt idx="402">
                  <c:v>72.111987481473847</c:v>
                </c:pt>
                <c:pt idx="403">
                  <c:v>72.09327551806139</c:v>
                </c:pt>
                <c:pt idx="404">
                  <c:v>72.074563554648947</c:v>
                </c:pt>
                <c:pt idx="405">
                  <c:v>72.055851591236504</c:v>
                </c:pt>
                <c:pt idx="406">
                  <c:v>72.037139627824047</c:v>
                </c:pt>
                <c:pt idx="407">
                  <c:v>72.018427664411604</c:v>
                </c:pt>
                <c:pt idx="408">
                  <c:v>71.999715700999161</c:v>
                </c:pt>
                <c:pt idx="409">
                  <c:v>71.981003737586718</c:v>
                </c:pt>
                <c:pt idx="410">
                  <c:v>71.962291774174261</c:v>
                </c:pt>
                <c:pt idx="411">
                  <c:v>71.943579810761818</c:v>
                </c:pt>
                <c:pt idx="412">
                  <c:v>71.924867847349375</c:v>
                </c:pt>
                <c:pt idx="413">
                  <c:v>71.906155883936933</c:v>
                </c:pt>
                <c:pt idx="414">
                  <c:v>71.887443920524476</c:v>
                </c:pt>
                <c:pt idx="415">
                  <c:v>71.868731957112033</c:v>
                </c:pt>
                <c:pt idx="416">
                  <c:v>71.85001999369959</c:v>
                </c:pt>
                <c:pt idx="417">
                  <c:v>71.831308030287147</c:v>
                </c:pt>
                <c:pt idx="418">
                  <c:v>71.81259606687469</c:v>
                </c:pt>
                <c:pt idx="419">
                  <c:v>71.793884103462247</c:v>
                </c:pt>
                <c:pt idx="420">
                  <c:v>71.775172140049804</c:v>
                </c:pt>
                <c:pt idx="421">
                  <c:v>71.756460176637347</c:v>
                </c:pt>
                <c:pt idx="422">
                  <c:v>71.737748213224904</c:v>
                </c:pt>
                <c:pt idx="423">
                  <c:v>71.719036249812461</c:v>
                </c:pt>
                <c:pt idx="424">
                  <c:v>71.700324286400019</c:v>
                </c:pt>
                <c:pt idx="425">
                  <c:v>71.681612322987561</c:v>
                </c:pt>
                <c:pt idx="426">
                  <c:v>71.662900359575119</c:v>
                </c:pt>
                <c:pt idx="427">
                  <c:v>71.644188396162676</c:v>
                </c:pt>
                <c:pt idx="428">
                  <c:v>71.625476432750219</c:v>
                </c:pt>
                <c:pt idx="429">
                  <c:v>71.606764469337776</c:v>
                </c:pt>
                <c:pt idx="430">
                  <c:v>71.588052505925333</c:v>
                </c:pt>
                <c:pt idx="431">
                  <c:v>71.56934054251289</c:v>
                </c:pt>
                <c:pt idx="432">
                  <c:v>71.550628579100447</c:v>
                </c:pt>
                <c:pt idx="433">
                  <c:v>71.53191661568799</c:v>
                </c:pt>
                <c:pt idx="434">
                  <c:v>71.513204652275547</c:v>
                </c:pt>
                <c:pt idx="435">
                  <c:v>71.494492688863104</c:v>
                </c:pt>
                <c:pt idx="436">
                  <c:v>71.475780725450647</c:v>
                </c:pt>
                <c:pt idx="437">
                  <c:v>71.457068762038205</c:v>
                </c:pt>
                <c:pt idx="438">
                  <c:v>71.438356798625762</c:v>
                </c:pt>
                <c:pt idx="439">
                  <c:v>71.419644835213319</c:v>
                </c:pt>
                <c:pt idx="440">
                  <c:v>71.400932871800862</c:v>
                </c:pt>
                <c:pt idx="441">
                  <c:v>71.382220908388419</c:v>
                </c:pt>
                <c:pt idx="442">
                  <c:v>71.363508944975976</c:v>
                </c:pt>
                <c:pt idx="443">
                  <c:v>71.344796981563519</c:v>
                </c:pt>
                <c:pt idx="444">
                  <c:v>71.326085018151076</c:v>
                </c:pt>
                <c:pt idx="445">
                  <c:v>71.307373054738633</c:v>
                </c:pt>
                <c:pt idx="446">
                  <c:v>71.28866109132619</c:v>
                </c:pt>
                <c:pt idx="447">
                  <c:v>71.269949127913733</c:v>
                </c:pt>
                <c:pt idx="448">
                  <c:v>71.251237164501291</c:v>
                </c:pt>
                <c:pt idx="449">
                  <c:v>71.232525201088848</c:v>
                </c:pt>
                <c:pt idx="450">
                  <c:v>71.213813237676391</c:v>
                </c:pt>
                <c:pt idx="451">
                  <c:v>71.195101274263948</c:v>
                </c:pt>
                <c:pt idx="452">
                  <c:v>71.176389310851505</c:v>
                </c:pt>
                <c:pt idx="453">
                  <c:v>71.157677347439062</c:v>
                </c:pt>
                <c:pt idx="454">
                  <c:v>71.138965384026619</c:v>
                </c:pt>
                <c:pt idx="455">
                  <c:v>71.120253420614162</c:v>
                </c:pt>
                <c:pt idx="456">
                  <c:v>71.101541457201719</c:v>
                </c:pt>
                <c:pt idx="457">
                  <c:v>71.082829493789276</c:v>
                </c:pt>
                <c:pt idx="458">
                  <c:v>71.064117530376819</c:v>
                </c:pt>
                <c:pt idx="459">
                  <c:v>71.045405566964376</c:v>
                </c:pt>
                <c:pt idx="460">
                  <c:v>71.026693603551934</c:v>
                </c:pt>
                <c:pt idx="461">
                  <c:v>71.007981640139491</c:v>
                </c:pt>
                <c:pt idx="462">
                  <c:v>70.989269676727034</c:v>
                </c:pt>
                <c:pt idx="463">
                  <c:v>70.970557713314591</c:v>
                </c:pt>
                <c:pt idx="464">
                  <c:v>70.951845749902148</c:v>
                </c:pt>
                <c:pt idx="465">
                  <c:v>70.933133786489691</c:v>
                </c:pt>
                <c:pt idx="466">
                  <c:v>70.914421823077248</c:v>
                </c:pt>
                <c:pt idx="467">
                  <c:v>70.895709859664805</c:v>
                </c:pt>
                <c:pt idx="468">
                  <c:v>70.876997896252362</c:v>
                </c:pt>
                <c:pt idx="469">
                  <c:v>70.858285932839905</c:v>
                </c:pt>
                <c:pt idx="470">
                  <c:v>70.839573969427462</c:v>
                </c:pt>
                <c:pt idx="471">
                  <c:v>70.82086200601502</c:v>
                </c:pt>
                <c:pt idx="472">
                  <c:v>70.802150042602577</c:v>
                </c:pt>
                <c:pt idx="473">
                  <c:v>70.78343807919012</c:v>
                </c:pt>
                <c:pt idx="474">
                  <c:v>70.764726115777677</c:v>
                </c:pt>
                <c:pt idx="475">
                  <c:v>70.746014152365234</c:v>
                </c:pt>
                <c:pt idx="476">
                  <c:v>70.727302188952791</c:v>
                </c:pt>
                <c:pt idx="477">
                  <c:v>70.708590225540334</c:v>
                </c:pt>
                <c:pt idx="478">
                  <c:v>70.689878262127891</c:v>
                </c:pt>
                <c:pt idx="479">
                  <c:v>70.671166298715448</c:v>
                </c:pt>
                <c:pt idx="480">
                  <c:v>70.652454335302991</c:v>
                </c:pt>
                <c:pt idx="481">
                  <c:v>70.633742371890548</c:v>
                </c:pt>
                <c:pt idx="482">
                  <c:v>70.615030408478106</c:v>
                </c:pt>
                <c:pt idx="483">
                  <c:v>70.596318445065663</c:v>
                </c:pt>
                <c:pt idx="484">
                  <c:v>70.577606481653206</c:v>
                </c:pt>
                <c:pt idx="485">
                  <c:v>70.558894518240763</c:v>
                </c:pt>
                <c:pt idx="486">
                  <c:v>70.54018255482832</c:v>
                </c:pt>
                <c:pt idx="487">
                  <c:v>70.521470591415863</c:v>
                </c:pt>
                <c:pt idx="488">
                  <c:v>70.50275862800342</c:v>
                </c:pt>
                <c:pt idx="489">
                  <c:v>70.484046664590977</c:v>
                </c:pt>
                <c:pt idx="490">
                  <c:v>70.465334701178534</c:v>
                </c:pt>
                <c:pt idx="491">
                  <c:v>70.446622737766077</c:v>
                </c:pt>
                <c:pt idx="492">
                  <c:v>70.427910774353634</c:v>
                </c:pt>
                <c:pt idx="493">
                  <c:v>70.409198810941191</c:v>
                </c:pt>
                <c:pt idx="494">
                  <c:v>70.390486847528749</c:v>
                </c:pt>
                <c:pt idx="495">
                  <c:v>70.371774884116292</c:v>
                </c:pt>
                <c:pt idx="496">
                  <c:v>70.353062920703849</c:v>
                </c:pt>
                <c:pt idx="497">
                  <c:v>70.334350957291406</c:v>
                </c:pt>
                <c:pt idx="498">
                  <c:v>70.315638993878963</c:v>
                </c:pt>
                <c:pt idx="499">
                  <c:v>70.296927030466506</c:v>
                </c:pt>
                <c:pt idx="500">
                  <c:v>70.278215067054063</c:v>
                </c:pt>
                <c:pt idx="501">
                  <c:v>70.25950310364162</c:v>
                </c:pt>
                <c:pt idx="502">
                  <c:v>70.240791140229163</c:v>
                </c:pt>
                <c:pt idx="503">
                  <c:v>70.22207917681672</c:v>
                </c:pt>
                <c:pt idx="504">
                  <c:v>70.203367213404277</c:v>
                </c:pt>
                <c:pt idx="505">
                  <c:v>70.184655249991835</c:v>
                </c:pt>
                <c:pt idx="506">
                  <c:v>70.165943286579378</c:v>
                </c:pt>
                <c:pt idx="507">
                  <c:v>70.147231323166935</c:v>
                </c:pt>
                <c:pt idx="508">
                  <c:v>70.128519359754492</c:v>
                </c:pt>
                <c:pt idx="509">
                  <c:v>70.109807396342035</c:v>
                </c:pt>
                <c:pt idx="510">
                  <c:v>70.091095432929592</c:v>
                </c:pt>
                <c:pt idx="511">
                  <c:v>70.072383469517149</c:v>
                </c:pt>
                <c:pt idx="512">
                  <c:v>70.053671506104706</c:v>
                </c:pt>
                <c:pt idx="513">
                  <c:v>70.034959542692263</c:v>
                </c:pt>
                <c:pt idx="514">
                  <c:v>70.016247579279806</c:v>
                </c:pt>
                <c:pt idx="515">
                  <c:v>69.997535615867363</c:v>
                </c:pt>
                <c:pt idx="516">
                  <c:v>69.978823652454921</c:v>
                </c:pt>
                <c:pt idx="517">
                  <c:v>69.960111689042463</c:v>
                </c:pt>
                <c:pt idx="518">
                  <c:v>69.941399725630021</c:v>
                </c:pt>
                <c:pt idx="519">
                  <c:v>69.922687762217578</c:v>
                </c:pt>
                <c:pt idx="520">
                  <c:v>69.903975798805135</c:v>
                </c:pt>
                <c:pt idx="521">
                  <c:v>69.885263835392678</c:v>
                </c:pt>
                <c:pt idx="522">
                  <c:v>69.866551871980235</c:v>
                </c:pt>
                <c:pt idx="523">
                  <c:v>69.847839908567792</c:v>
                </c:pt>
                <c:pt idx="524">
                  <c:v>69.829127945155335</c:v>
                </c:pt>
                <c:pt idx="525">
                  <c:v>69.810415981742892</c:v>
                </c:pt>
                <c:pt idx="526">
                  <c:v>69.791704018330449</c:v>
                </c:pt>
                <c:pt idx="527">
                  <c:v>69.772992054918006</c:v>
                </c:pt>
                <c:pt idx="528">
                  <c:v>69.754280091505549</c:v>
                </c:pt>
                <c:pt idx="529">
                  <c:v>69.735568128093107</c:v>
                </c:pt>
                <c:pt idx="530">
                  <c:v>69.716856164680664</c:v>
                </c:pt>
                <c:pt idx="531">
                  <c:v>69.698144201268221</c:v>
                </c:pt>
                <c:pt idx="532">
                  <c:v>69.679432237855764</c:v>
                </c:pt>
                <c:pt idx="533">
                  <c:v>69.660720274443321</c:v>
                </c:pt>
                <c:pt idx="534">
                  <c:v>69.642008311030878</c:v>
                </c:pt>
                <c:pt idx="535">
                  <c:v>69.623296347618435</c:v>
                </c:pt>
                <c:pt idx="536">
                  <c:v>69.604584384205978</c:v>
                </c:pt>
                <c:pt idx="537">
                  <c:v>69.585872420793535</c:v>
                </c:pt>
                <c:pt idx="538">
                  <c:v>69.567160457381092</c:v>
                </c:pt>
                <c:pt idx="539">
                  <c:v>69.548448493968635</c:v>
                </c:pt>
                <c:pt idx="540">
                  <c:v>69.529736530556193</c:v>
                </c:pt>
                <c:pt idx="541">
                  <c:v>69.51102456714375</c:v>
                </c:pt>
                <c:pt idx="542">
                  <c:v>69.492312603731307</c:v>
                </c:pt>
                <c:pt idx="543">
                  <c:v>69.47360064031885</c:v>
                </c:pt>
                <c:pt idx="544">
                  <c:v>69.454888676906407</c:v>
                </c:pt>
                <c:pt idx="545">
                  <c:v>69.436176713493964</c:v>
                </c:pt>
                <c:pt idx="546">
                  <c:v>69.417464750081507</c:v>
                </c:pt>
                <c:pt idx="547">
                  <c:v>69.398752786669064</c:v>
                </c:pt>
                <c:pt idx="548">
                  <c:v>69.380040823256621</c:v>
                </c:pt>
                <c:pt idx="549">
                  <c:v>69.361328859844178</c:v>
                </c:pt>
                <c:pt idx="550">
                  <c:v>69.342616896431721</c:v>
                </c:pt>
                <c:pt idx="551">
                  <c:v>69.323904933019278</c:v>
                </c:pt>
                <c:pt idx="552">
                  <c:v>69.305192969606836</c:v>
                </c:pt>
                <c:pt idx="553">
                  <c:v>69.286481006194393</c:v>
                </c:pt>
                <c:pt idx="554">
                  <c:v>69.267769042781936</c:v>
                </c:pt>
                <c:pt idx="555">
                  <c:v>69.249057079369493</c:v>
                </c:pt>
                <c:pt idx="556">
                  <c:v>69.23034511595705</c:v>
                </c:pt>
                <c:pt idx="557">
                  <c:v>69.211633152544607</c:v>
                </c:pt>
                <c:pt idx="558">
                  <c:v>69.19292118913215</c:v>
                </c:pt>
                <c:pt idx="559">
                  <c:v>69.174209225719707</c:v>
                </c:pt>
                <c:pt idx="560">
                  <c:v>69.155497262307264</c:v>
                </c:pt>
                <c:pt idx="561">
                  <c:v>69.136785298894807</c:v>
                </c:pt>
                <c:pt idx="562">
                  <c:v>69.118073335482364</c:v>
                </c:pt>
                <c:pt idx="563">
                  <c:v>69.099361372069922</c:v>
                </c:pt>
                <c:pt idx="564">
                  <c:v>69.080649408657479</c:v>
                </c:pt>
                <c:pt idx="565">
                  <c:v>69.061937445245022</c:v>
                </c:pt>
                <c:pt idx="566">
                  <c:v>69.043225481832579</c:v>
                </c:pt>
                <c:pt idx="567">
                  <c:v>69.024513518420136</c:v>
                </c:pt>
                <c:pt idx="568">
                  <c:v>69.005801555007679</c:v>
                </c:pt>
                <c:pt idx="569">
                  <c:v>68.987089591595236</c:v>
                </c:pt>
                <c:pt idx="570">
                  <c:v>68.968377628182793</c:v>
                </c:pt>
                <c:pt idx="571">
                  <c:v>68.94966566477035</c:v>
                </c:pt>
                <c:pt idx="572">
                  <c:v>68.930953701357907</c:v>
                </c:pt>
                <c:pt idx="573">
                  <c:v>68.91224173794545</c:v>
                </c:pt>
                <c:pt idx="574">
                  <c:v>68.893529774533008</c:v>
                </c:pt>
                <c:pt idx="575">
                  <c:v>68.874817811120565</c:v>
                </c:pt>
                <c:pt idx="576">
                  <c:v>68.856105847708108</c:v>
                </c:pt>
                <c:pt idx="577">
                  <c:v>68.837393884295665</c:v>
                </c:pt>
                <c:pt idx="578">
                  <c:v>68.818681920883222</c:v>
                </c:pt>
                <c:pt idx="579">
                  <c:v>68.799969957470779</c:v>
                </c:pt>
                <c:pt idx="580">
                  <c:v>68.781257994058322</c:v>
                </c:pt>
                <c:pt idx="581">
                  <c:v>68.762546030645879</c:v>
                </c:pt>
                <c:pt idx="582">
                  <c:v>68.743834067233436</c:v>
                </c:pt>
                <c:pt idx="583">
                  <c:v>68.725122103820979</c:v>
                </c:pt>
                <c:pt idx="584">
                  <c:v>68.706410140408536</c:v>
                </c:pt>
                <c:pt idx="585">
                  <c:v>68.687698176996093</c:v>
                </c:pt>
                <c:pt idx="586">
                  <c:v>68.668986213583651</c:v>
                </c:pt>
                <c:pt idx="587">
                  <c:v>68.650274250171194</c:v>
                </c:pt>
                <c:pt idx="588">
                  <c:v>68.631562286758751</c:v>
                </c:pt>
                <c:pt idx="589">
                  <c:v>68.612850323346308</c:v>
                </c:pt>
                <c:pt idx="590">
                  <c:v>68.594138359933851</c:v>
                </c:pt>
                <c:pt idx="591">
                  <c:v>68.575426396521408</c:v>
                </c:pt>
                <c:pt idx="592">
                  <c:v>68.556714433108965</c:v>
                </c:pt>
                <c:pt idx="593">
                  <c:v>68.538002469696522</c:v>
                </c:pt>
                <c:pt idx="594">
                  <c:v>68.519290506284079</c:v>
                </c:pt>
                <c:pt idx="595">
                  <c:v>68.500578542871622</c:v>
                </c:pt>
                <c:pt idx="596">
                  <c:v>68.481866579459179</c:v>
                </c:pt>
                <c:pt idx="597">
                  <c:v>68.463154616046737</c:v>
                </c:pt>
                <c:pt idx="598">
                  <c:v>68.44444265263428</c:v>
                </c:pt>
                <c:pt idx="599">
                  <c:v>68.425730689221837</c:v>
                </c:pt>
                <c:pt idx="600">
                  <c:v>68.407018725809394</c:v>
                </c:pt>
                <c:pt idx="601">
                  <c:v>68.388306762396951</c:v>
                </c:pt>
                <c:pt idx="602">
                  <c:v>68.369594798984494</c:v>
                </c:pt>
                <c:pt idx="603">
                  <c:v>68.350882835572051</c:v>
                </c:pt>
                <c:pt idx="604">
                  <c:v>68.332170872159608</c:v>
                </c:pt>
                <c:pt idx="605">
                  <c:v>68.313458908747151</c:v>
                </c:pt>
                <c:pt idx="606">
                  <c:v>68.294746945334708</c:v>
                </c:pt>
                <c:pt idx="607">
                  <c:v>68.276034981922265</c:v>
                </c:pt>
                <c:pt idx="608">
                  <c:v>68.257323018509823</c:v>
                </c:pt>
                <c:pt idx="609">
                  <c:v>68.238611055097365</c:v>
                </c:pt>
                <c:pt idx="610">
                  <c:v>68.219899091684923</c:v>
                </c:pt>
                <c:pt idx="611">
                  <c:v>68.20118712827248</c:v>
                </c:pt>
                <c:pt idx="612">
                  <c:v>68.182475164860037</c:v>
                </c:pt>
                <c:pt idx="613">
                  <c:v>68.16376320144758</c:v>
                </c:pt>
                <c:pt idx="614">
                  <c:v>68.145051238035137</c:v>
                </c:pt>
                <c:pt idx="615">
                  <c:v>68.126339274622694</c:v>
                </c:pt>
                <c:pt idx="616">
                  <c:v>68.107627311210251</c:v>
                </c:pt>
                <c:pt idx="617">
                  <c:v>68.088915347797794</c:v>
                </c:pt>
                <c:pt idx="618">
                  <c:v>68.070203384385351</c:v>
                </c:pt>
                <c:pt idx="619">
                  <c:v>68.051491420972908</c:v>
                </c:pt>
                <c:pt idx="620">
                  <c:v>68.032779457560451</c:v>
                </c:pt>
                <c:pt idx="621">
                  <c:v>68.014067494148009</c:v>
                </c:pt>
                <c:pt idx="622">
                  <c:v>67.995355530735566</c:v>
                </c:pt>
                <c:pt idx="623">
                  <c:v>67.976643567323123</c:v>
                </c:pt>
                <c:pt idx="624">
                  <c:v>67.957931603910666</c:v>
                </c:pt>
                <c:pt idx="625">
                  <c:v>67.939219640498223</c:v>
                </c:pt>
                <c:pt idx="626">
                  <c:v>67.92050767708578</c:v>
                </c:pt>
                <c:pt idx="627">
                  <c:v>67.901795713673323</c:v>
                </c:pt>
                <c:pt idx="628">
                  <c:v>67.88308375026088</c:v>
                </c:pt>
                <c:pt idx="629">
                  <c:v>67.864371786848437</c:v>
                </c:pt>
                <c:pt idx="630">
                  <c:v>67.845659823435994</c:v>
                </c:pt>
                <c:pt idx="631">
                  <c:v>67.826947860023537</c:v>
                </c:pt>
                <c:pt idx="632">
                  <c:v>67.808235896611095</c:v>
                </c:pt>
                <c:pt idx="633">
                  <c:v>67.789523933198652</c:v>
                </c:pt>
                <c:pt idx="634">
                  <c:v>67.770811969786209</c:v>
                </c:pt>
                <c:pt idx="635">
                  <c:v>67.752100006373752</c:v>
                </c:pt>
                <c:pt idx="636">
                  <c:v>67.733388042961309</c:v>
                </c:pt>
                <c:pt idx="637">
                  <c:v>67.714676079548866</c:v>
                </c:pt>
                <c:pt idx="638">
                  <c:v>67.695964116136423</c:v>
                </c:pt>
                <c:pt idx="639">
                  <c:v>67.677252152723966</c:v>
                </c:pt>
                <c:pt idx="640">
                  <c:v>67.658540189311523</c:v>
                </c:pt>
                <c:pt idx="641">
                  <c:v>67.63982822589908</c:v>
                </c:pt>
                <c:pt idx="642">
                  <c:v>67.621116262486623</c:v>
                </c:pt>
                <c:pt idx="643">
                  <c:v>67.60240429907418</c:v>
                </c:pt>
                <c:pt idx="644">
                  <c:v>67.583692335661738</c:v>
                </c:pt>
                <c:pt idx="645">
                  <c:v>67.564980372249295</c:v>
                </c:pt>
                <c:pt idx="646">
                  <c:v>67.546268408836838</c:v>
                </c:pt>
                <c:pt idx="647">
                  <c:v>67.527556445424395</c:v>
                </c:pt>
                <c:pt idx="648">
                  <c:v>67.508844482011952</c:v>
                </c:pt>
                <c:pt idx="649">
                  <c:v>67.490132518599495</c:v>
                </c:pt>
                <c:pt idx="650">
                  <c:v>67.471420555187052</c:v>
                </c:pt>
                <c:pt idx="651">
                  <c:v>67.452708591774609</c:v>
                </c:pt>
                <c:pt idx="652">
                  <c:v>67.433996628362166</c:v>
                </c:pt>
                <c:pt idx="653">
                  <c:v>67.415284664949723</c:v>
                </c:pt>
                <c:pt idx="654">
                  <c:v>67.396572701537266</c:v>
                </c:pt>
                <c:pt idx="655">
                  <c:v>67.377860738124824</c:v>
                </c:pt>
                <c:pt idx="656">
                  <c:v>67.359148774712381</c:v>
                </c:pt>
                <c:pt idx="657">
                  <c:v>67.340436811299924</c:v>
                </c:pt>
                <c:pt idx="658">
                  <c:v>67.321724847887481</c:v>
                </c:pt>
                <c:pt idx="659">
                  <c:v>67.303012884475038</c:v>
                </c:pt>
                <c:pt idx="660">
                  <c:v>67.284300921062595</c:v>
                </c:pt>
                <c:pt idx="661">
                  <c:v>67.265588957650138</c:v>
                </c:pt>
                <c:pt idx="662">
                  <c:v>67.246876994237695</c:v>
                </c:pt>
                <c:pt idx="663">
                  <c:v>67.228165030825252</c:v>
                </c:pt>
                <c:pt idx="664">
                  <c:v>67.209453067412795</c:v>
                </c:pt>
                <c:pt idx="665">
                  <c:v>67.190741104000352</c:v>
                </c:pt>
                <c:pt idx="666">
                  <c:v>67.17202914058791</c:v>
                </c:pt>
                <c:pt idx="667">
                  <c:v>67.153317177175467</c:v>
                </c:pt>
                <c:pt idx="668">
                  <c:v>67.13460521376301</c:v>
                </c:pt>
                <c:pt idx="669">
                  <c:v>67.115893250350567</c:v>
                </c:pt>
                <c:pt idx="670">
                  <c:v>67.097181286938124</c:v>
                </c:pt>
                <c:pt idx="671">
                  <c:v>67.078469323525667</c:v>
                </c:pt>
                <c:pt idx="672">
                  <c:v>67.059757360113224</c:v>
                </c:pt>
                <c:pt idx="673">
                  <c:v>67.041045396700781</c:v>
                </c:pt>
                <c:pt idx="674">
                  <c:v>67.022333433288338</c:v>
                </c:pt>
                <c:pt idx="675">
                  <c:v>67.003621469875895</c:v>
                </c:pt>
                <c:pt idx="676">
                  <c:v>66.984909506463438</c:v>
                </c:pt>
                <c:pt idx="677">
                  <c:v>66.966197543050995</c:v>
                </c:pt>
                <c:pt idx="678">
                  <c:v>66.947485579638553</c:v>
                </c:pt>
                <c:pt idx="679">
                  <c:v>66.928773616226096</c:v>
                </c:pt>
                <c:pt idx="680">
                  <c:v>66.910061652813653</c:v>
                </c:pt>
                <c:pt idx="681">
                  <c:v>66.89134968940121</c:v>
                </c:pt>
                <c:pt idx="682">
                  <c:v>66.872637725988767</c:v>
                </c:pt>
                <c:pt idx="683">
                  <c:v>66.85392576257631</c:v>
                </c:pt>
                <c:pt idx="684">
                  <c:v>66.835213799163867</c:v>
                </c:pt>
                <c:pt idx="685">
                  <c:v>66.816501835751424</c:v>
                </c:pt>
                <c:pt idx="686">
                  <c:v>66.797789872338967</c:v>
                </c:pt>
                <c:pt idx="687">
                  <c:v>66.779077908926524</c:v>
                </c:pt>
                <c:pt idx="688">
                  <c:v>66.760365945514081</c:v>
                </c:pt>
                <c:pt idx="689">
                  <c:v>66.741653982101639</c:v>
                </c:pt>
                <c:pt idx="690">
                  <c:v>66.722942018689182</c:v>
                </c:pt>
                <c:pt idx="691">
                  <c:v>66.704230055276739</c:v>
                </c:pt>
                <c:pt idx="692">
                  <c:v>66.685518091864296</c:v>
                </c:pt>
                <c:pt idx="693">
                  <c:v>66.666806128451853</c:v>
                </c:pt>
                <c:pt idx="694">
                  <c:v>66.648094165039396</c:v>
                </c:pt>
                <c:pt idx="695">
                  <c:v>66.629382201626953</c:v>
                </c:pt>
                <c:pt idx="696">
                  <c:v>66.61067023821451</c:v>
                </c:pt>
                <c:pt idx="697">
                  <c:v>66.591958274802067</c:v>
                </c:pt>
                <c:pt idx="698">
                  <c:v>66.57324631138961</c:v>
                </c:pt>
                <c:pt idx="699">
                  <c:v>66.554534347977167</c:v>
                </c:pt>
                <c:pt idx="700">
                  <c:v>66.535822384564725</c:v>
                </c:pt>
                <c:pt idx="701">
                  <c:v>66.517110421152267</c:v>
                </c:pt>
                <c:pt idx="702">
                  <c:v>66.498398457739825</c:v>
                </c:pt>
                <c:pt idx="703">
                  <c:v>66.479686494327382</c:v>
                </c:pt>
                <c:pt idx="704">
                  <c:v>66.460974530914939</c:v>
                </c:pt>
                <c:pt idx="705">
                  <c:v>66.442262567502482</c:v>
                </c:pt>
                <c:pt idx="706">
                  <c:v>66.423550604090039</c:v>
                </c:pt>
                <c:pt idx="707">
                  <c:v>66.404838640677596</c:v>
                </c:pt>
                <c:pt idx="708">
                  <c:v>66.386126677265139</c:v>
                </c:pt>
                <c:pt idx="709">
                  <c:v>66.367414713852696</c:v>
                </c:pt>
                <c:pt idx="710">
                  <c:v>66.348702750440253</c:v>
                </c:pt>
                <c:pt idx="711">
                  <c:v>66.32999078702781</c:v>
                </c:pt>
                <c:pt idx="712">
                  <c:v>66.311278823615353</c:v>
                </c:pt>
                <c:pt idx="713">
                  <c:v>66.292566860202911</c:v>
                </c:pt>
                <c:pt idx="714">
                  <c:v>66.273854896790468</c:v>
                </c:pt>
                <c:pt idx="715">
                  <c:v>66.255142933378025</c:v>
                </c:pt>
                <c:pt idx="716">
                  <c:v>66.236430969965568</c:v>
                </c:pt>
                <c:pt idx="717">
                  <c:v>66.217719006553125</c:v>
                </c:pt>
                <c:pt idx="718">
                  <c:v>66.199007043140682</c:v>
                </c:pt>
                <c:pt idx="719">
                  <c:v>66.180295079728239</c:v>
                </c:pt>
                <c:pt idx="720">
                  <c:v>66.161583116315782</c:v>
                </c:pt>
                <c:pt idx="721">
                  <c:v>66.142871152903339</c:v>
                </c:pt>
                <c:pt idx="722">
                  <c:v>66.124159189490896</c:v>
                </c:pt>
                <c:pt idx="723">
                  <c:v>66.105447226078439</c:v>
                </c:pt>
                <c:pt idx="724">
                  <c:v>66.086735262665997</c:v>
                </c:pt>
                <c:pt idx="725">
                  <c:v>66.068023299253554</c:v>
                </c:pt>
                <c:pt idx="726">
                  <c:v>66.049311335841111</c:v>
                </c:pt>
                <c:pt idx="727">
                  <c:v>66.030599372428654</c:v>
                </c:pt>
                <c:pt idx="728">
                  <c:v>66.011887409016211</c:v>
                </c:pt>
                <c:pt idx="729">
                  <c:v>65.993175445603768</c:v>
                </c:pt>
                <c:pt idx="730">
                  <c:v>65.974463482191311</c:v>
                </c:pt>
                <c:pt idx="731">
                  <c:v>65.955751518778868</c:v>
                </c:pt>
                <c:pt idx="732">
                  <c:v>65.937039555366425</c:v>
                </c:pt>
                <c:pt idx="733">
                  <c:v>65.918327591953982</c:v>
                </c:pt>
                <c:pt idx="734">
                  <c:v>65.89961562854154</c:v>
                </c:pt>
                <c:pt idx="735">
                  <c:v>65.880903665129082</c:v>
                </c:pt>
                <c:pt idx="736">
                  <c:v>65.86219170171664</c:v>
                </c:pt>
                <c:pt idx="737">
                  <c:v>65.843479738304197</c:v>
                </c:pt>
                <c:pt idx="738">
                  <c:v>65.82476777489174</c:v>
                </c:pt>
                <c:pt idx="739">
                  <c:v>65.806055811479297</c:v>
                </c:pt>
                <c:pt idx="740">
                  <c:v>65.787343848066854</c:v>
                </c:pt>
                <c:pt idx="741">
                  <c:v>65.768631884654411</c:v>
                </c:pt>
                <c:pt idx="742">
                  <c:v>65.749919921241954</c:v>
                </c:pt>
                <c:pt idx="743">
                  <c:v>65.731207957829511</c:v>
                </c:pt>
                <c:pt idx="744">
                  <c:v>65.712495994417068</c:v>
                </c:pt>
                <c:pt idx="745">
                  <c:v>65.693784031004611</c:v>
                </c:pt>
                <c:pt idx="746">
                  <c:v>65.675072067592168</c:v>
                </c:pt>
                <c:pt idx="747">
                  <c:v>65.656360104179726</c:v>
                </c:pt>
                <c:pt idx="748">
                  <c:v>65.637648140767283</c:v>
                </c:pt>
                <c:pt idx="749">
                  <c:v>65.618936177354826</c:v>
                </c:pt>
                <c:pt idx="750">
                  <c:v>65.600224213942383</c:v>
                </c:pt>
                <c:pt idx="751">
                  <c:v>65.58151225052994</c:v>
                </c:pt>
                <c:pt idx="752">
                  <c:v>65.562800287117497</c:v>
                </c:pt>
                <c:pt idx="753">
                  <c:v>65.54408832370504</c:v>
                </c:pt>
                <c:pt idx="754">
                  <c:v>65.525376360292597</c:v>
                </c:pt>
                <c:pt idx="755">
                  <c:v>65.506664396880154</c:v>
                </c:pt>
                <c:pt idx="756">
                  <c:v>65.487952433467711</c:v>
                </c:pt>
                <c:pt idx="757">
                  <c:v>65.469240470055254</c:v>
                </c:pt>
                <c:pt idx="758">
                  <c:v>65.450528506642812</c:v>
                </c:pt>
                <c:pt idx="759">
                  <c:v>65.431816543230369</c:v>
                </c:pt>
                <c:pt idx="760">
                  <c:v>65.413104579817912</c:v>
                </c:pt>
                <c:pt idx="761">
                  <c:v>65.394392616405469</c:v>
                </c:pt>
                <c:pt idx="762">
                  <c:v>65.375680652993026</c:v>
                </c:pt>
                <c:pt idx="763">
                  <c:v>65.356968689580583</c:v>
                </c:pt>
                <c:pt idx="764">
                  <c:v>65.338256726168126</c:v>
                </c:pt>
                <c:pt idx="765">
                  <c:v>65.319544762755683</c:v>
                </c:pt>
                <c:pt idx="766">
                  <c:v>65.30083279934324</c:v>
                </c:pt>
                <c:pt idx="767">
                  <c:v>65.282120835930783</c:v>
                </c:pt>
                <c:pt idx="768">
                  <c:v>65.26340887251834</c:v>
                </c:pt>
                <c:pt idx="769">
                  <c:v>65.244696909105897</c:v>
                </c:pt>
                <c:pt idx="770">
                  <c:v>65.225984945693455</c:v>
                </c:pt>
                <c:pt idx="771">
                  <c:v>65.207272982280998</c:v>
                </c:pt>
                <c:pt idx="772">
                  <c:v>65.188561018868555</c:v>
                </c:pt>
                <c:pt idx="773">
                  <c:v>65.169849055456112</c:v>
                </c:pt>
                <c:pt idx="774">
                  <c:v>65.151137092043669</c:v>
                </c:pt>
                <c:pt idx="775">
                  <c:v>65.132425128631212</c:v>
                </c:pt>
                <c:pt idx="776">
                  <c:v>65.113713165218769</c:v>
                </c:pt>
                <c:pt idx="777">
                  <c:v>65.095001201806326</c:v>
                </c:pt>
                <c:pt idx="778">
                  <c:v>65.076289238393883</c:v>
                </c:pt>
                <c:pt idx="779">
                  <c:v>65.057577274981426</c:v>
                </c:pt>
                <c:pt idx="780">
                  <c:v>65.038865311568983</c:v>
                </c:pt>
                <c:pt idx="781">
                  <c:v>65.020153348156541</c:v>
                </c:pt>
                <c:pt idx="782">
                  <c:v>65.001441384744084</c:v>
                </c:pt>
                <c:pt idx="783">
                  <c:v>64.982729421331641</c:v>
                </c:pt>
                <c:pt idx="784">
                  <c:v>64.964017457919198</c:v>
                </c:pt>
                <c:pt idx="785">
                  <c:v>64.945305494506755</c:v>
                </c:pt>
                <c:pt idx="786">
                  <c:v>64.926593531094298</c:v>
                </c:pt>
                <c:pt idx="787">
                  <c:v>64.907881567681855</c:v>
                </c:pt>
                <c:pt idx="788">
                  <c:v>64.889169604269412</c:v>
                </c:pt>
                <c:pt idx="789">
                  <c:v>64.870457640856955</c:v>
                </c:pt>
                <c:pt idx="790">
                  <c:v>64.851745677444512</c:v>
                </c:pt>
                <c:pt idx="791">
                  <c:v>64.833033714032069</c:v>
                </c:pt>
                <c:pt idx="792">
                  <c:v>64.814321750619627</c:v>
                </c:pt>
                <c:pt idx="793">
                  <c:v>64.795609787207184</c:v>
                </c:pt>
                <c:pt idx="794">
                  <c:v>64.776897823794727</c:v>
                </c:pt>
                <c:pt idx="795">
                  <c:v>64.758185860382284</c:v>
                </c:pt>
                <c:pt idx="796">
                  <c:v>64.739473896969841</c:v>
                </c:pt>
                <c:pt idx="797">
                  <c:v>64.720761933557384</c:v>
                </c:pt>
                <c:pt idx="798">
                  <c:v>64.702049970144941</c:v>
                </c:pt>
                <c:pt idx="799">
                  <c:v>64.683338006732498</c:v>
                </c:pt>
                <c:pt idx="800">
                  <c:v>64.664626043320055</c:v>
                </c:pt>
                <c:pt idx="801">
                  <c:v>64.645914079907598</c:v>
                </c:pt>
                <c:pt idx="802">
                  <c:v>64.627202116495155</c:v>
                </c:pt>
                <c:pt idx="803">
                  <c:v>64.608490153082712</c:v>
                </c:pt>
                <c:pt idx="804">
                  <c:v>64.589778189670255</c:v>
                </c:pt>
                <c:pt idx="805">
                  <c:v>64.571066226257813</c:v>
                </c:pt>
                <c:pt idx="806">
                  <c:v>64.55235426284537</c:v>
                </c:pt>
                <c:pt idx="807">
                  <c:v>64.533642299432927</c:v>
                </c:pt>
                <c:pt idx="808">
                  <c:v>64.51493033602047</c:v>
                </c:pt>
                <c:pt idx="809">
                  <c:v>64.496218372608027</c:v>
                </c:pt>
                <c:pt idx="810">
                  <c:v>64.477506409195584</c:v>
                </c:pt>
                <c:pt idx="811">
                  <c:v>64.458794445783127</c:v>
                </c:pt>
                <c:pt idx="812">
                  <c:v>64.440082482370684</c:v>
                </c:pt>
                <c:pt idx="813">
                  <c:v>64.421370518958241</c:v>
                </c:pt>
                <c:pt idx="814">
                  <c:v>64.402658555545798</c:v>
                </c:pt>
                <c:pt idx="815">
                  <c:v>64.383946592133356</c:v>
                </c:pt>
                <c:pt idx="816">
                  <c:v>64.365234628720899</c:v>
                </c:pt>
                <c:pt idx="817">
                  <c:v>64.346522665308456</c:v>
                </c:pt>
                <c:pt idx="818">
                  <c:v>64.327810701896013</c:v>
                </c:pt>
                <c:pt idx="819">
                  <c:v>64.309098738483556</c:v>
                </c:pt>
                <c:pt idx="820">
                  <c:v>64.290386775071113</c:v>
                </c:pt>
                <c:pt idx="821">
                  <c:v>64.27167481165867</c:v>
                </c:pt>
                <c:pt idx="822">
                  <c:v>64.252962848246227</c:v>
                </c:pt>
                <c:pt idx="823">
                  <c:v>64.23425088483377</c:v>
                </c:pt>
                <c:pt idx="824">
                  <c:v>64.215538921421327</c:v>
                </c:pt>
                <c:pt idx="825">
                  <c:v>64.196826958008884</c:v>
                </c:pt>
                <c:pt idx="826">
                  <c:v>64.178114994596427</c:v>
                </c:pt>
                <c:pt idx="827">
                  <c:v>64.159403031183984</c:v>
                </c:pt>
                <c:pt idx="828">
                  <c:v>64.140691067771542</c:v>
                </c:pt>
                <c:pt idx="829">
                  <c:v>64.121979104359099</c:v>
                </c:pt>
                <c:pt idx="830">
                  <c:v>64.103267140946642</c:v>
                </c:pt>
                <c:pt idx="831">
                  <c:v>64.084555177534199</c:v>
                </c:pt>
                <c:pt idx="832">
                  <c:v>64.065843214121756</c:v>
                </c:pt>
                <c:pt idx="833">
                  <c:v>64.047131250709313</c:v>
                </c:pt>
                <c:pt idx="834">
                  <c:v>64.028419287296856</c:v>
                </c:pt>
                <c:pt idx="835">
                  <c:v>64.009707323884413</c:v>
                </c:pt>
                <c:pt idx="836">
                  <c:v>63.99099536047197</c:v>
                </c:pt>
                <c:pt idx="837">
                  <c:v>63.972283397059527</c:v>
                </c:pt>
                <c:pt idx="838">
                  <c:v>63.95357143364707</c:v>
                </c:pt>
                <c:pt idx="839">
                  <c:v>63.934859470234628</c:v>
                </c:pt>
                <c:pt idx="840">
                  <c:v>63.916147506822185</c:v>
                </c:pt>
                <c:pt idx="841">
                  <c:v>63.897435543409728</c:v>
                </c:pt>
                <c:pt idx="842">
                  <c:v>63.878723579997285</c:v>
                </c:pt>
                <c:pt idx="843">
                  <c:v>63.860011616584842</c:v>
                </c:pt>
                <c:pt idx="844">
                  <c:v>63.841299653172399</c:v>
                </c:pt>
                <c:pt idx="845">
                  <c:v>63.822587689759942</c:v>
                </c:pt>
                <c:pt idx="846">
                  <c:v>63.803875726347499</c:v>
                </c:pt>
                <c:pt idx="847">
                  <c:v>63.785163762935056</c:v>
                </c:pt>
                <c:pt idx="848">
                  <c:v>63.766451799522599</c:v>
                </c:pt>
                <c:pt idx="849">
                  <c:v>63.747739836110156</c:v>
                </c:pt>
                <c:pt idx="850">
                  <c:v>63.729027872697714</c:v>
                </c:pt>
                <c:pt idx="851">
                  <c:v>63.710315909285271</c:v>
                </c:pt>
                <c:pt idx="852">
                  <c:v>63.691603945872814</c:v>
                </c:pt>
                <c:pt idx="853">
                  <c:v>63.672891982460371</c:v>
                </c:pt>
                <c:pt idx="854">
                  <c:v>63.654180019047928</c:v>
                </c:pt>
                <c:pt idx="855">
                  <c:v>63.635468055635471</c:v>
                </c:pt>
                <c:pt idx="856">
                  <c:v>63.616756092223028</c:v>
                </c:pt>
                <c:pt idx="857">
                  <c:v>63.598044128810585</c:v>
                </c:pt>
                <c:pt idx="858">
                  <c:v>63.579332165398142</c:v>
                </c:pt>
                <c:pt idx="859">
                  <c:v>63.560620201985699</c:v>
                </c:pt>
                <c:pt idx="860">
                  <c:v>63.541908238573242</c:v>
                </c:pt>
                <c:pt idx="861">
                  <c:v>63.523196275160799</c:v>
                </c:pt>
                <c:pt idx="862">
                  <c:v>63.504484311748357</c:v>
                </c:pt>
                <c:pt idx="863">
                  <c:v>63.4857723483359</c:v>
                </c:pt>
                <c:pt idx="864">
                  <c:v>63.467060384923457</c:v>
                </c:pt>
                <c:pt idx="865">
                  <c:v>63.448348421511014</c:v>
                </c:pt>
                <c:pt idx="866">
                  <c:v>63.429636458098571</c:v>
                </c:pt>
                <c:pt idx="867">
                  <c:v>63.410924494686114</c:v>
                </c:pt>
                <c:pt idx="868">
                  <c:v>63.392212531273671</c:v>
                </c:pt>
                <c:pt idx="869">
                  <c:v>63.373500567861228</c:v>
                </c:pt>
                <c:pt idx="870">
                  <c:v>63.354788604448771</c:v>
                </c:pt>
                <c:pt idx="871">
                  <c:v>63.336076641036328</c:v>
                </c:pt>
                <c:pt idx="872">
                  <c:v>63.317364677623885</c:v>
                </c:pt>
                <c:pt idx="873">
                  <c:v>63.298652714211443</c:v>
                </c:pt>
                <c:pt idx="874">
                  <c:v>63.279940750799</c:v>
                </c:pt>
                <c:pt idx="875">
                  <c:v>63.261228787386543</c:v>
                </c:pt>
                <c:pt idx="876">
                  <c:v>63.2425168239741</c:v>
                </c:pt>
                <c:pt idx="877">
                  <c:v>63.223804860561657</c:v>
                </c:pt>
                <c:pt idx="878">
                  <c:v>63.2050928971492</c:v>
                </c:pt>
                <c:pt idx="879">
                  <c:v>63.186380933736757</c:v>
                </c:pt>
                <c:pt idx="880">
                  <c:v>63.167668970324314</c:v>
                </c:pt>
                <c:pt idx="881">
                  <c:v>63.148957006911871</c:v>
                </c:pt>
                <c:pt idx="882">
                  <c:v>63.130245043499414</c:v>
                </c:pt>
                <c:pt idx="883">
                  <c:v>63.111533080086971</c:v>
                </c:pt>
                <c:pt idx="884">
                  <c:v>63.092821116674529</c:v>
                </c:pt>
                <c:pt idx="885">
                  <c:v>63.074109153262071</c:v>
                </c:pt>
                <c:pt idx="886">
                  <c:v>63.055397189849629</c:v>
                </c:pt>
                <c:pt idx="887">
                  <c:v>63.036685226437186</c:v>
                </c:pt>
                <c:pt idx="888">
                  <c:v>63.017973263024743</c:v>
                </c:pt>
                <c:pt idx="889">
                  <c:v>62.9992612996123</c:v>
                </c:pt>
                <c:pt idx="890">
                  <c:v>62.980549336199843</c:v>
                </c:pt>
                <c:pt idx="891">
                  <c:v>62.9618373727874</c:v>
                </c:pt>
                <c:pt idx="892">
                  <c:v>62.943125409374943</c:v>
                </c:pt>
                <c:pt idx="893">
                  <c:v>62.9244134459625</c:v>
                </c:pt>
                <c:pt idx="894">
                  <c:v>62.905701482550057</c:v>
                </c:pt>
                <c:pt idx="895">
                  <c:v>62.886989519137614</c:v>
                </c:pt>
                <c:pt idx="896">
                  <c:v>62.868277555725172</c:v>
                </c:pt>
                <c:pt idx="897">
                  <c:v>62.849565592312715</c:v>
                </c:pt>
                <c:pt idx="898">
                  <c:v>62.830853628900272</c:v>
                </c:pt>
                <c:pt idx="899">
                  <c:v>62.812141665487829</c:v>
                </c:pt>
                <c:pt idx="900">
                  <c:v>62.793429702075372</c:v>
                </c:pt>
                <c:pt idx="901">
                  <c:v>62.774717738662929</c:v>
                </c:pt>
                <c:pt idx="902">
                  <c:v>62.756005775250486</c:v>
                </c:pt>
                <c:pt idx="903">
                  <c:v>62.737293811838043</c:v>
                </c:pt>
                <c:pt idx="904">
                  <c:v>62.718581848425586</c:v>
                </c:pt>
                <c:pt idx="905">
                  <c:v>62.699869885013143</c:v>
                </c:pt>
                <c:pt idx="906">
                  <c:v>62.6811579216007</c:v>
                </c:pt>
                <c:pt idx="907">
                  <c:v>62.662445958188243</c:v>
                </c:pt>
                <c:pt idx="908">
                  <c:v>62.643733994775801</c:v>
                </c:pt>
                <c:pt idx="909">
                  <c:v>62.625022031363358</c:v>
                </c:pt>
                <c:pt idx="910">
                  <c:v>62.606310067950915</c:v>
                </c:pt>
                <c:pt idx="911">
                  <c:v>62.587598104538472</c:v>
                </c:pt>
                <c:pt idx="912">
                  <c:v>62.568886141126015</c:v>
                </c:pt>
                <c:pt idx="913">
                  <c:v>62.550174177713572</c:v>
                </c:pt>
                <c:pt idx="914">
                  <c:v>62.531462214301115</c:v>
                </c:pt>
                <c:pt idx="915">
                  <c:v>62.512750250888672</c:v>
                </c:pt>
                <c:pt idx="916">
                  <c:v>62.494038287476229</c:v>
                </c:pt>
                <c:pt idx="917">
                  <c:v>62.475326324063786</c:v>
                </c:pt>
                <c:pt idx="918">
                  <c:v>62.456614360651344</c:v>
                </c:pt>
                <c:pt idx="919">
                  <c:v>62.437902397238886</c:v>
                </c:pt>
                <c:pt idx="920">
                  <c:v>62.419190433826444</c:v>
                </c:pt>
                <c:pt idx="921">
                  <c:v>62.400478470414001</c:v>
                </c:pt>
                <c:pt idx="922">
                  <c:v>62.381766507001544</c:v>
                </c:pt>
                <c:pt idx="923">
                  <c:v>62.363054543589101</c:v>
                </c:pt>
                <c:pt idx="924">
                  <c:v>62.344342580176658</c:v>
                </c:pt>
                <c:pt idx="925">
                  <c:v>62.325630616764215</c:v>
                </c:pt>
                <c:pt idx="926">
                  <c:v>62.306918653351758</c:v>
                </c:pt>
                <c:pt idx="927">
                  <c:v>62.288206689939315</c:v>
                </c:pt>
                <c:pt idx="928">
                  <c:v>62.269494726526872</c:v>
                </c:pt>
                <c:pt idx="929">
                  <c:v>62.250782763114415</c:v>
                </c:pt>
                <c:pt idx="930">
                  <c:v>62.232070799701972</c:v>
                </c:pt>
                <c:pt idx="931">
                  <c:v>62.21335883628953</c:v>
                </c:pt>
                <c:pt idx="932">
                  <c:v>62.194646872877087</c:v>
                </c:pt>
                <c:pt idx="933">
                  <c:v>62.175934909464644</c:v>
                </c:pt>
                <c:pt idx="934">
                  <c:v>62.157222946052187</c:v>
                </c:pt>
                <c:pt idx="935">
                  <c:v>62.138510982639744</c:v>
                </c:pt>
                <c:pt idx="936">
                  <c:v>62.119799019227287</c:v>
                </c:pt>
                <c:pt idx="937">
                  <c:v>62.101087055814844</c:v>
                </c:pt>
                <c:pt idx="938">
                  <c:v>62.082375092402401</c:v>
                </c:pt>
                <c:pt idx="939">
                  <c:v>62.063663128989958</c:v>
                </c:pt>
                <c:pt idx="940">
                  <c:v>62.044951165577515</c:v>
                </c:pt>
                <c:pt idx="941">
                  <c:v>62.026239202165058</c:v>
                </c:pt>
                <c:pt idx="942">
                  <c:v>62.007527238752616</c:v>
                </c:pt>
                <c:pt idx="943">
                  <c:v>61.988815275340173</c:v>
                </c:pt>
                <c:pt idx="944">
                  <c:v>61.970103311927716</c:v>
                </c:pt>
                <c:pt idx="945">
                  <c:v>61.951391348515273</c:v>
                </c:pt>
                <c:pt idx="946">
                  <c:v>61.93267938510283</c:v>
                </c:pt>
                <c:pt idx="947">
                  <c:v>61.913967421690387</c:v>
                </c:pt>
                <c:pt idx="948">
                  <c:v>61.89525545827793</c:v>
                </c:pt>
                <c:pt idx="949">
                  <c:v>61.876543494865487</c:v>
                </c:pt>
                <c:pt idx="950">
                  <c:v>61.857831531453044</c:v>
                </c:pt>
                <c:pt idx="951">
                  <c:v>61.839119568040587</c:v>
                </c:pt>
                <c:pt idx="952">
                  <c:v>61.820407604628144</c:v>
                </c:pt>
                <c:pt idx="953">
                  <c:v>61.801695641215701</c:v>
                </c:pt>
                <c:pt idx="954">
                  <c:v>61.782983677803259</c:v>
                </c:pt>
                <c:pt idx="955">
                  <c:v>61.764271714390816</c:v>
                </c:pt>
                <c:pt idx="956">
                  <c:v>61.745559750978359</c:v>
                </c:pt>
                <c:pt idx="957">
                  <c:v>61.726847787565916</c:v>
                </c:pt>
                <c:pt idx="958">
                  <c:v>61.708135824153473</c:v>
                </c:pt>
                <c:pt idx="959">
                  <c:v>61.689423860741016</c:v>
                </c:pt>
                <c:pt idx="960">
                  <c:v>61.670711897328573</c:v>
                </c:pt>
                <c:pt idx="961">
                  <c:v>61.65199993391613</c:v>
                </c:pt>
                <c:pt idx="962">
                  <c:v>61.633287970503687</c:v>
                </c:pt>
                <c:pt idx="963">
                  <c:v>61.61457600709123</c:v>
                </c:pt>
                <c:pt idx="964">
                  <c:v>61.595864043678787</c:v>
                </c:pt>
                <c:pt idx="965">
                  <c:v>61.577152080266345</c:v>
                </c:pt>
                <c:pt idx="966">
                  <c:v>61.558440116853888</c:v>
                </c:pt>
                <c:pt idx="967">
                  <c:v>61.539728153441445</c:v>
                </c:pt>
                <c:pt idx="968">
                  <c:v>61.521016190029002</c:v>
                </c:pt>
                <c:pt idx="969">
                  <c:v>61.502304226616559</c:v>
                </c:pt>
                <c:pt idx="970">
                  <c:v>61.483592263204116</c:v>
                </c:pt>
                <c:pt idx="971">
                  <c:v>61.464880299791659</c:v>
                </c:pt>
                <c:pt idx="972">
                  <c:v>61.446168336379216</c:v>
                </c:pt>
                <c:pt idx="973">
                  <c:v>61.427456372966759</c:v>
                </c:pt>
                <c:pt idx="974">
                  <c:v>61.408744409554316</c:v>
                </c:pt>
                <c:pt idx="975">
                  <c:v>61.390032446141873</c:v>
                </c:pt>
                <c:pt idx="976">
                  <c:v>61.371320482729431</c:v>
                </c:pt>
                <c:pt idx="977">
                  <c:v>61.352608519316988</c:v>
                </c:pt>
                <c:pt idx="978">
                  <c:v>61.333896555904531</c:v>
                </c:pt>
                <c:pt idx="979">
                  <c:v>61.315184592492088</c:v>
                </c:pt>
                <c:pt idx="980">
                  <c:v>61.296472629079645</c:v>
                </c:pt>
                <c:pt idx="981">
                  <c:v>61.277760665667195</c:v>
                </c:pt>
                <c:pt idx="982">
                  <c:v>61.259048702254745</c:v>
                </c:pt>
                <c:pt idx="983">
                  <c:v>61.240336738842302</c:v>
                </c:pt>
                <c:pt idx="984">
                  <c:v>61.221624775429852</c:v>
                </c:pt>
                <c:pt idx="985">
                  <c:v>61.202912812017402</c:v>
                </c:pt>
                <c:pt idx="986">
                  <c:v>61.184200848604959</c:v>
                </c:pt>
                <c:pt idx="987">
                  <c:v>61.165488885192516</c:v>
                </c:pt>
                <c:pt idx="988">
                  <c:v>61.146776921780067</c:v>
                </c:pt>
                <c:pt idx="989">
                  <c:v>61.128064958367617</c:v>
                </c:pt>
                <c:pt idx="990">
                  <c:v>61.109352994955174</c:v>
                </c:pt>
                <c:pt idx="991">
                  <c:v>61.090641031542731</c:v>
                </c:pt>
                <c:pt idx="992">
                  <c:v>61.071929068130281</c:v>
                </c:pt>
                <c:pt idx="993">
                  <c:v>61.053217104717831</c:v>
                </c:pt>
                <c:pt idx="994">
                  <c:v>61.034505141305388</c:v>
                </c:pt>
                <c:pt idx="995">
                  <c:v>61.015793177892938</c:v>
                </c:pt>
                <c:pt idx="996">
                  <c:v>60.997081214480488</c:v>
                </c:pt>
                <c:pt idx="997">
                  <c:v>60.978369251068045</c:v>
                </c:pt>
                <c:pt idx="998">
                  <c:v>60.959657287655602</c:v>
                </c:pt>
                <c:pt idx="999">
                  <c:v>60.940945324243152</c:v>
                </c:pt>
                <c:pt idx="1000">
                  <c:v>60.922233360830703</c:v>
                </c:pt>
                <c:pt idx="1001">
                  <c:v>60.90352139741826</c:v>
                </c:pt>
                <c:pt idx="1002">
                  <c:v>60.884809434005817</c:v>
                </c:pt>
                <c:pt idx="1003">
                  <c:v>60.866097470593367</c:v>
                </c:pt>
                <c:pt idx="1004">
                  <c:v>60.847385507180917</c:v>
                </c:pt>
                <c:pt idx="1005">
                  <c:v>60.828673543768474</c:v>
                </c:pt>
                <c:pt idx="1006">
                  <c:v>60.809961580356024</c:v>
                </c:pt>
                <c:pt idx="1007">
                  <c:v>60.791249616943574</c:v>
                </c:pt>
                <c:pt idx="1008">
                  <c:v>60.772537653531131</c:v>
                </c:pt>
                <c:pt idx="1009">
                  <c:v>60.753825690118688</c:v>
                </c:pt>
                <c:pt idx="1010">
                  <c:v>60.735113726706238</c:v>
                </c:pt>
                <c:pt idx="1011">
                  <c:v>60.716401763293788</c:v>
                </c:pt>
                <c:pt idx="1012">
                  <c:v>60.697689799881346</c:v>
                </c:pt>
                <c:pt idx="1013">
                  <c:v>60.678977836468903</c:v>
                </c:pt>
                <c:pt idx="1014">
                  <c:v>60.660265873056453</c:v>
                </c:pt>
                <c:pt idx="1015">
                  <c:v>60.641553909644003</c:v>
                </c:pt>
                <c:pt idx="1016">
                  <c:v>60.62284194623156</c:v>
                </c:pt>
                <c:pt idx="1017">
                  <c:v>60.604129982819117</c:v>
                </c:pt>
                <c:pt idx="1018">
                  <c:v>60.58541801940666</c:v>
                </c:pt>
                <c:pt idx="1019">
                  <c:v>60.566706055994217</c:v>
                </c:pt>
                <c:pt idx="1020">
                  <c:v>60.547994092581774</c:v>
                </c:pt>
                <c:pt idx="1021">
                  <c:v>60.529282129169324</c:v>
                </c:pt>
                <c:pt idx="1022">
                  <c:v>60.510570165756874</c:v>
                </c:pt>
                <c:pt idx="1023">
                  <c:v>60.491858202344432</c:v>
                </c:pt>
                <c:pt idx="1024">
                  <c:v>60.473146238931989</c:v>
                </c:pt>
                <c:pt idx="1025">
                  <c:v>60.454434275519539</c:v>
                </c:pt>
                <c:pt idx="1026">
                  <c:v>60.435722312107089</c:v>
                </c:pt>
                <c:pt idx="1027">
                  <c:v>60.417010348694646</c:v>
                </c:pt>
                <c:pt idx="1028">
                  <c:v>60.398298385282203</c:v>
                </c:pt>
                <c:pt idx="1029">
                  <c:v>60.379586421869746</c:v>
                </c:pt>
                <c:pt idx="1030">
                  <c:v>60.360874458457303</c:v>
                </c:pt>
                <c:pt idx="1031">
                  <c:v>60.34216249504486</c:v>
                </c:pt>
                <c:pt idx="1032">
                  <c:v>60.32345053163241</c:v>
                </c:pt>
                <c:pt idx="1033">
                  <c:v>60.30473856821996</c:v>
                </c:pt>
                <c:pt idx="1034">
                  <c:v>60.286026604807518</c:v>
                </c:pt>
                <c:pt idx="1035">
                  <c:v>60.267314641395075</c:v>
                </c:pt>
                <c:pt idx="1036">
                  <c:v>60.248602677982625</c:v>
                </c:pt>
                <c:pt idx="1037">
                  <c:v>60.229890714570175</c:v>
                </c:pt>
                <c:pt idx="1038">
                  <c:v>60.211178751157732</c:v>
                </c:pt>
                <c:pt idx="1039">
                  <c:v>60.192466787745289</c:v>
                </c:pt>
                <c:pt idx="1040">
                  <c:v>60.173754824332839</c:v>
                </c:pt>
                <c:pt idx="1041">
                  <c:v>60.155042860920389</c:v>
                </c:pt>
                <c:pt idx="1042">
                  <c:v>60.136330897507946</c:v>
                </c:pt>
                <c:pt idx="1043">
                  <c:v>60.117618934095496</c:v>
                </c:pt>
                <c:pt idx="1044">
                  <c:v>60.098906970683046</c:v>
                </c:pt>
                <c:pt idx="1045">
                  <c:v>60.080195007270603</c:v>
                </c:pt>
                <c:pt idx="1046">
                  <c:v>60.061483043858161</c:v>
                </c:pt>
                <c:pt idx="1047">
                  <c:v>60.042771080445711</c:v>
                </c:pt>
                <c:pt idx="1048">
                  <c:v>60.024059117033261</c:v>
                </c:pt>
                <c:pt idx="1049">
                  <c:v>60.005347153620818</c:v>
                </c:pt>
                <c:pt idx="1050">
                  <c:v>59.986635190208375</c:v>
                </c:pt>
                <c:pt idx="1051">
                  <c:v>59.967923226795925</c:v>
                </c:pt>
                <c:pt idx="1052">
                  <c:v>59.949211263383475</c:v>
                </c:pt>
                <c:pt idx="1053">
                  <c:v>59.930499299971032</c:v>
                </c:pt>
                <c:pt idx="1054">
                  <c:v>59.911787336558582</c:v>
                </c:pt>
                <c:pt idx="1055">
                  <c:v>59.893075373146132</c:v>
                </c:pt>
                <c:pt idx="1056">
                  <c:v>59.874363409733689</c:v>
                </c:pt>
                <c:pt idx="1057">
                  <c:v>59.855651446321247</c:v>
                </c:pt>
                <c:pt idx="1058">
                  <c:v>59.836939482908797</c:v>
                </c:pt>
                <c:pt idx="1059">
                  <c:v>59.818227519496347</c:v>
                </c:pt>
                <c:pt idx="1060">
                  <c:v>59.799515556083904</c:v>
                </c:pt>
                <c:pt idx="1061">
                  <c:v>59.780803592671461</c:v>
                </c:pt>
                <c:pt idx="1062">
                  <c:v>59.762091629259011</c:v>
                </c:pt>
                <c:pt idx="1063">
                  <c:v>59.743379665846561</c:v>
                </c:pt>
                <c:pt idx="1064">
                  <c:v>59.724667702434118</c:v>
                </c:pt>
                <c:pt idx="1065">
                  <c:v>59.705955739021668</c:v>
                </c:pt>
                <c:pt idx="1066">
                  <c:v>59.687243775609218</c:v>
                </c:pt>
                <c:pt idx="1067">
                  <c:v>59.668531812196775</c:v>
                </c:pt>
                <c:pt idx="1068">
                  <c:v>59.649819848784333</c:v>
                </c:pt>
                <c:pt idx="1069">
                  <c:v>59.631107885371883</c:v>
                </c:pt>
                <c:pt idx="1070">
                  <c:v>59.612395921959433</c:v>
                </c:pt>
                <c:pt idx="1071">
                  <c:v>59.59368395854699</c:v>
                </c:pt>
                <c:pt idx="1072">
                  <c:v>59.574971995134547</c:v>
                </c:pt>
                <c:pt idx="1073">
                  <c:v>59.556260031722097</c:v>
                </c:pt>
                <c:pt idx="1074">
                  <c:v>59.537548068309647</c:v>
                </c:pt>
                <c:pt idx="1075">
                  <c:v>59.518836104897204</c:v>
                </c:pt>
                <c:pt idx="1076">
                  <c:v>59.500124141484754</c:v>
                </c:pt>
                <c:pt idx="1077">
                  <c:v>59.481412178072304</c:v>
                </c:pt>
                <c:pt idx="1078">
                  <c:v>59.462700214659861</c:v>
                </c:pt>
                <c:pt idx="1079">
                  <c:v>59.443988251247418</c:v>
                </c:pt>
                <c:pt idx="1080">
                  <c:v>59.425276287834969</c:v>
                </c:pt>
                <c:pt idx="1081">
                  <c:v>59.406564324422519</c:v>
                </c:pt>
                <c:pt idx="1082">
                  <c:v>59.387852361010076</c:v>
                </c:pt>
                <c:pt idx="1083">
                  <c:v>59.369140397597633</c:v>
                </c:pt>
                <c:pt idx="1084">
                  <c:v>59.350428434185183</c:v>
                </c:pt>
                <c:pt idx="1085">
                  <c:v>59.331716470772733</c:v>
                </c:pt>
                <c:pt idx="1086">
                  <c:v>59.31300450736029</c:v>
                </c:pt>
                <c:pt idx="1087">
                  <c:v>59.29429254394784</c:v>
                </c:pt>
                <c:pt idx="1088">
                  <c:v>59.27558058053539</c:v>
                </c:pt>
                <c:pt idx="1089">
                  <c:v>59.256868617122947</c:v>
                </c:pt>
                <c:pt idx="1090">
                  <c:v>59.238156653710504</c:v>
                </c:pt>
                <c:pt idx="1091">
                  <c:v>59.219444690298054</c:v>
                </c:pt>
                <c:pt idx="1092">
                  <c:v>59.200732726885605</c:v>
                </c:pt>
                <c:pt idx="1093">
                  <c:v>59.182020763473162</c:v>
                </c:pt>
                <c:pt idx="1094">
                  <c:v>59.163308800060719</c:v>
                </c:pt>
                <c:pt idx="1095">
                  <c:v>59.144596836648269</c:v>
                </c:pt>
                <c:pt idx="1096">
                  <c:v>59.125884873235819</c:v>
                </c:pt>
                <c:pt idx="1097">
                  <c:v>59.107172909823376</c:v>
                </c:pt>
                <c:pt idx="1098">
                  <c:v>59.088460946410933</c:v>
                </c:pt>
                <c:pt idx="1099">
                  <c:v>59.069748982998476</c:v>
                </c:pt>
                <c:pt idx="1100">
                  <c:v>59.051037019586033</c:v>
                </c:pt>
                <c:pt idx="1101">
                  <c:v>59.03232505617359</c:v>
                </c:pt>
                <c:pt idx="1102">
                  <c:v>59.01361309276114</c:v>
                </c:pt>
                <c:pt idx="1103">
                  <c:v>58.99490112934869</c:v>
                </c:pt>
                <c:pt idx="1104">
                  <c:v>58.976189165936248</c:v>
                </c:pt>
                <c:pt idx="1105">
                  <c:v>58.957477202523805</c:v>
                </c:pt>
                <c:pt idx="1106">
                  <c:v>58.938765239111355</c:v>
                </c:pt>
                <c:pt idx="1107">
                  <c:v>58.920053275698905</c:v>
                </c:pt>
                <c:pt idx="1108">
                  <c:v>58.901341312286462</c:v>
                </c:pt>
                <c:pt idx="1109">
                  <c:v>58.882629348874019</c:v>
                </c:pt>
                <c:pt idx="1110">
                  <c:v>58.863917385461569</c:v>
                </c:pt>
                <c:pt idx="1111">
                  <c:v>58.845205422049119</c:v>
                </c:pt>
                <c:pt idx="1112">
                  <c:v>58.826493458636676</c:v>
                </c:pt>
                <c:pt idx="1113">
                  <c:v>58.807781495224226</c:v>
                </c:pt>
                <c:pt idx="1114">
                  <c:v>58.789069531811776</c:v>
                </c:pt>
                <c:pt idx="1115">
                  <c:v>58.770357568399334</c:v>
                </c:pt>
                <c:pt idx="1116">
                  <c:v>58.751645604986891</c:v>
                </c:pt>
                <c:pt idx="1117">
                  <c:v>58.732933641574441</c:v>
                </c:pt>
                <c:pt idx="1118">
                  <c:v>58.714221678161991</c:v>
                </c:pt>
                <c:pt idx="1119">
                  <c:v>58.695509714749548</c:v>
                </c:pt>
                <c:pt idx="1120">
                  <c:v>58.676797751337105</c:v>
                </c:pt>
                <c:pt idx="1121">
                  <c:v>58.658085787924655</c:v>
                </c:pt>
                <c:pt idx="1122">
                  <c:v>58.639373824512205</c:v>
                </c:pt>
                <c:pt idx="1123">
                  <c:v>58.620661861099762</c:v>
                </c:pt>
                <c:pt idx="1124">
                  <c:v>58.601949897687312</c:v>
                </c:pt>
                <c:pt idx="1125">
                  <c:v>58.583237934274862</c:v>
                </c:pt>
                <c:pt idx="1126">
                  <c:v>58.56452597086242</c:v>
                </c:pt>
                <c:pt idx="1127">
                  <c:v>58.545814007449977</c:v>
                </c:pt>
                <c:pt idx="1128">
                  <c:v>58.527102044037527</c:v>
                </c:pt>
                <c:pt idx="1129">
                  <c:v>58.508390080625077</c:v>
                </c:pt>
                <c:pt idx="1130">
                  <c:v>58.489678117212634</c:v>
                </c:pt>
                <c:pt idx="1131">
                  <c:v>58.470966153800191</c:v>
                </c:pt>
                <c:pt idx="1132">
                  <c:v>58.452254190387741</c:v>
                </c:pt>
                <c:pt idx="1133">
                  <c:v>58.433542226975291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CE-4EBD-AD2A-234A8DD26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316959"/>
        <c:axId val="1747997951"/>
      </c:lineChart>
      <c:dateAx>
        <c:axId val="133631695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997951"/>
        <c:crosses val="autoZero"/>
        <c:auto val="0"/>
        <c:lblOffset val="100"/>
        <c:baseTimeUnit val="months"/>
        <c:majorUnit val="6"/>
        <c:majorTimeUnit val="months"/>
      </c:dateAx>
      <c:valAx>
        <c:axId val="174799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Preço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1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Resíduos - Desvio do Preço vs Regressão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Resíduo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Análise_À_Vista!$AB$3:$AB$1136</c:f>
              <c:numCache>
                <c:formatCode>m/d/yyyy</c:formatCode>
                <c:ptCount val="1134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44729</c:v>
                </c:pt>
                <c:pt idx="115">
                  <c:v>44732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44753</c:v>
                </c:pt>
                <c:pt idx="131">
                  <c:v>44754</c:v>
                </c:pt>
                <c:pt idx="132">
                  <c:v>44755</c:v>
                </c:pt>
                <c:pt idx="133">
                  <c:v>44756</c:v>
                </c:pt>
                <c:pt idx="134">
                  <c:v>44757</c:v>
                </c:pt>
                <c:pt idx="135">
                  <c:v>44760</c:v>
                </c:pt>
                <c:pt idx="136">
                  <c:v>44761</c:v>
                </c:pt>
                <c:pt idx="137">
                  <c:v>44762</c:v>
                </c:pt>
                <c:pt idx="138">
                  <c:v>44763</c:v>
                </c:pt>
                <c:pt idx="139">
                  <c:v>44764</c:v>
                </c:pt>
                <c:pt idx="140">
                  <c:v>44767</c:v>
                </c:pt>
                <c:pt idx="141">
                  <c:v>44768</c:v>
                </c:pt>
                <c:pt idx="142">
                  <c:v>44769</c:v>
                </c:pt>
                <c:pt idx="143">
                  <c:v>44770</c:v>
                </c:pt>
                <c:pt idx="144">
                  <c:v>44771</c:v>
                </c:pt>
                <c:pt idx="145">
                  <c:v>44774</c:v>
                </c:pt>
                <c:pt idx="146">
                  <c:v>44775</c:v>
                </c:pt>
                <c:pt idx="147">
                  <c:v>44776</c:v>
                </c:pt>
                <c:pt idx="148">
                  <c:v>44777</c:v>
                </c:pt>
                <c:pt idx="149">
                  <c:v>44778</c:v>
                </c:pt>
                <c:pt idx="150">
                  <c:v>44781</c:v>
                </c:pt>
                <c:pt idx="151">
                  <c:v>44782</c:v>
                </c:pt>
                <c:pt idx="152">
                  <c:v>44783</c:v>
                </c:pt>
                <c:pt idx="153">
                  <c:v>44784</c:v>
                </c:pt>
                <c:pt idx="154">
                  <c:v>44785</c:v>
                </c:pt>
                <c:pt idx="155">
                  <c:v>44788</c:v>
                </c:pt>
                <c:pt idx="156">
                  <c:v>44789</c:v>
                </c:pt>
                <c:pt idx="157">
                  <c:v>44790</c:v>
                </c:pt>
                <c:pt idx="158">
                  <c:v>44791</c:v>
                </c:pt>
                <c:pt idx="159">
                  <c:v>44792</c:v>
                </c:pt>
                <c:pt idx="160">
                  <c:v>44795</c:v>
                </c:pt>
                <c:pt idx="161">
                  <c:v>44796</c:v>
                </c:pt>
                <c:pt idx="162">
                  <c:v>44797</c:v>
                </c:pt>
                <c:pt idx="163">
                  <c:v>44798</c:v>
                </c:pt>
                <c:pt idx="164">
                  <c:v>44799</c:v>
                </c:pt>
                <c:pt idx="165">
                  <c:v>44802</c:v>
                </c:pt>
                <c:pt idx="166">
                  <c:v>44803</c:v>
                </c:pt>
                <c:pt idx="167">
                  <c:v>44804</c:v>
                </c:pt>
                <c:pt idx="168">
                  <c:v>44805</c:v>
                </c:pt>
                <c:pt idx="169">
                  <c:v>44806</c:v>
                </c:pt>
                <c:pt idx="170">
                  <c:v>44809</c:v>
                </c:pt>
                <c:pt idx="171">
                  <c:v>44810</c:v>
                </c:pt>
                <c:pt idx="172">
                  <c:v>44812</c:v>
                </c:pt>
                <c:pt idx="173">
                  <c:v>44813</c:v>
                </c:pt>
                <c:pt idx="174">
                  <c:v>44816</c:v>
                </c:pt>
                <c:pt idx="175">
                  <c:v>44817</c:v>
                </c:pt>
                <c:pt idx="176">
                  <c:v>44818</c:v>
                </c:pt>
                <c:pt idx="177">
                  <c:v>44819</c:v>
                </c:pt>
                <c:pt idx="178">
                  <c:v>44820</c:v>
                </c:pt>
                <c:pt idx="179">
                  <c:v>44823</c:v>
                </c:pt>
                <c:pt idx="180">
                  <c:v>44824</c:v>
                </c:pt>
                <c:pt idx="181">
                  <c:v>44825</c:v>
                </c:pt>
                <c:pt idx="182">
                  <c:v>44826</c:v>
                </c:pt>
                <c:pt idx="183">
                  <c:v>44827</c:v>
                </c:pt>
                <c:pt idx="184">
                  <c:v>44830</c:v>
                </c:pt>
                <c:pt idx="185">
                  <c:v>44831</c:v>
                </c:pt>
                <c:pt idx="186">
                  <c:v>44832</c:v>
                </c:pt>
                <c:pt idx="187">
                  <c:v>44833</c:v>
                </c:pt>
                <c:pt idx="188">
                  <c:v>44834</c:v>
                </c:pt>
                <c:pt idx="189">
                  <c:v>44837</c:v>
                </c:pt>
                <c:pt idx="190">
                  <c:v>44838</c:v>
                </c:pt>
                <c:pt idx="191">
                  <c:v>44839</c:v>
                </c:pt>
                <c:pt idx="192">
                  <c:v>44840</c:v>
                </c:pt>
                <c:pt idx="193">
                  <c:v>44841</c:v>
                </c:pt>
                <c:pt idx="194">
                  <c:v>44844</c:v>
                </c:pt>
                <c:pt idx="195">
                  <c:v>44845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44881</c:v>
                </c:pt>
                <c:pt idx="219">
                  <c:v>44882</c:v>
                </c:pt>
                <c:pt idx="220">
                  <c:v>44883</c:v>
                </c:pt>
                <c:pt idx="221">
                  <c:v>44886</c:v>
                </c:pt>
                <c:pt idx="222">
                  <c:v>44887</c:v>
                </c:pt>
                <c:pt idx="223">
                  <c:v>44888</c:v>
                </c:pt>
                <c:pt idx="224">
                  <c:v>44889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44921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44928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44942</c:v>
                </c:pt>
                <c:pt idx="261">
                  <c:v>44943</c:v>
                </c:pt>
                <c:pt idx="262">
                  <c:v>44944</c:v>
                </c:pt>
                <c:pt idx="263">
                  <c:v>44945</c:v>
                </c:pt>
                <c:pt idx="264">
                  <c:v>44946</c:v>
                </c:pt>
                <c:pt idx="265">
                  <c:v>44949</c:v>
                </c:pt>
                <c:pt idx="266">
                  <c:v>44950</c:v>
                </c:pt>
                <c:pt idx="267">
                  <c:v>44951</c:v>
                </c:pt>
                <c:pt idx="268">
                  <c:v>44952</c:v>
                </c:pt>
                <c:pt idx="269">
                  <c:v>44953</c:v>
                </c:pt>
                <c:pt idx="270">
                  <c:v>44956</c:v>
                </c:pt>
                <c:pt idx="271">
                  <c:v>44957</c:v>
                </c:pt>
                <c:pt idx="272">
                  <c:v>44958</c:v>
                </c:pt>
                <c:pt idx="273">
                  <c:v>44959</c:v>
                </c:pt>
                <c:pt idx="274">
                  <c:v>44960</c:v>
                </c:pt>
                <c:pt idx="275">
                  <c:v>44963</c:v>
                </c:pt>
                <c:pt idx="276">
                  <c:v>44964</c:v>
                </c:pt>
                <c:pt idx="277">
                  <c:v>44965</c:v>
                </c:pt>
                <c:pt idx="278">
                  <c:v>44966</c:v>
                </c:pt>
                <c:pt idx="279">
                  <c:v>44967</c:v>
                </c:pt>
                <c:pt idx="280">
                  <c:v>44970</c:v>
                </c:pt>
                <c:pt idx="281">
                  <c:v>44971</c:v>
                </c:pt>
                <c:pt idx="282">
                  <c:v>44972</c:v>
                </c:pt>
                <c:pt idx="283">
                  <c:v>44973</c:v>
                </c:pt>
                <c:pt idx="284">
                  <c:v>44974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45040</c:v>
                </c:pt>
                <c:pt idx="327">
                  <c:v>45041</c:v>
                </c:pt>
                <c:pt idx="328">
                  <c:v>45042</c:v>
                </c:pt>
                <c:pt idx="329">
                  <c:v>45043</c:v>
                </c:pt>
                <c:pt idx="330">
                  <c:v>45044</c:v>
                </c:pt>
                <c:pt idx="331">
                  <c:v>45048</c:v>
                </c:pt>
                <c:pt idx="332">
                  <c:v>45049</c:v>
                </c:pt>
                <c:pt idx="333">
                  <c:v>45050</c:v>
                </c:pt>
                <c:pt idx="334">
                  <c:v>45051</c:v>
                </c:pt>
                <c:pt idx="335">
                  <c:v>45054</c:v>
                </c:pt>
                <c:pt idx="336">
                  <c:v>45055</c:v>
                </c:pt>
                <c:pt idx="337">
                  <c:v>45056</c:v>
                </c:pt>
                <c:pt idx="338">
                  <c:v>45057</c:v>
                </c:pt>
                <c:pt idx="339">
                  <c:v>45058</c:v>
                </c:pt>
                <c:pt idx="340">
                  <c:v>45061</c:v>
                </c:pt>
                <c:pt idx="341">
                  <c:v>45062</c:v>
                </c:pt>
                <c:pt idx="342">
                  <c:v>45063</c:v>
                </c:pt>
                <c:pt idx="343">
                  <c:v>45064</c:v>
                </c:pt>
                <c:pt idx="344">
                  <c:v>45065</c:v>
                </c:pt>
                <c:pt idx="345">
                  <c:v>45068</c:v>
                </c:pt>
                <c:pt idx="346">
                  <c:v>45069</c:v>
                </c:pt>
                <c:pt idx="347">
                  <c:v>45070</c:v>
                </c:pt>
                <c:pt idx="348">
                  <c:v>45071</c:v>
                </c:pt>
                <c:pt idx="349">
                  <c:v>45072</c:v>
                </c:pt>
                <c:pt idx="350">
                  <c:v>45075</c:v>
                </c:pt>
                <c:pt idx="351">
                  <c:v>45076</c:v>
                </c:pt>
                <c:pt idx="352">
                  <c:v>45077</c:v>
                </c:pt>
                <c:pt idx="353">
                  <c:v>45078</c:v>
                </c:pt>
                <c:pt idx="354">
                  <c:v>45079</c:v>
                </c:pt>
                <c:pt idx="355">
                  <c:v>45082</c:v>
                </c:pt>
                <c:pt idx="356">
                  <c:v>45083</c:v>
                </c:pt>
                <c:pt idx="357">
                  <c:v>45084</c:v>
                </c:pt>
                <c:pt idx="358">
                  <c:v>45086</c:v>
                </c:pt>
                <c:pt idx="359">
                  <c:v>45089</c:v>
                </c:pt>
                <c:pt idx="360">
                  <c:v>45090</c:v>
                </c:pt>
                <c:pt idx="361">
                  <c:v>45091</c:v>
                </c:pt>
                <c:pt idx="362">
                  <c:v>45092</c:v>
                </c:pt>
                <c:pt idx="363">
                  <c:v>45093</c:v>
                </c:pt>
                <c:pt idx="364">
                  <c:v>45096</c:v>
                </c:pt>
                <c:pt idx="365">
                  <c:v>45097</c:v>
                </c:pt>
                <c:pt idx="366">
                  <c:v>45098</c:v>
                </c:pt>
                <c:pt idx="367">
                  <c:v>45099</c:v>
                </c:pt>
                <c:pt idx="368">
                  <c:v>45100</c:v>
                </c:pt>
                <c:pt idx="369">
                  <c:v>45103</c:v>
                </c:pt>
                <c:pt idx="370">
                  <c:v>45104</c:v>
                </c:pt>
                <c:pt idx="371">
                  <c:v>45105</c:v>
                </c:pt>
                <c:pt idx="372">
                  <c:v>45106</c:v>
                </c:pt>
                <c:pt idx="373">
                  <c:v>45107</c:v>
                </c:pt>
                <c:pt idx="374">
                  <c:v>45110</c:v>
                </c:pt>
                <c:pt idx="375">
                  <c:v>45111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45173</c:v>
                </c:pt>
                <c:pt idx="420">
                  <c:v>45174</c:v>
                </c:pt>
                <c:pt idx="421">
                  <c:v>45175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45212</c:v>
                </c:pt>
                <c:pt idx="447">
                  <c:v>45215</c:v>
                </c:pt>
                <c:pt idx="448">
                  <c:v>45216</c:v>
                </c:pt>
                <c:pt idx="449">
                  <c:v>45217</c:v>
                </c:pt>
                <c:pt idx="450">
                  <c:v>45218</c:v>
                </c:pt>
                <c:pt idx="451">
                  <c:v>45219</c:v>
                </c:pt>
                <c:pt idx="452">
                  <c:v>45222</c:v>
                </c:pt>
                <c:pt idx="453">
                  <c:v>45223</c:v>
                </c:pt>
                <c:pt idx="454">
                  <c:v>45224</c:v>
                </c:pt>
                <c:pt idx="455">
                  <c:v>45225</c:v>
                </c:pt>
                <c:pt idx="456">
                  <c:v>45226</c:v>
                </c:pt>
                <c:pt idx="457">
                  <c:v>45229</c:v>
                </c:pt>
                <c:pt idx="458">
                  <c:v>45230</c:v>
                </c:pt>
                <c:pt idx="459">
                  <c:v>45231</c:v>
                </c:pt>
                <c:pt idx="460">
                  <c:v>45233</c:v>
                </c:pt>
                <c:pt idx="461">
                  <c:v>45236</c:v>
                </c:pt>
                <c:pt idx="462">
                  <c:v>45237</c:v>
                </c:pt>
                <c:pt idx="463">
                  <c:v>45238</c:v>
                </c:pt>
                <c:pt idx="464">
                  <c:v>45239</c:v>
                </c:pt>
                <c:pt idx="465">
                  <c:v>45240</c:v>
                </c:pt>
                <c:pt idx="466">
                  <c:v>45243</c:v>
                </c:pt>
                <c:pt idx="467">
                  <c:v>45244</c:v>
                </c:pt>
                <c:pt idx="468">
                  <c:v>45246</c:v>
                </c:pt>
                <c:pt idx="469">
                  <c:v>45247</c:v>
                </c:pt>
                <c:pt idx="470">
                  <c:v>45250</c:v>
                </c:pt>
                <c:pt idx="471">
                  <c:v>45251</c:v>
                </c:pt>
                <c:pt idx="472">
                  <c:v>45252</c:v>
                </c:pt>
                <c:pt idx="473">
                  <c:v>45253</c:v>
                </c:pt>
                <c:pt idx="474">
                  <c:v>45254</c:v>
                </c:pt>
                <c:pt idx="475">
                  <c:v>45257</c:v>
                </c:pt>
                <c:pt idx="476">
                  <c:v>45258</c:v>
                </c:pt>
                <c:pt idx="477">
                  <c:v>45259</c:v>
                </c:pt>
                <c:pt idx="478">
                  <c:v>45260</c:v>
                </c:pt>
                <c:pt idx="479">
                  <c:v>45261</c:v>
                </c:pt>
                <c:pt idx="480">
                  <c:v>45264</c:v>
                </c:pt>
                <c:pt idx="481">
                  <c:v>45265</c:v>
                </c:pt>
                <c:pt idx="482">
                  <c:v>45266</c:v>
                </c:pt>
                <c:pt idx="483">
                  <c:v>45267</c:v>
                </c:pt>
                <c:pt idx="484">
                  <c:v>45268</c:v>
                </c:pt>
                <c:pt idx="485">
                  <c:v>45271</c:v>
                </c:pt>
                <c:pt idx="486">
                  <c:v>45272</c:v>
                </c:pt>
                <c:pt idx="487">
                  <c:v>45273</c:v>
                </c:pt>
                <c:pt idx="488">
                  <c:v>45274</c:v>
                </c:pt>
                <c:pt idx="489">
                  <c:v>45275</c:v>
                </c:pt>
                <c:pt idx="490">
                  <c:v>45278</c:v>
                </c:pt>
                <c:pt idx="491">
                  <c:v>45279</c:v>
                </c:pt>
                <c:pt idx="492">
                  <c:v>45280</c:v>
                </c:pt>
                <c:pt idx="493">
                  <c:v>45281</c:v>
                </c:pt>
                <c:pt idx="494">
                  <c:v>45282</c:v>
                </c:pt>
                <c:pt idx="495">
                  <c:v>45286</c:v>
                </c:pt>
                <c:pt idx="496">
                  <c:v>45287</c:v>
                </c:pt>
                <c:pt idx="497">
                  <c:v>45288</c:v>
                </c:pt>
                <c:pt idx="498">
                  <c:v>45293</c:v>
                </c:pt>
                <c:pt idx="499">
                  <c:v>45294</c:v>
                </c:pt>
                <c:pt idx="500">
                  <c:v>45295</c:v>
                </c:pt>
                <c:pt idx="501">
                  <c:v>45296</c:v>
                </c:pt>
                <c:pt idx="502">
                  <c:v>45299</c:v>
                </c:pt>
                <c:pt idx="503">
                  <c:v>45300</c:v>
                </c:pt>
                <c:pt idx="504">
                  <c:v>45301</c:v>
                </c:pt>
                <c:pt idx="505">
                  <c:v>45302</c:v>
                </c:pt>
                <c:pt idx="506">
                  <c:v>45303</c:v>
                </c:pt>
                <c:pt idx="507">
                  <c:v>45306</c:v>
                </c:pt>
                <c:pt idx="508">
                  <c:v>45307</c:v>
                </c:pt>
                <c:pt idx="509">
                  <c:v>45308</c:v>
                </c:pt>
                <c:pt idx="510">
                  <c:v>45309</c:v>
                </c:pt>
                <c:pt idx="511">
                  <c:v>45310</c:v>
                </c:pt>
                <c:pt idx="512">
                  <c:v>45313</c:v>
                </c:pt>
                <c:pt idx="513">
                  <c:v>45314</c:v>
                </c:pt>
                <c:pt idx="514">
                  <c:v>45315</c:v>
                </c:pt>
                <c:pt idx="515">
                  <c:v>45316</c:v>
                </c:pt>
                <c:pt idx="516">
                  <c:v>45317</c:v>
                </c:pt>
                <c:pt idx="517">
                  <c:v>45320</c:v>
                </c:pt>
                <c:pt idx="518">
                  <c:v>45321</c:v>
                </c:pt>
                <c:pt idx="519">
                  <c:v>45322</c:v>
                </c:pt>
                <c:pt idx="520">
                  <c:v>45323</c:v>
                </c:pt>
                <c:pt idx="521">
                  <c:v>45324</c:v>
                </c:pt>
                <c:pt idx="522">
                  <c:v>45327</c:v>
                </c:pt>
                <c:pt idx="523">
                  <c:v>45328</c:v>
                </c:pt>
                <c:pt idx="524">
                  <c:v>45329</c:v>
                </c:pt>
                <c:pt idx="525">
                  <c:v>45330</c:v>
                </c:pt>
                <c:pt idx="526">
                  <c:v>45331</c:v>
                </c:pt>
                <c:pt idx="527">
                  <c:v>45336</c:v>
                </c:pt>
                <c:pt idx="528">
                  <c:v>45337</c:v>
                </c:pt>
                <c:pt idx="529">
                  <c:v>45338</c:v>
                </c:pt>
                <c:pt idx="530">
                  <c:v>45341</c:v>
                </c:pt>
                <c:pt idx="531">
                  <c:v>45342</c:v>
                </c:pt>
                <c:pt idx="532">
                  <c:v>45343</c:v>
                </c:pt>
                <c:pt idx="533">
                  <c:v>45344</c:v>
                </c:pt>
                <c:pt idx="534">
                  <c:v>45345</c:v>
                </c:pt>
                <c:pt idx="535">
                  <c:v>45348</c:v>
                </c:pt>
                <c:pt idx="536">
                  <c:v>45349</c:v>
                </c:pt>
                <c:pt idx="537">
                  <c:v>45350</c:v>
                </c:pt>
                <c:pt idx="538">
                  <c:v>45351</c:v>
                </c:pt>
                <c:pt idx="539">
                  <c:v>45352</c:v>
                </c:pt>
                <c:pt idx="540">
                  <c:v>45355</c:v>
                </c:pt>
                <c:pt idx="541">
                  <c:v>45356</c:v>
                </c:pt>
                <c:pt idx="542">
                  <c:v>45357</c:v>
                </c:pt>
                <c:pt idx="543">
                  <c:v>45358</c:v>
                </c:pt>
                <c:pt idx="544">
                  <c:v>45359</c:v>
                </c:pt>
                <c:pt idx="545">
                  <c:v>45362</c:v>
                </c:pt>
                <c:pt idx="546">
                  <c:v>45363</c:v>
                </c:pt>
                <c:pt idx="547">
                  <c:v>45364</c:v>
                </c:pt>
                <c:pt idx="548">
                  <c:v>45365</c:v>
                </c:pt>
                <c:pt idx="549">
                  <c:v>45366</c:v>
                </c:pt>
                <c:pt idx="550">
                  <c:v>45369</c:v>
                </c:pt>
                <c:pt idx="551">
                  <c:v>45370</c:v>
                </c:pt>
                <c:pt idx="552">
                  <c:v>45371</c:v>
                </c:pt>
                <c:pt idx="553">
                  <c:v>45372</c:v>
                </c:pt>
                <c:pt idx="554">
                  <c:v>45373</c:v>
                </c:pt>
                <c:pt idx="555">
                  <c:v>45376</c:v>
                </c:pt>
                <c:pt idx="556">
                  <c:v>45377</c:v>
                </c:pt>
                <c:pt idx="557">
                  <c:v>45378</c:v>
                </c:pt>
                <c:pt idx="558">
                  <c:v>45379</c:v>
                </c:pt>
                <c:pt idx="559">
                  <c:v>45383</c:v>
                </c:pt>
                <c:pt idx="560">
                  <c:v>45384</c:v>
                </c:pt>
                <c:pt idx="561">
                  <c:v>45385</c:v>
                </c:pt>
                <c:pt idx="562">
                  <c:v>45386</c:v>
                </c:pt>
                <c:pt idx="563">
                  <c:v>45387</c:v>
                </c:pt>
                <c:pt idx="564">
                  <c:v>45390</c:v>
                </c:pt>
                <c:pt idx="565">
                  <c:v>45391</c:v>
                </c:pt>
                <c:pt idx="566">
                  <c:v>45392</c:v>
                </c:pt>
                <c:pt idx="567">
                  <c:v>45393</c:v>
                </c:pt>
                <c:pt idx="568">
                  <c:v>45394</c:v>
                </c:pt>
                <c:pt idx="569">
                  <c:v>45397</c:v>
                </c:pt>
                <c:pt idx="570">
                  <c:v>45398</c:v>
                </c:pt>
                <c:pt idx="571">
                  <c:v>45399</c:v>
                </c:pt>
                <c:pt idx="572">
                  <c:v>45400</c:v>
                </c:pt>
                <c:pt idx="573">
                  <c:v>45401</c:v>
                </c:pt>
                <c:pt idx="574">
                  <c:v>45404</c:v>
                </c:pt>
                <c:pt idx="575">
                  <c:v>45405</c:v>
                </c:pt>
                <c:pt idx="576">
                  <c:v>45406</c:v>
                </c:pt>
                <c:pt idx="577">
                  <c:v>45407</c:v>
                </c:pt>
                <c:pt idx="578">
                  <c:v>45408</c:v>
                </c:pt>
                <c:pt idx="579">
                  <c:v>45411</c:v>
                </c:pt>
                <c:pt idx="580">
                  <c:v>45412</c:v>
                </c:pt>
                <c:pt idx="581">
                  <c:v>45414</c:v>
                </c:pt>
                <c:pt idx="582">
                  <c:v>45415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45425</c:v>
                </c:pt>
                <c:pt idx="589">
                  <c:v>45426</c:v>
                </c:pt>
                <c:pt idx="590">
                  <c:v>45427</c:v>
                </c:pt>
                <c:pt idx="591">
                  <c:v>45428</c:v>
                </c:pt>
                <c:pt idx="592">
                  <c:v>45429</c:v>
                </c:pt>
                <c:pt idx="593">
                  <c:v>45432</c:v>
                </c:pt>
                <c:pt idx="594">
                  <c:v>45433</c:v>
                </c:pt>
                <c:pt idx="595">
                  <c:v>45434</c:v>
                </c:pt>
                <c:pt idx="596">
                  <c:v>45435</c:v>
                </c:pt>
                <c:pt idx="597">
                  <c:v>45436</c:v>
                </c:pt>
                <c:pt idx="598">
                  <c:v>45439</c:v>
                </c:pt>
                <c:pt idx="599">
                  <c:v>45440</c:v>
                </c:pt>
                <c:pt idx="600">
                  <c:v>45441</c:v>
                </c:pt>
                <c:pt idx="601">
                  <c:v>45443</c:v>
                </c:pt>
                <c:pt idx="602">
                  <c:v>45446</c:v>
                </c:pt>
                <c:pt idx="603">
                  <c:v>45447</c:v>
                </c:pt>
                <c:pt idx="604">
                  <c:v>45448</c:v>
                </c:pt>
                <c:pt idx="605">
                  <c:v>45449</c:v>
                </c:pt>
                <c:pt idx="606">
                  <c:v>45450</c:v>
                </c:pt>
                <c:pt idx="607">
                  <c:v>45453</c:v>
                </c:pt>
                <c:pt idx="608">
                  <c:v>45454</c:v>
                </c:pt>
                <c:pt idx="609">
                  <c:v>45455</c:v>
                </c:pt>
                <c:pt idx="610">
                  <c:v>45456</c:v>
                </c:pt>
                <c:pt idx="611">
                  <c:v>45457</c:v>
                </c:pt>
                <c:pt idx="612">
                  <c:v>45460</c:v>
                </c:pt>
                <c:pt idx="613">
                  <c:v>45461</c:v>
                </c:pt>
                <c:pt idx="614">
                  <c:v>45462</c:v>
                </c:pt>
                <c:pt idx="615">
                  <c:v>45463</c:v>
                </c:pt>
                <c:pt idx="616">
                  <c:v>45464</c:v>
                </c:pt>
                <c:pt idx="617">
                  <c:v>45467</c:v>
                </c:pt>
                <c:pt idx="618">
                  <c:v>45468</c:v>
                </c:pt>
                <c:pt idx="619">
                  <c:v>45469</c:v>
                </c:pt>
                <c:pt idx="620">
                  <c:v>45470</c:v>
                </c:pt>
                <c:pt idx="621">
                  <c:v>45471</c:v>
                </c:pt>
                <c:pt idx="622">
                  <c:v>45474</c:v>
                </c:pt>
                <c:pt idx="623">
                  <c:v>45475</c:v>
                </c:pt>
                <c:pt idx="624">
                  <c:v>45476</c:v>
                </c:pt>
                <c:pt idx="625">
                  <c:v>45477</c:v>
                </c:pt>
                <c:pt idx="626">
                  <c:v>45478</c:v>
                </c:pt>
                <c:pt idx="627">
                  <c:v>45481</c:v>
                </c:pt>
                <c:pt idx="628">
                  <c:v>45482</c:v>
                </c:pt>
                <c:pt idx="629">
                  <c:v>45483</c:v>
                </c:pt>
                <c:pt idx="630">
                  <c:v>45484</c:v>
                </c:pt>
                <c:pt idx="631">
                  <c:v>45485</c:v>
                </c:pt>
                <c:pt idx="632">
                  <c:v>45488</c:v>
                </c:pt>
                <c:pt idx="633">
                  <c:v>45489</c:v>
                </c:pt>
                <c:pt idx="634">
                  <c:v>45490</c:v>
                </c:pt>
                <c:pt idx="635">
                  <c:v>45491</c:v>
                </c:pt>
                <c:pt idx="636">
                  <c:v>45492</c:v>
                </c:pt>
                <c:pt idx="637">
                  <c:v>45495</c:v>
                </c:pt>
                <c:pt idx="638">
                  <c:v>45496</c:v>
                </c:pt>
                <c:pt idx="639">
                  <c:v>45497</c:v>
                </c:pt>
                <c:pt idx="640">
                  <c:v>45498</c:v>
                </c:pt>
                <c:pt idx="641">
                  <c:v>45499</c:v>
                </c:pt>
                <c:pt idx="642">
                  <c:v>45502</c:v>
                </c:pt>
                <c:pt idx="643">
                  <c:v>45503</c:v>
                </c:pt>
                <c:pt idx="644">
                  <c:v>45504</c:v>
                </c:pt>
                <c:pt idx="645">
                  <c:v>45505</c:v>
                </c:pt>
                <c:pt idx="646">
                  <c:v>45506</c:v>
                </c:pt>
                <c:pt idx="647">
                  <c:v>45509</c:v>
                </c:pt>
                <c:pt idx="648">
                  <c:v>45510</c:v>
                </c:pt>
                <c:pt idx="649">
                  <c:v>45511</c:v>
                </c:pt>
                <c:pt idx="650">
                  <c:v>45512</c:v>
                </c:pt>
                <c:pt idx="651">
                  <c:v>45513</c:v>
                </c:pt>
                <c:pt idx="652">
                  <c:v>45516</c:v>
                </c:pt>
                <c:pt idx="653">
                  <c:v>45517</c:v>
                </c:pt>
                <c:pt idx="654">
                  <c:v>45518</c:v>
                </c:pt>
                <c:pt idx="655">
                  <c:v>45519</c:v>
                </c:pt>
                <c:pt idx="656">
                  <c:v>45520</c:v>
                </c:pt>
                <c:pt idx="657">
                  <c:v>45523</c:v>
                </c:pt>
                <c:pt idx="658">
                  <c:v>45524</c:v>
                </c:pt>
                <c:pt idx="659">
                  <c:v>45525</c:v>
                </c:pt>
                <c:pt idx="660">
                  <c:v>45526</c:v>
                </c:pt>
                <c:pt idx="661">
                  <c:v>45527</c:v>
                </c:pt>
                <c:pt idx="662">
                  <c:v>45530</c:v>
                </c:pt>
                <c:pt idx="663">
                  <c:v>45531</c:v>
                </c:pt>
                <c:pt idx="664">
                  <c:v>45532</c:v>
                </c:pt>
                <c:pt idx="665">
                  <c:v>45533</c:v>
                </c:pt>
                <c:pt idx="666">
                  <c:v>45534</c:v>
                </c:pt>
                <c:pt idx="667">
                  <c:v>45537</c:v>
                </c:pt>
                <c:pt idx="668">
                  <c:v>45538</c:v>
                </c:pt>
                <c:pt idx="669">
                  <c:v>45539</c:v>
                </c:pt>
                <c:pt idx="670">
                  <c:v>45540</c:v>
                </c:pt>
                <c:pt idx="671">
                  <c:v>45541</c:v>
                </c:pt>
                <c:pt idx="672">
                  <c:v>45544</c:v>
                </c:pt>
                <c:pt idx="673">
                  <c:v>45545</c:v>
                </c:pt>
                <c:pt idx="674">
                  <c:v>45546</c:v>
                </c:pt>
                <c:pt idx="675">
                  <c:v>45547</c:v>
                </c:pt>
                <c:pt idx="676">
                  <c:v>45548</c:v>
                </c:pt>
                <c:pt idx="677">
                  <c:v>45551</c:v>
                </c:pt>
                <c:pt idx="678">
                  <c:v>45552</c:v>
                </c:pt>
                <c:pt idx="679">
                  <c:v>45553</c:v>
                </c:pt>
                <c:pt idx="680">
                  <c:v>45554</c:v>
                </c:pt>
                <c:pt idx="681">
                  <c:v>45555</c:v>
                </c:pt>
                <c:pt idx="682">
                  <c:v>45558</c:v>
                </c:pt>
                <c:pt idx="683">
                  <c:v>45559</c:v>
                </c:pt>
                <c:pt idx="684">
                  <c:v>45560</c:v>
                </c:pt>
                <c:pt idx="685">
                  <c:v>45561</c:v>
                </c:pt>
                <c:pt idx="686">
                  <c:v>45562</c:v>
                </c:pt>
                <c:pt idx="687">
                  <c:v>45565</c:v>
                </c:pt>
                <c:pt idx="688">
                  <c:v>45566</c:v>
                </c:pt>
                <c:pt idx="689">
                  <c:v>45567</c:v>
                </c:pt>
                <c:pt idx="690">
                  <c:v>45568</c:v>
                </c:pt>
                <c:pt idx="691">
                  <c:v>45569</c:v>
                </c:pt>
                <c:pt idx="692">
                  <c:v>45572</c:v>
                </c:pt>
                <c:pt idx="693">
                  <c:v>45573</c:v>
                </c:pt>
                <c:pt idx="694">
                  <c:v>45574</c:v>
                </c:pt>
                <c:pt idx="695">
                  <c:v>45575</c:v>
                </c:pt>
                <c:pt idx="696">
                  <c:v>45576</c:v>
                </c:pt>
                <c:pt idx="697">
                  <c:v>45579</c:v>
                </c:pt>
                <c:pt idx="698">
                  <c:v>45580</c:v>
                </c:pt>
                <c:pt idx="699">
                  <c:v>45581</c:v>
                </c:pt>
                <c:pt idx="700">
                  <c:v>45582</c:v>
                </c:pt>
                <c:pt idx="701">
                  <c:v>45583</c:v>
                </c:pt>
                <c:pt idx="702">
                  <c:v>45586</c:v>
                </c:pt>
                <c:pt idx="703">
                  <c:v>45587</c:v>
                </c:pt>
                <c:pt idx="704">
                  <c:v>45588</c:v>
                </c:pt>
                <c:pt idx="705">
                  <c:v>45589</c:v>
                </c:pt>
                <c:pt idx="706">
                  <c:v>45590</c:v>
                </c:pt>
                <c:pt idx="707">
                  <c:v>45593</c:v>
                </c:pt>
                <c:pt idx="708">
                  <c:v>45594</c:v>
                </c:pt>
                <c:pt idx="709">
                  <c:v>45595</c:v>
                </c:pt>
                <c:pt idx="710">
                  <c:v>45596</c:v>
                </c:pt>
                <c:pt idx="711">
                  <c:v>45597</c:v>
                </c:pt>
                <c:pt idx="712">
                  <c:v>45600</c:v>
                </c:pt>
                <c:pt idx="713">
                  <c:v>45601</c:v>
                </c:pt>
                <c:pt idx="714">
                  <c:v>45602</c:v>
                </c:pt>
                <c:pt idx="715">
                  <c:v>45603</c:v>
                </c:pt>
                <c:pt idx="716">
                  <c:v>45604</c:v>
                </c:pt>
                <c:pt idx="717">
                  <c:v>45607</c:v>
                </c:pt>
                <c:pt idx="718">
                  <c:v>45608</c:v>
                </c:pt>
                <c:pt idx="719">
                  <c:v>45609</c:v>
                </c:pt>
                <c:pt idx="720">
                  <c:v>45610</c:v>
                </c:pt>
                <c:pt idx="721">
                  <c:v>45614</c:v>
                </c:pt>
                <c:pt idx="722">
                  <c:v>45615</c:v>
                </c:pt>
                <c:pt idx="723">
                  <c:v>45617</c:v>
                </c:pt>
                <c:pt idx="724">
                  <c:v>45618</c:v>
                </c:pt>
                <c:pt idx="725">
                  <c:v>45621</c:v>
                </c:pt>
                <c:pt idx="726">
                  <c:v>45622</c:v>
                </c:pt>
                <c:pt idx="727">
                  <c:v>45623</c:v>
                </c:pt>
                <c:pt idx="728">
                  <c:v>45624</c:v>
                </c:pt>
                <c:pt idx="729">
                  <c:v>45625</c:v>
                </c:pt>
                <c:pt idx="730">
                  <c:v>45628</c:v>
                </c:pt>
                <c:pt idx="731">
                  <c:v>45629</c:v>
                </c:pt>
                <c:pt idx="732">
                  <c:v>45630</c:v>
                </c:pt>
                <c:pt idx="733">
                  <c:v>45631</c:v>
                </c:pt>
                <c:pt idx="734">
                  <c:v>45632</c:v>
                </c:pt>
                <c:pt idx="735">
                  <c:v>45635</c:v>
                </c:pt>
                <c:pt idx="736">
                  <c:v>45636</c:v>
                </c:pt>
                <c:pt idx="737">
                  <c:v>45637</c:v>
                </c:pt>
                <c:pt idx="738">
                  <c:v>45638</c:v>
                </c:pt>
                <c:pt idx="739">
                  <c:v>45639</c:v>
                </c:pt>
                <c:pt idx="740">
                  <c:v>45642</c:v>
                </c:pt>
                <c:pt idx="741">
                  <c:v>45643</c:v>
                </c:pt>
                <c:pt idx="742">
                  <c:v>45644</c:v>
                </c:pt>
                <c:pt idx="743">
                  <c:v>45645</c:v>
                </c:pt>
                <c:pt idx="744">
                  <c:v>45646</c:v>
                </c:pt>
                <c:pt idx="745">
                  <c:v>45649</c:v>
                </c:pt>
                <c:pt idx="746">
                  <c:v>45652</c:v>
                </c:pt>
                <c:pt idx="747">
                  <c:v>45653</c:v>
                </c:pt>
                <c:pt idx="748">
                  <c:v>45656</c:v>
                </c:pt>
                <c:pt idx="749">
                  <c:v>45659</c:v>
                </c:pt>
                <c:pt idx="750">
                  <c:v>45660</c:v>
                </c:pt>
                <c:pt idx="751">
                  <c:v>45663</c:v>
                </c:pt>
                <c:pt idx="752">
                  <c:v>45664</c:v>
                </c:pt>
                <c:pt idx="753">
                  <c:v>45665</c:v>
                </c:pt>
                <c:pt idx="754">
                  <c:v>45666</c:v>
                </c:pt>
                <c:pt idx="755">
                  <c:v>45667</c:v>
                </c:pt>
                <c:pt idx="756">
                  <c:v>45670</c:v>
                </c:pt>
                <c:pt idx="757">
                  <c:v>45671</c:v>
                </c:pt>
                <c:pt idx="758">
                  <c:v>45672</c:v>
                </c:pt>
                <c:pt idx="759">
                  <c:v>45673</c:v>
                </c:pt>
                <c:pt idx="760">
                  <c:v>45674</c:v>
                </c:pt>
                <c:pt idx="761">
                  <c:v>45677</c:v>
                </c:pt>
                <c:pt idx="762">
                  <c:v>45678</c:v>
                </c:pt>
                <c:pt idx="763">
                  <c:v>45679</c:v>
                </c:pt>
                <c:pt idx="764">
                  <c:v>45680</c:v>
                </c:pt>
                <c:pt idx="765">
                  <c:v>45681</c:v>
                </c:pt>
                <c:pt idx="766">
                  <c:v>45684</c:v>
                </c:pt>
                <c:pt idx="767">
                  <c:v>45685</c:v>
                </c:pt>
                <c:pt idx="768">
                  <c:v>45686</c:v>
                </c:pt>
                <c:pt idx="769">
                  <c:v>45687</c:v>
                </c:pt>
                <c:pt idx="770">
                  <c:v>45688</c:v>
                </c:pt>
                <c:pt idx="771">
                  <c:v>45691</c:v>
                </c:pt>
                <c:pt idx="772">
                  <c:v>45692</c:v>
                </c:pt>
                <c:pt idx="773">
                  <c:v>45693</c:v>
                </c:pt>
                <c:pt idx="774">
                  <c:v>45694</c:v>
                </c:pt>
                <c:pt idx="775">
                  <c:v>45695</c:v>
                </c:pt>
                <c:pt idx="776">
                  <c:v>45698</c:v>
                </c:pt>
                <c:pt idx="777">
                  <c:v>45699</c:v>
                </c:pt>
                <c:pt idx="778">
                  <c:v>45700</c:v>
                </c:pt>
                <c:pt idx="779">
                  <c:v>45701</c:v>
                </c:pt>
                <c:pt idx="780">
                  <c:v>45702</c:v>
                </c:pt>
                <c:pt idx="781">
                  <c:v>45705</c:v>
                </c:pt>
                <c:pt idx="782">
                  <c:v>45706</c:v>
                </c:pt>
                <c:pt idx="783">
                  <c:v>45707</c:v>
                </c:pt>
                <c:pt idx="784">
                  <c:v>45708</c:v>
                </c:pt>
                <c:pt idx="785">
                  <c:v>45709</c:v>
                </c:pt>
                <c:pt idx="786">
                  <c:v>45712</c:v>
                </c:pt>
                <c:pt idx="787">
                  <c:v>45713</c:v>
                </c:pt>
                <c:pt idx="788">
                  <c:v>45714</c:v>
                </c:pt>
                <c:pt idx="789">
                  <c:v>45715</c:v>
                </c:pt>
                <c:pt idx="790">
                  <c:v>45716</c:v>
                </c:pt>
                <c:pt idx="791">
                  <c:v>45721</c:v>
                </c:pt>
                <c:pt idx="792">
                  <c:v>45722</c:v>
                </c:pt>
                <c:pt idx="793">
                  <c:v>45723</c:v>
                </c:pt>
                <c:pt idx="794">
                  <c:v>45726</c:v>
                </c:pt>
                <c:pt idx="795">
                  <c:v>45727</c:v>
                </c:pt>
                <c:pt idx="796">
                  <c:v>45728</c:v>
                </c:pt>
                <c:pt idx="797">
                  <c:v>45729</c:v>
                </c:pt>
                <c:pt idx="798">
                  <c:v>45730</c:v>
                </c:pt>
                <c:pt idx="799">
                  <c:v>45733</c:v>
                </c:pt>
                <c:pt idx="800">
                  <c:v>45734</c:v>
                </c:pt>
                <c:pt idx="801">
                  <c:v>45735</c:v>
                </c:pt>
                <c:pt idx="802">
                  <c:v>45736</c:v>
                </c:pt>
                <c:pt idx="803">
                  <c:v>45737</c:v>
                </c:pt>
                <c:pt idx="804">
                  <c:v>45740</c:v>
                </c:pt>
                <c:pt idx="805">
                  <c:v>45741</c:v>
                </c:pt>
                <c:pt idx="806">
                  <c:v>45742</c:v>
                </c:pt>
                <c:pt idx="807">
                  <c:v>45743</c:v>
                </c:pt>
                <c:pt idx="808">
                  <c:v>45744</c:v>
                </c:pt>
                <c:pt idx="809">
                  <c:v>45747</c:v>
                </c:pt>
                <c:pt idx="810">
                  <c:v>45748</c:v>
                </c:pt>
                <c:pt idx="811">
                  <c:v>45749</c:v>
                </c:pt>
                <c:pt idx="812">
                  <c:v>45750</c:v>
                </c:pt>
                <c:pt idx="813">
                  <c:v>45751</c:v>
                </c:pt>
                <c:pt idx="814">
                  <c:v>45754</c:v>
                </c:pt>
                <c:pt idx="815">
                  <c:v>45755</c:v>
                </c:pt>
                <c:pt idx="816">
                  <c:v>45756</c:v>
                </c:pt>
                <c:pt idx="817">
                  <c:v>45757</c:v>
                </c:pt>
                <c:pt idx="818">
                  <c:v>45758</c:v>
                </c:pt>
                <c:pt idx="819">
                  <c:v>45761</c:v>
                </c:pt>
                <c:pt idx="820">
                  <c:v>45762</c:v>
                </c:pt>
                <c:pt idx="821">
                  <c:v>45763</c:v>
                </c:pt>
                <c:pt idx="822">
                  <c:v>45764</c:v>
                </c:pt>
                <c:pt idx="823">
                  <c:v>45769</c:v>
                </c:pt>
                <c:pt idx="824">
                  <c:v>45770</c:v>
                </c:pt>
                <c:pt idx="825">
                  <c:v>45771</c:v>
                </c:pt>
                <c:pt idx="826">
                  <c:v>45772</c:v>
                </c:pt>
                <c:pt idx="827">
                  <c:v>45775</c:v>
                </c:pt>
                <c:pt idx="828">
                  <c:v>45776</c:v>
                </c:pt>
                <c:pt idx="829">
                  <c:v>45777</c:v>
                </c:pt>
                <c:pt idx="830">
                  <c:v>45779</c:v>
                </c:pt>
                <c:pt idx="831">
                  <c:v>45782</c:v>
                </c:pt>
                <c:pt idx="832">
                  <c:v>45783</c:v>
                </c:pt>
                <c:pt idx="833">
                  <c:v>45784</c:v>
                </c:pt>
                <c:pt idx="834">
                  <c:v>45785</c:v>
                </c:pt>
                <c:pt idx="835">
                  <c:v>45786</c:v>
                </c:pt>
                <c:pt idx="836">
                  <c:v>45789</c:v>
                </c:pt>
                <c:pt idx="837">
                  <c:v>45790</c:v>
                </c:pt>
                <c:pt idx="838">
                  <c:v>45791</c:v>
                </c:pt>
                <c:pt idx="839">
                  <c:v>45792</c:v>
                </c:pt>
                <c:pt idx="840">
                  <c:v>45793</c:v>
                </c:pt>
                <c:pt idx="841">
                  <c:v>45796</c:v>
                </c:pt>
                <c:pt idx="842">
                  <c:v>45797</c:v>
                </c:pt>
                <c:pt idx="843">
                  <c:v>45798</c:v>
                </c:pt>
                <c:pt idx="844">
                  <c:v>45799</c:v>
                </c:pt>
                <c:pt idx="845">
                  <c:v>45800</c:v>
                </c:pt>
                <c:pt idx="846">
                  <c:v>45803</c:v>
                </c:pt>
                <c:pt idx="847">
                  <c:v>45804</c:v>
                </c:pt>
                <c:pt idx="848">
                  <c:v>45805</c:v>
                </c:pt>
                <c:pt idx="849">
                  <c:v>45806</c:v>
                </c:pt>
                <c:pt idx="850">
                  <c:v>45807</c:v>
                </c:pt>
                <c:pt idx="851">
                  <c:v>45810</c:v>
                </c:pt>
                <c:pt idx="852">
                  <c:v>45811</c:v>
                </c:pt>
                <c:pt idx="853">
                  <c:v>45812</c:v>
                </c:pt>
                <c:pt idx="854">
                  <c:v>45813</c:v>
                </c:pt>
                <c:pt idx="855">
                  <c:v>45814</c:v>
                </c:pt>
                <c:pt idx="856">
                  <c:v>45817</c:v>
                </c:pt>
                <c:pt idx="857">
                  <c:v>45818</c:v>
                </c:pt>
                <c:pt idx="858">
                  <c:v>45819</c:v>
                </c:pt>
                <c:pt idx="859">
                  <c:v>45820</c:v>
                </c:pt>
                <c:pt idx="860">
                  <c:v>45821</c:v>
                </c:pt>
                <c:pt idx="861">
                  <c:v>45824</c:v>
                </c:pt>
                <c:pt idx="862">
                  <c:v>45825</c:v>
                </c:pt>
                <c:pt idx="863">
                  <c:v>45826</c:v>
                </c:pt>
                <c:pt idx="864">
                  <c:v>45828</c:v>
                </c:pt>
                <c:pt idx="865">
                  <c:v>45831</c:v>
                </c:pt>
                <c:pt idx="866">
                  <c:v>45832</c:v>
                </c:pt>
                <c:pt idx="867">
                  <c:v>45833</c:v>
                </c:pt>
                <c:pt idx="868">
                  <c:v>45834</c:v>
                </c:pt>
                <c:pt idx="869">
                  <c:v>45835</c:v>
                </c:pt>
                <c:pt idx="870">
                  <c:v>45838</c:v>
                </c:pt>
                <c:pt idx="871">
                  <c:v>45839</c:v>
                </c:pt>
                <c:pt idx="872">
                  <c:v>45840</c:v>
                </c:pt>
                <c:pt idx="873">
                  <c:v>45841</c:v>
                </c:pt>
                <c:pt idx="874">
                  <c:v>45842</c:v>
                </c:pt>
                <c:pt idx="875">
                  <c:v>45845</c:v>
                </c:pt>
                <c:pt idx="876">
                  <c:v>45846</c:v>
                </c:pt>
                <c:pt idx="877">
                  <c:v>45847</c:v>
                </c:pt>
                <c:pt idx="878">
                  <c:v>45848</c:v>
                </c:pt>
                <c:pt idx="879">
                  <c:v>45849</c:v>
                </c:pt>
                <c:pt idx="880">
                  <c:v>45852</c:v>
                </c:pt>
                <c:pt idx="881">
                  <c:v>45853</c:v>
                </c:pt>
                <c:pt idx="882">
                  <c:v>45854</c:v>
                </c:pt>
                <c:pt idx="883">
                  <c:v>45855</c:v>
                </c:pt>
                <c:pt idx="884">
                  <c:v>45856</c:v>
                </c:pt>
                <c:pt idx="885">
                  <c:v>45859</c:v>
                </c:pt>
                <c:pt idx="886">
                  <c:v>45860</c:v>
                </c:pt>
                <c:pt idx="887">
                  <c:v>45861</c:v>
                </c:pt>
                <c:pt idx="888">
                  <c:v>45862</c:v>
                </c:pt>
                <c:pt idx="889">
                  <c:v>45863</c:v>
                </c:pt>
                <c:pt idx="890">
                  <c:v>45866</c:v>
                </c:pt>
                <c:pt idx="891">
                  <c:v>45867</c:v>
                </c:pt>
                <c:pt idx="892">
                  <c:v>45868</c:v>
                </c:pt>
                <c:pt idx="893">
                  <c:v>45869</c:v>
                </c:pt>
                <c:pt idx="894">
                  <c:v>45870</c:v>
                </c:pt>
                <c:pt idx="895">
                  <c:v>45873</c:v>
                </c:pt>
                <c:pt idx="896">
                  <c:v>45874</c:v>
                </c:pt>
                <c:pt idx="897">
                  <c:v>45875</c:v>
                </c:pt>
                <c:pt idx="898">
                  <c:v>45876</c:v>
                </c:pt>
                <c:pt idx="899">
                  <c:v>45877</c:v>
                </c:pt>
                <c:pt idx="900">
                  <c:v>45880</c:v>
                </c:pt>
                <c:pt idx="901">
                  <c:v>45881</c:v>
                </c:pt>
                <c:pt idx="902">
                  <c:v>45882</c:v>
                </c:pt>
                <c:pt idx="903">
                  <c:v>45883</c:v>
                </c:pt>
                <c:pt idx="904">
                  <c:v>45884</c:v>
                </c:pt>
                <c:pt idx="905">
                  <c:v>45887</c:v>
                </c:pt>
                <c:pt idx="906">
                  <c:v>45888</c:v>
                </c:pt>
                <c:pt idx="907">
                  <c:v>45889</c:v>
                </c:pt>
                <c:pt idx="908">
                  <c:v>45890</c:v>
                </c:pt>
                <c:pt idx="909">
                  <c:v>45891</c:v>
                </c:pt>
                <c:pt idx="910">
                  <c:v>45894</c:v>
                </c:pt>
                <c:pt idx="911">
                  <c:v>45895</c:v>
                </c:pt>
                <c:pt idx="912">
                  <c:v>45896</c:v>
                </c:pt>
                <c:pt idx="913">
                  <c:v>45897</c:v>
                </c:pt>
                <c:pt idx="914">
                  <c:v>45898</c:v>
                </c:pt>
                <c:pt idx="915">
                  <c:v>45901</c:v>
                </c:pt>
                <c:pt idx="916">
                  <c:v>45902</c:v>
                </c:pt>
                <c:pt idx="917">
                  <c:v>45903</c:v>
                </c:pt>
                <c:pt idx="918">
                  <c:v>45904</c:v>
                </c:pt>
                <c:pt idx="919">
                  <c:v>45905</c:v>
                </c:pt>
                <c:pt idx="920">
                  <c:v>45908</c:v>
                </c:pt>
                <c:pt idx="921">
                  <c:v>45909</c:v>
                </c:pt>
                <c:pt idx="922">
                  <c:v>45910</c:v>
                </c:pt>
                <c:pt idx="923">
                  <c:v>45911</c:v>
                </c:pt>
                <c:pt idx="924">
                  <c:v>45912</c:v>
                </c:pt>
                <c:pt idx="925">
                  <c:v>45915</c:v>
                </c:pt>
                <c:pt idx="926">
                  <c:v>45916</c:v>
                </c:pt>
                <c:pt idx="927">
                  <c:v>45917</c:v>
                </c:pt>
                <c:pt idx="928">
                  <c:v>45918</c:v>
                </c:pt>
                <c:pt idx="929">
                  <c:v>45919</c:v>
                </c:pt>
                <c:pt idx="930">
                  <c:v>45922</c:v>
                </c:pt>
                <c:pt idx="931">
                  <c:v>45923</c:v>
                </c:pt>
                <c:pt idx="932">
                  <c:v>45924</c:v>
                </c:pt>
                <c:pt idx="933">
                  <c:v>45925</c:v>
                </c:pt>
                <c:pt idx="934">
                  <c:v>45926</c:v>
                </c:pt>
                <c:pt idx="935">
                  <c:v>45929</c:v>
                </c:pt>
                <c:pt idx="936">
                  <c:v>45930</c:v>
                </c:pt>
                <c:pt idx="937">
                  <c:v>45931</c:v>
                </c:pt>
                <c:pt idx="938">
                  <c:v>45932</c:v>
                </c:pt>
                <c:pt idx="939">
                  <c:v>45933</c:v>
                </c:pt>
                <c:pt idx="940">
                  <c:v>45936</c:v>
                </c:pt>
                <c:pt idx="941">
                  <c:v>45937</c:v>
                </c:pt>
                <c:pt idx="942">
                  <c:v>45938</c:v>
                </c:pt>
                <c:pt idx="943">
                  <c:v>45939</c:v>
                </c:pt>
                <c:pt idx="944">
                  <c:v>45940</c:v>
                </c:pt>
                <c:pt idx="945">
                  <c:v>45943</c:v>
                </c:pt>
                <c:pt idx="946">
                  <c:v>45944</c:v>
                </c:pt>
                <c:pt idx="947">
                  <c:v>45945</c:v>
                </c:pt>
                <c:pt idx="948">
                  <c:v>45946</c:v>
                </c:pt>
                <c:pt idx="949">
                  <c:v>45947</c:v>
                </c:pt>
                <c:pt idx="950">
                  <c:v>45950</c:v>
                </c:pt>
                <c:pt idx="951">
                  <c:v>45951</c:v>
                </c:pt>
                <c:pt idx="952">
                  <c:v>45952</c:v>
                </c:pt>
                <c:pt idx="953">
                  <c:v>45953</c:v>
                </c:pt>
                <c:pt idx="954">
                  <c:v>45954</c:v>
                </c:pt>
                <c:pt idx="955">
                  <c:v>45957</c:v>
                </c:pt>
                <c:pt idx="956">
                  <c:v>45958</c:v>
                </c:pt>
                <c:pt idx="957">
                  <c:v>45959</c:v>
                </c:pt>
                <c:pt idx="958">
                  <c:v>45960</c:v>
                </c:pt>
                <c:pt idx="959">
                  <c:v>45961</c:v>
                </c:pt>
                <c:pt idx="960">
                  <c:v>45964</c:v>
                </c:pt>
                <c:pt idx="961">
                  <c:v>45965</c:v>
                </c:pt>
                <c:pt idx="962">
                  <c:v>45966</c:v>
                </c:pt>
                <c:pt idx="963">
                  <c:v>45967</c:v>
                </c:pt>
                <c:pt idx="964">
                  <c:v>45968</c:v>
                </c:pt>
                <c:pt idx="965">
                  <c:v>45971</c:v>
                </c:pt>
                <c:pt idx="966">
                  <c:v>45972</c:v>
                </c:pt>
                <c:pt idx="967">
                  <c:v>45973</c:v>
                </c:pt>
                <c:pt idx="968">
                  <c:v>45974</c:v>
                </c:pt>
                <c:pt idx="969">
                  <c:v>45975</c:v>
                </c:pt>
                <c:pt idx="970">
                  <c:v>45978</c:v>
                </c:pt>
                <c:pt idx="971">
                  <c:v>45979</c:v>
                </c:pt>
                <c:pt idx="972">
                  <c:v>45980</c:v>
                </c:pt>
                <c:pt idx="973">
                  <c:v>45982</c:v>
                </c:pt>
                <c:pt idx="974">
                  <c:v>45985</c:v>
                </c:pt>
                <c:pt idx="975">
                  <c:v>45986</c:v>
                </c:pt>
                <c:pt idx="976">
                  <c:v>45987</c:v>
                </c:pt>
                <c:pt idx="977">
                  <c:v>45988</c:v>
                </c:pt>
                <c:pt idx="978">
                  <c:v>45989</c:v>
                </c:pt>
                <c:pt idx="979">
                  <c:v>45992</c:v>
                </c:pt>
                <c:pt idx="980">
                  <c:v>45993</c:v>
                </c:pt>
                <c:pt idx="981">
                  <c:v>45994</c:v>
                </c:pt>
                <c:pt idx="982">
                  <c:v>45995</c:v>
                </c:pt>
                <c:pt idx="983">
                  <c:v>45996</c:v>
                </c:pt>
                <c:pt idx="984">
                  <c:v>45999</c:v>
                </c:pt>
                <c:pt idx="985">
                  <c:v>46000</c:v>
                </c:pt>
                <c:pt idx="986">
                  <c:v>46001</c:v>
                </c:pt>
                <c:pt idx="987">
                  <c:v>46002</c:v>
                </c:pt>
                <c:pt idx="988">
                  <c:v>46003</c:v>
                </c:pt>
                <c:pt idx="989">
                  <c:v>46006</c:v>
                </c:pt>
                <c:pt idx="990">
                  <c:v>46007</c:v>
                </c:pt>
                <c:pt idx="991">
                  <c:v>46008</c:v>
                </c:pt>
                <c:pt idx="992">
                  <c:v>46009</c:v>
                </c:pt>
                <c:pt idx="993">
                  <c:v>46010</c:v>
                </c:pt>
                <c:pt idx="994">
                  <c:v>46013</c:v>
                </c:pt>
                <c:pt idx="995">
                  <c:v>46014</c:v>
                </c:pt>
                <c:pt idx="996">
                  <c:v>46017</c:v>
                </c:pt>
                <c:pt idx="997">
                  <c:v>46020</c:v>
                </c:pt>
                <c:pt idx="998">
                  <c:v>46021</c:v>
                </c:pt>
                <c:pt idx="999">
                  <c:v>46024</c:v>
                </c:pt>
                <c:pt idx="1000">
                  <c:v>46027</c:v>
                </c:pt>
                <c:pt idx="1001">
                  <c:v>46028</c:v>
                </c:pt>
                <c:pt idx="1002">
                  <c:v>46029</c:v>
                </c:pt>
                <c:pt idx="1003">
                  <c:v>46030</c:v>
                </c:pt>
                <c:pt idx="1004">
                  <c:v>46031</c:v>
                </c:pt>
                <c:pt idx="1005">
                  <c:v>46034</c:v>
                </c:pt>
                <c:pt idx="1006">
                  <c:v>46035</c:v>
                </c:pt>
                <c:pt idx="1007">
                  <c:v>46036</c:v>
                </c:pt>
                <c:pt idx="1008">
                  <c:v>46037</c:v>
                </c:pt>
                <c:pt idx="1009">
                  <c:v>46038</c:v>
                </c:pt>
                <c:pt idx="1010">
                  <c:v>46041</c:v>
                </c:pt>
                <c:pt idx="1011">
                  <c:v>46042</c:v>
                </c:pt>
                <c:pt idx="1012">
                  <c:v>46043</c:v>
                </c:pt>
                <c:pt idx="1013">
                  <c:v>46044</c:v>
                </c:pt>
                <c:pt idx="1014">
                  <c:v>46045</c:v>
                </c:pt>
                <c:pt idx="1015">
                  <c:v>46048</c:v>
                </c:pt>
                <c:pt idx="1016">
                  <c:v>46049</c:v>
                </c:pt>
                <c:pt idx="1017">
                  <c:v>46050</c:v>
                </c:pt>
                <c:pt idx="1018">
                  <c:v>46051</c:v>
                </c:pt>
                <c:pt idx="1019">
                  <c:v>46052</c:v>
                </c:pt>
                <c:pt idx="1020">
                  <c:v>46055</c:v>
                </c:pt>
                <c:pt idx="1021">
                  <c:v>46056</c:v>
                </c:pt>
                <c:pt idx="1022">
                  <c:v>46057</c:v>
                </c:pt>
                <c:pt idx="1023">
                  <c:v>46058</c:v>
                </c:pt>
                <c:pt idx="1024">
                  <c:v>46059</c:v>
                </c:pt>
                <c:pt idx="1025">
                  <c:v>46062</c:v>
                </c:pt>
                <c:pt idx="1026">
                  <c:v>46063</c:v>
                </c:pt>
                <c:pt idx="1027">
                  <c:v>46064</c:v>
                </c:pt>
                <c:pt idx="1028">
                  <c:v>46065</c:v>
                </c:pt>
                <c:pt idx="1029">
                  <c:v>46066</c:v>
                </c:pt>
                <c:pt idx="1030">
                  <c:v>46071</c:v>
                </c:pt>
                <c:pt idx="1031">
                  <c:v>46072</c:v>
                </c:pt>
                <c:pt idx="1032">
                  <c:v>46073</c:v>
                </c:pt>
                <c:pt idx="1033">
                  <c:v>46076</c:v>
                </c:pt>
                <c:pt idx="1034">
                  <c:v>46077</c:v>
                </c:pt>
                <c:pt idx="1035">
                  <c:v>46078</c:v>
                </c:pt>
                <c:pt idx="1036">
                  <c:v>46079</c:v>
                </c:pt>
                <c:pt idx="1037">
                  <c:v>46080</c:v>
                </c:pt>
                <c:pt idx="1038">
                  <c:v>46083</c:v>
                </c:pt>
                <c:pt idx="1039">
                  <c:v>46084</c:v>
                </c:pt>
                <c:pt idx="1040">
                  <c:v>46085</c:v>
                </c:pt>
                <c:pt idx="1041">
                  <c:v>46086</c:v>
                </c:pt>
                <c:pt idx="1042">
                  <c:v>46087</c:v>
                </c:pt>
                <c:pt idx="1043">
                  <c:v>46090</c:v>
                </c:pt>
                <c:pt idx="1044">
                  <c:v>46091</c:v>
                </c:pt>
                <c:pt idx="1045">
                  <c:v>46092</c:v>
                </c:pt>
                <c:pt idx="1046">
                  <c:v>46093</c:v>
                </c:pt>
                <c:pt idx="1047">
                  <c:v>46094</c:v>
                </c:pt>
                <c:pt idx="1048">
                  <c:v>46097</c:v>
                </c:pt>
                <c:pt idx="1049">
                  <c:v>46098</c:v>
                </c:pt>
                <c:pt idx="1050">
                  <c:v>46099</c:v>
                </c:pt>
                <c:pt idx="1051">
                  <c:v>46100</c:v>
                </c:pt>
                <c:pt idx="1052">
                  <c:v>46101</c:v>
                </c:pt>
                <c:pt idx="1053">
                  <c:v>46104</c:v>
                </c:pt>
                <c:pt idx="1054">
                  <c:v>46105</c:v>
                </c:pt>
                <c:pt idx="1055">
                  <c:v>46106</c:v>
                </c:pt>
                <c:pt idx="1056">
                  <c:v>46107</c:v>
                </c:pt>
                <c:pt idx="1057">
                  <c:v>46108</c:v>
                </c:pt>
                <c:pt idx="1058">
                  <c:v>46111</c:v>
                </c:pt>
                <c:pt idx="1059">
                  <c:v>46112</c:v>
                </c:pt>
                <c:pt idx="1060">
                  <c:v>46113</c:v>
                </c:pt>
                <c:pt idx="1061">
                  <c:v>46114</c:v>
                </c:pt>
                <c:pt idx="1062">
                  <c:v>46118</c:v>
                </c:pt>
                <c:pt idx="1063">
                  <c:v>46119</c:v>
                </c:pt>
                <c:pt idx="1064">
                  <c:v>46120</c:v>
                </c:pt>
                <c:pt idx="1065">
                  <c:v>46121</c:v>
                </c:pt>
                <c:pt idx="1066">
                  <c:v>46122</c:v>
                </c:pt>
                <c:pt idx="1067">
                  <c:v>46125</c:v>
                </c:pt>
                <c:pt idx="1068">
                  <c:v>46126</c:v>
                </c:pt>
                <c:pt idx="1069">
                  <c:v>46127</c:v>
                </c:pt>
                <c:pt idx="1070">
                  <c:v>46128</c:v>
                </c:pt>
                <c:pt idx="1071">
                  <c:v>46129</c:v>
                </c:pt>
                <c:pt idx="1072">
                  <c:v>46132</c:v>
                </c:pt>
                <c:pt idx="1073">
                  <c:v>46134</c:v>
                </c:pt>
                <c:pt idx="1074">
                  <c:v>46135</c:v>
                </c:pt>
                <c:pt idx="1075">
                  <c:v>46136</c:v>
                </c:pt>
                <c:pt idx="1076">
                  <c:v>46139</c:v>
                </c:pt>
                <c:pt idx="1077">
                  <c:v>46140</c:v>
                </c:pt>
                <c:pt idx="1078">
                  <c:v>46141</c:v>
                </c:pt>
                <c:pt idx="1079">
                  <c:v>46142</c:v>
                </c:pt>
                <c:pt idx="1080">
                  <c:v>46146</c:v>
                </c:pt>
                <c:pt idx="1081">
                  <c:v>46147</c:v>
                </c:pt>
                <c:pt idx="1082">
                  <c:v>46148</c:v>
                </c:pt>
                <c:pt idx="1083">
                  <c:v>46149</c:v>
                </c:pt>
                <c:pt idx="1084">
                  <c:v>46150</c:v>
                </c:pt>
                <c:pt idx="1085">
                  <c:v>46153</c:v>
                </c:pt>
                <c:pt idx="1086">
                  <c:v>46154</c:v>
                </c:pt>
                <c:pt idx="1087">
                  <c:v>46155</c:v>
                </c:pt>
                <c:pt idx="1088">
                  <c:v>46156</c:v>
                </c:pt>
                <c:pt idx="1089">
                  <c:v>46157</c:v>
                </c:pt>
                <c:pt idx="1090">
                  <c:v>46160</c:v>
                </c:pt>
                <c:pt idx="1091">
                  <c:v>46161</c:v>
                </c:pt>
                <c:pt idx="1092">
                  <c:v>46162</c:v>
                </c:pt>
                <c:pt idx="1093">
                  <c:v>46163</c:v>
                </c:pt>
                <c:pt idx="1094">
                  <c:v>46164</c:v>
                </c:pt>
                <c:pt idx="1095">
                  <c:v>46167</c:v>
                </c:pt>
                <c:pt idx="1096">
                  <c:v>46168</c:v>
                </c:pt>
                <c:pt idx="1097">
                  <c:v>46169</c:v>
                </c:pt>
                <c:pt idx="1098">
                  <c:v>46170</c:v>
                </c:pt>
                <c:pt idx="1099">
                  <c:v>46171</c:v>
                </c:pt>
                <c:pt idx="1100">
                  <c:v>46174</c:v>
                </c:pt>
                <c:pt idx="1101">
                  <c:v>46175</c:v>
                </c:pt>
                <c:pt idx="1102">
                  <c:v>46176</c:v>
                </c:pt>
                <c:pt idx="1103">
                  <c:v>46178</c:v>
                </c:pt>
                <c:pt idx="1104">
                  <c:v>46181</c:v>
                </c:pt>
                <c:pt idx="1105">
                  <c:v>46182</c:v>
                </c:pt>
                <c:pt idx="1106">
                  <c:v>46183</c:v>
                </c:pt>
                <c:pt idx="1107">
                  <c:v>46184</c:v>
                </c:pt>
                <c:pt idx="1108">
                  <c:v>46185</c:v>
                </c:pt>
                <c:pt idx="1109">
                  <c:v>46188</c:v>
                </c:pt>
                <c:pt idx="1110">
                  <c:v>46189</c:v>
                </c:pt>
                <c:pt idx="1111">
                  <c:v>46190</c:v>
                </c:pt>
                <c:pt idx="1112">
                  <c:v>46191</c:v>
                </c:pt>
                <c:pt idx="1113">
                  <c:v>46192</c:v>
                </c:pt>
                <c:pt idx="1114">
                  <c:v>46195</c:v>
                </c:pt>
                <c:pt idx="1115">
                  <c:v>46196</c:v>
                </c:pt>
                <c:pt idx="1116">
                  <c:v>46197</c:v>
                </c:pt>
                <c:pt idx="1117">
                  <c:v>46198</c:v>
                </c:pt>
                <c:pt idx="1118">
                  <c:v>46199</c:v>
                </c:pt>
                <c:pt idx="1119">
                  <c:v>46202</c:v>
                </c:pt>
                <c:pt idx="1120">
                  <c:v>46203</c:v>
                </c:pt>
                <c:pt idx="1121">
                  <c:v>46204</c:v>
                </c:pt>
                <c:pt idx="1122">
                  <c:v>46205</c:v>
                </c:pt>
                <c:pt idx="1123">
                  <c:v>46206</c:v>
                </c:pt>
                <c:pt idx="1124">
                  <c:v>46209</c:v>
                </c:pt>
                <c:pt idx="1125">
                  <c:v>46210</c:v>
                </c:pt>
                <c:pt idx="1126">
                  <c:v>46211</c:v>
                </c:pt>
                <c:pt idx="1127">
                  <c:v>46212</c:v>
                </c:pt>
                <c:pt idx="1128">
                  <c:v>46213</c:v>
                </c:pt>
                <c:pt idx="1129">
                  <c:v>46216</c:v>
                </c:pt>
                <c:pt idx="1130">
                  <c:v>46217</c:v>
                </c:pt>
                <c:pt idx="1131">
                  <c:v>46218</c:v>
                </c:pt>
                <c:pt idx="1132">
                  <c:v>46219</c:v>
                </c:pt>
                <c:pt idx="1133">
                  <c:v>46220</c:v>
                </c:pt>
              </c:numCache>
            </c:numRef>
          </c:cat>
          <c:val>
            <c:numRef>
              <c:f>Análise_À_Vista!$AH$3:$AH$1136</c:f>
              <c:numCache>
                <c:formatCode>0.00</c:formatCode>
                <c:ptCount val="1134"/>
                <c:pt idx="0">
                  <c:v>9.7241436263198864</c:v>
                </c:pt>
                <c:pt idx="1">
                  <c:v>10.452855589732337</c:v>
                </c:pt>
                <c:pt idx="2">
                  <c:v>10.561567553144783</c:v>
                </c:pt>
                <c:pt idx="3">
                  <c:v>11.050279516557225</c:v>
                </c:pt>
                <c:pt idx="4">
                  <c:v>11.308991479969663</c:v>
                </c:pt>
                <c:pt idx="5">
                  <c:v>12.237703443382131</c:v>
                </c:pt>
                <c:pt idx="6">
                  <c:v>12.956415406794562</c:v>
                </c:pt>
                <c:pt idx="7">
                  <c:v>13.115127370207006</c:v>
                </c:pt>
                <c:pt idx="8">
                  <c:v>14.363839333619453</c:v>
                </c:pt>
                <c:pt idx="9">
                  <c:v>14.652551297031906</c:v>
                </c:pt>
                <c:pt idx="10">
                  <c:v>15.061263260444349</c:v>
                </c:pt>
                <c:pt idx="11">
                  <c:v>15.309975223856796</c:v>
                </c:pt>
                <c:pt idx="12">
                  <c:v>15.638687187269255</c:v>
                </c:pt>
                <c:pt idx="13">
                  <c:v>16.087399150681691</c:v>
                </c:pt>
                <c:pt idx="14">
                  <c:v>16.306111114094136</c:v>
                </c:pt>
                <c:pt idx="15">
                  <c:v>15.924823077506588</c:v>
                </c:pt>
                <c:pt idx="16">
                  <c:v>15.773535040919043</c:v>
                </c:pt>
                <c:pt idx="17">
                  <c:v>15.932247004331487</c:v>
                </c:pt>
                <c:pt idx="18">
                  <c:v>15.420958967743928</c:v>
                </c:pt>
                <c:pt idx="19">
                  <c:v>15.469670931156372</c:v>
                </c:pt>
                <c:pt idx="20">
                  <c:v>15.508382894568825</c:v>
                </c:pt>
                <c:pt idx="21">
                  <c:v>15.507094857981272</c:v>
                </c:pt>
                <c:pt idx="22">
                  <c:v>15.26580682139371</c:v>
                </c:pt>
                <c:pt idx="23">
                  <c:v>14.96451878480616</c:v>
                </c:pt>
                <c:pt idx="24">
                  <c:v>15.293230748218605</c:v>
                </c:pt>
                <c:pt idx="25">
                  <c:v>15.151942711631051</c:v>
                </c:pt>
                <c:pt idx="26">
                  <c:v>15.340654675043496</c:v>
                </c:pt>
                <c:pt idx="27">
                  <c:v>15.149366638455959</c:v>
                </c:pt>
                <c:pt idx="28">
                  <c:v>15.318078601868393</c:v>
                </c:pt>
                <c:pt idx="29">
                  <c:v>15.306790565280835</c:v>
                </c:pt>
                <c:pt idx="30">
                  <c:v>14.255502528693285</c:v>
                </c:pt>
                <c:pt idx="31">
                  <c:v>14.844214492105735</c:v>
                </c:pt>
                <c:pt idx="32">
                  <c:v>14.842926455518182</c:v>
                </c:pt>
                <c:pt idx="33">
                  <c:v>14.841638418930629</c:v>
                </c:pt>
                <c:pt idx="34">
                  <c:v>14.840350382343061</c:v>
                </c:pt>
                <c:pt idx="35">
                  <c:v>14.889062345755519</c:v>
                </c:pt>
                <c:pt idx="36">
                  <c:v>15.187774309167963</c:v>
                </c:pt>
                <c:pt idx="37">
                  <c:v>15.256486272580403</c:v>
                </c:pt>
                <c:pt idx="38">
                  <c:v>15.315198235992867</c:v>
                </c:pt>
                <c:pt idx="39">
                  <c:v>15.783910199405312</c:v>
                </c:pt>
                <c:pt idx="40">
                  <c:v>15.662622162817755</c:v>
                </c:pt>
                <c:pt idx="41">
                  <c:v>16.201334126230194</c:v>
                </c:pt>
                <c:pt idx="42">
                  <c:v>16.650046089642657</c:v>
                </c:pt>
                <c:pt idx="43">
                  <c:v>18.708758053055092</c:v>
                </c:pt>
                <c:pt idx="44">
                  <c:v>19.897470016467537</c:v>
                </c:pt>
                <c:pt idx="45">
                  <c:v>19.80618197987998</c:v>
                </c:pt>
                <c:pt idx="46">
                  <c:v>19.994893943292439</c:v>
                </c:pt>
                <c:pt idx="47">
                  <c:v>22.163605906704873</c:v>
                </c:pt>
                <c:pt idx="48">
                  <c:v>22.512317870117329</c:v>
                </c:pt>
                <c:pt idx="49">
                  <c:v>22.501029833529785</c:v>
                </c:pt>
                <c:pt idx="50">
                  <c:v>22.389741796942218</c:v>
                </c:pt>
                <c:pt idx="51">
                  <c:v>22.238453760354659</c:v>
                </c:pt>
                <c:pt idx="52">
                  <c:v>21.277165723767112</c:v>
                </c:pt>
                <c:pt idx="53">
                  <c:v>21.335877687179561</c:v>
                </c:pt>
                <c:pt idx="54">
                  <c:v>20.014589650592015</c:v>
                </c:pt>
                <c:pt idx="55">
                  <c:v>18.673301614004458</c:v>
                </c:pt>
                <c:pt idx="56">
                  <c:v>17.962013577416897</c:v>
                </c:pt>
                <c:pt idx="57">
                  <c:v>15.760725540829355</c:v>
                </c:pt>
                <c:pt idx="58">
                  <c:v>14.959437504241791</c:v>
                </c:pt>
                <c:pt idx="59">
                  <c:v>11.588149467654233</c:v>
                </c:pt>
                <c:pt idx="60">
                  <c:v>11.536861431066697</c:v>
                </c:pt>
                <c:pt idx="61">
                  <c:v>11.94557339447914</c:v>
                </c:pt>
                <c:pt idx="62">
                  <c:v>10.914285357891586</c:v>
                </c:pt>
                <c:pt idx="63">
                  <c:v>10.44299732130402</c:v>
                </c:pt>
                <c:pt idx="64">
                  <c:v>9.1017092847164776</c:v>
                </c:pt>
                <c:pt idx="65">
                  <c:v>8.3904212481289164</c:v>
                </c:pt>
                <c:pt idx="66">
                  <c:v>8.0091332115413678</c:v>
                </c:pt>
                <c:pt idx="67">
                  <c:v>7.9878451749538044</c:v>
                </c:pt>
                <c:pt idx="68">
                  <c:v>7.8865571383662711</c:v>
                </c:pt>
                <c:pt idx="69">
                  <c:v>7.17526910177871</c:v>
                </c:pt>
                <c:pt idx="70">
                  <c:v>6.5839810651911534</c:v>
                </c:pt>
                <c:pt idx="71">
                  <c:v>6.3426930286036054</c:v>
                </c:pt>
                <c:pt idx="72">
                  <c:v>6.6914049920160465</c:v>
                </c:pt>
                <c:pt idx="73">
                  <c:v>7.1101169554284951</c:v>
                </c:pt>
                <c:pt idx="74">
                  <c:v>6.9688289188409414</c:v>
                </c:pt>
                <c:pt idx="75">
                  <c:v>7.0475408822534007</c:v>
                </c:pt>
                <c:pt idx="76">
                  <c:v>7.8462528456658305</c:v>
                </c:pt>
                <c:pt idx="77">
                  <c:v>7.6649648090782847</c:v>
                </c:pt>
                <c:pt idx="78">
                  <c:v>7.3836767724907162</c:v>
                </c:pt>
                <c:pt idx="79">
                  <c:v>7.572388735903175</c:v>
                </c:pt>
                <c:pt idx="80">
                  <c:v>7.4611006993156224</c:v>
                </c:pt>
                <c:pt idx="81">
                  <c:v>7.0998126627280698</c:v>
                </c:pt>
                <c:pt idx="82">
                  <c:v>6.8485246261405166</c:v>
                </c:pt>
                <c:pt idx="83">
                  <c:v>6.8172365895529623</c:v>
                </c:pt>
                <c:pt idx="84">
                  <c:v>6.6959485529654046</c:v>
                </c:pt>
                <c:pt idx="85">
                  <c:v>5.9346605163778463</c:v>
                </c:pt>
                <c:pt idx="86">
                  <c:v>5.4733724797903136</c:v>
                </c:pt>
                <c:pt idx="87">
                  <c:v>5.1720844432027491</c:v>
                </c:pt>
                <c:pt idx="88">
                  <c:v>5.4407964066151919</c:v>
                </c:pt>
                <c:pt idx="89">
                  <c:v>5.7795083700276422</c:v>
                </c:pt>
                <c:pt idx="90">
                  <c:v>5.9382203334400998</c:v>
                </c:pt>
                <c:pt idx="91">
                  <c:v>7.3869322968525353</c:v>
                </c:pt>
                <c:pt idx="92">
                  <c:v>8.5256442602649827</c:v>
                </c:pt>
                <c:pt idx="93">
                  <c:v>8.7343562236774375</c:v>
                </c:pt>
                <c:pt idx="94">
                  <c:v>8.7030681870898832</c:v>
                </c:pt>
                <c:pt idx="95">
                  <c:v>7.971780150502326</c:v>
                </c:pt>
                <c:pt idx="96">
                  <c:v>7.540492113914766</c:v>
                </c:pt>
                <c:pt idx="97">
                  <c:v>6.9592040773272288</c:v>
                </c:pt>
                <c:pt idx="98">
                  <c:v>6.8779160407396631</c:v>
                </c:pt>
                <c:pt idx="99">
                  <c:v>6.5566280041521026</c:v>
                </c:pt>
                <c:pt idx="100">
                  <c:v>6.4853399675645562</c:v>
                </c:pt>
                <c:pt idx="101">
                  <c:v>6.444051930977011</c:v>
                </c:pt>
                <c:pt idx="102">
                  <c:v>5.8727638943894505</c:v>
                </c:pt>
                <c:pt idx="103">
                  <c:v>5.4414758578018905</c:v>
                </c:pt>
                <c:pt idx="104">
                  <c:v>5.1801878212143464</c:v>
                </c:pt>
                <c:pt idx="105">
                  <c:v>4.7488997846267864</c:v>
                </c:pt>
                <c:pt idx="106">
                  <c:v>4.4976117480392332</c:v>
                </c:pt>
                <c:pt idx="107">
                  <c:v>5.2763237114516812</c:v>
                </c:pt>
                <c:pt idx="108">
                  <c:v>5.5950356748641354</c:v>
                </c:pt>
                <c:pt idx="109">
                  <c:v>5.6037476382765732</c:v>
                </c:pt>
                <c:pt idx="110">
                  <c:v>5.1924596016890234</c:v>
                </c:pt>
                <c:pt idx="111">
                  <c:v>5.2011715651014612</c:v>
                </c:pt>
                <c:pt idx="112">
                  <c:v>6.2298835285139234</c:v>
                </c:pt>
                <c:pt idx="113">
                  <c:v>6.0785954919263645</c:v>
                </c:pt>
                <c:pt idx="114">
                  <c:v>6.1673074553388005</c:v>
                </c:pt>
                <c:pt idx="115">
                  <c:v>7.2860194187512519</c:v>
                </c:pt>
                <c:pt idx="116">
                  <c:v>7.034731382163713</c:v>
                </c:pt>
                <c:pt idx="117">
                  <c:v>6.9434433455761564</c:v>
                </c:pt>
                <c:pt idx="118">
                  <c:v>5.8421553089885947</c:v>
                </c:pt>
                <c:pt idx="119">
                  <c:v>5.5908672724010557</c:v>
                </c:pt>
                <c:pt idx="120">
                  <c:v>4.7095792358134929</c:v>
                </c:pt>
                <c:pt idx="121">
                  <c:v>3.8782911992259415</c:v>
                </c:pt>
                <c:pt idx="122">
                  <c:v>4.8470031626383729</c:v>
                </c:pt>
                <c:pt idx="123">
                  <c:v>3.5657151260508329</c:v>
                </c:pt>
                <c:pt idx="124">
                  <c:v>3.1944270894632751</c:v>
                </c:pt>
                <c:pt idx="125">
                  <c:v>3.2931390528757163</c:v>
                </c:pt>
                <c:pt idx="126">
                  <c:v>2.6718510162881586</c:v>
                </c:pt>
                <c:pt idx="127">
                  <c:v>2.2805629797006191</c:v>
                </c:pt>
                <c:pt idx="128">
                  <c:v>1.789274943113071</c:v>
                </c:pt>
                <c:pt idx="129">
                  <c:v>1.627986906525507</c:v>
                </c:pt>
                <c:pt idx="130">
                  <c:v>2.5066988699379635</c:v>
                </c:pt>
                <c:pt idx="131">
                  <c:v>3.2854108333504115</c:v>
                </c:pt>
                <c:pt idx="132">
                  <c:v>2.9141227967628538</c:v>
                </c:pt>
                <c:pt idx="133">
                  <c:v>2.782834760175291</c:v>
                </c:pt>
                <c:pt idx="134">
                  <c:v>2.6815467235877435</c:v>
                </c:pt>
                <c:pt idx="135">
                  <c:v>2.600258687000192</c:v>
                </c:pt>
                <c:pt idx="136">
                  <c:v>1.9289706504126372</c:v>
                </c:pt>
                <c:pt idx="137">
                  <c:v>1.6876826138250749</c:v>
                </c:pt>
                <c:pt idx="138">
                  <c:v>1.1463945772375297</c:v>
                </c:pt>
                <c:pt idx="139">
                  <c:v>0.3751065406499805</c:v>
                </c:pt>
                <c:pt idx="140">
                  <c:v>0.53381850406242393</c:v>
                </c:pt>
                <c:pt idx="141">
                  <c:v>1.6225304674748742</c:v>
                </c:pt>
                <c:pt idx="142">
                  <c:v>1.7712424308873267</c:v>
                </c:pt>
                <c:pt idx="143">
                  <c:v>2.169954394299765</c:v>
                </c:pt>
                <c:pt idx="144">
                  <c:v>3.3386663577122135</c:v>
                </c:pt>
                <c:pt idx="145">
                  <c:v>3.0673783211246644</c:v>
                </c:pt>
                <c:pt idx="146">
                  <c:v>3.0260902845371049</c:v>
                </c:pt>
                <c:pt idx="147">
                  <c:v>2.8748022479495461</c:v>
                </c:pt>
                <c:pt idx="148">
                  <c:v>2.7235142113619872</c:v>
                </c:pt>
                <c:pt idx="149">
                  <c:v>2.412226174774446</c:v>
                </c:pt>
                <c:pt idx="150">
                  <c:v>2.5709381381868894</c:v>
                </c:pt>
                <c:pt idx="151">
                  <c:v>2.1696501015993306</c:v>
                </c:pt>
                <c:pt idx="152">
                  <c:v>3.3183620650117973</c:v>
                </c:pt>
                <c:pt idx="153">
                  <c:v>2.5170740284242328</c:v>
                </c:pt>
                <c:pt idx="154">
                  <c:v>2.1457859918366751</c:v>
                </c:pt>
                <c:pt idx="155">
                  <c:v>2.0244979552491174</c:v>
                </c:pt>
                <c:pt idx="156">
                  <c:v>2.7432099186615773</c:v>
                </c:pt>
                <c:pt idx="157">
                  <c:v>3.4219218820740167</c:v>
                </c:pt>
                <c:pt idx="158">
                  <c:v>2.7706338454864579</c:v>
                </c:pt>
                <c:pt idx="159">
                  <c:v>2.849345808898903</c:v>
                </c:pt>
                <c:pt idx="160">
                  <c:v>2.6080577723113691</c:v>
                </c:pt>
                <c:pt idx="161">
                  <c:v>3.416769735723804</c:v>
                </c:pt>
                <c:pt idx="162">
                  <c:v>3.5154816991362452</c:v>
                </c:pt>
                <c:pt idx="163">
                  <c:v>4.0741936625487085</c:v>
                </c:pt>
                <c:pt idx="164">
                  <c:v>4.3829056259611434</c:v>
                </c:pt>
                <c:pt idx="165">
                  <c:v>4.6016175893735891</c:v>
                </c:pt>
                <c:pt idx="166">
                  <c:v>4.5503295527860388</c:v>
                </c:pt>
                <c:pt idx="167">
                  <c:v>4.7790415161984896</c:v>
                </c:pt>
                <c:pt idx="168">
                  <c:v>4.5177534796109313</c:v>
                </c:pt>
                <c:pt idx="169">
                  <c:v>4.2664654430233782</c:v>
                </c:pt>
                <c:pt idx="170">
                  <c:v>4.1551774064358256</c:v>
                </c:pt>
                <c:pt idx="171">
                  <c:v>4.4538893698482838</c:v>
                </c:pt>
                <c:pt idx="172">
                  <c:v>4.1826013332607204</c:v>
                </c:pt>
                <c:pt idx="173">
                  <c:v>4.38131329667317</c:v>
                </c:pt>
                <c:pt idx="174">
                  <c:v>4.9200252600856089</c:v>
                </c:pt>
                <c:pt idx="175">
                  <c:v>4.708737223498062</c:v>
                </c:pt>
                <c:pt idx="176">
                  <c:v>5.2874491869105071</c:v>
                </c:pt>
                <c:pt idx="177">
                  <c:v>5.576161150322946</c:v>
                </c:pt>
                <c:pt idx="178">
                  <c:v>5.3948731137354002</c:v>
                </c:pt>
                <c:pt idx="179">
                  <c:v>5.0835850771478448</c:v>
                </c:pt>
                <c:pt idx="180">
                  <c:v>5.2922970405602854</c:v>
                </c:pt>
                <c:pt idx="181">
                  <c:v>5.3410090039727294</c:v>
                </c:pt>
                <c:pt idx="182">
                  <c:v>5.6797209673851938</c:v>
                </c:pt>
                <c:pt idx="183">
                  <c:v>5.6784329307976407</c:v>
                </c:pt>
                <c:pt idx="184">
                  <c:v>5.7371448942100756</c:v>
                </c:pt>
                <c:pt idx="185">
                  <c:v>5.8958568576225332</c:v>
                </c:pt>
                <c:pt idx="186">
                  <c:v>5.4445688210349772</c:v>
                </c:pt>
                <c:pt idx="187">
                  <c:v>5.4532807844474149</c:v>
                </c:pt>
                <c:pt idx="188">
                  <c:v>5.6519927478598646</c:v>
                </c:pt>
                <c:pt idx="189">
                  <c:v>5.3907047112723205</c:v>
                </c:pt>
                <c:pt idx="190">
                  <c:v>4.5394166746847588</c:v>
                </c:pt>
                <c:pt idx="191">
                  <c:v>4.1981286380972023</c:v>
                </c:pt>
                <c:pt idx="192">
                  <c:v>4.3468406015096548</c:v>
                </c:pt>
                <c:pt idx="193">
                  <c:v>4.3755525649221028</c:v>
                </c:pt>
                <c:pt idx="194">
                  <c:v>4.8442645283345485</c:v>
                </c:pt>
                <c:pt idx="195">
                  <c:v>5.2229764917469907</c:v>
                </c:pt>
                <c:pt idx="196">
                  <c:v>5.8016884551594359</c:v>
                </c:pt>
                <c:pt idx="197">
                  <c:v>6.0704004185718929</c:v>
                </c:pt>
                <c:pt idx="198">
                  <c:v>6.2791123819843335</c:v>
                </c:pt>
                <c:pt idx="199">
                  <c:v>6.8178243453967724</c:v>
                </c:pt>
                <c:pt idx="200">
                  <c:v>6.8665363088092306</c:v>
                </c:pt>
                <c:pt idx="201">
                  <c:v>6.6852482722216706</c:v>
                </c:pt>
                <c:pt idx="202">
                  <c:v>6.7739602356341209</c:v>
                </c:pt>
                <c:pt idx="203">
                  <c:v>6.5926721990465609</c:v>
                </c:pt>
                <c:pt idx="204">
                  <c:v>6.4413841624590162</c:v>
                </c:pt>
                <c:pt idx="205">
                  <c:v>6.6700961258714671</c:v>
                </c:pt>
                <c:pt idx="206">
                  <c:v>6.9188080892838997</c:v>
                </c:pt>
                <c:pt idx="207">
                  <c:v>7.2775200526963459</c:v>
                </c:pt>
                <c:pt idx="208">
                  <c:v>6.9562320161087996</c:v>
                </c:pt>
                <c:pt idx="209">
                  <c:v>6.7349439795212476</c:v>
                </c:pt>
                <c:pt idx="210">
                  <c:v>6.4036559429336961</c:v>
                </c:pt>
                <c:pt idx="211">
                  <c:v>6.6123679063461509</c:v>
                </c:pt>
                <c:pt idx="212">
                  <c:v>6.8710798697585886</c:v>
                </c:pt>
                <c:pt idx="213">
                  <c:v>6.9997918331710309</c:v>
                </c:pt>
                <c:pt idx="214">
                  <c:v>6.4785037965834817</c:v>
                </c:pt>
                <c:pt idx="215">
                  <c:v>6.2172157599959377</c:v>
                </c:pt>
                <c:pt idx="216">
                  <c:v>5.4959277234083714</c:v>
                </c:pt>
                <c:pt idx="217">
                  <c:v>5.7746396868208194</c:v>
                </c:pt>
                <c:pt idx="218">
                  <c:v>5.48335165023326</c:v>
                </c:pt>
                <c:pt idx="219">
                  <c:v>5.8720636136457216</c:v>
                </c:pt>
                <c:pt idx="220">
                  <c:v>6.6007755770581582</c:v>
                </c:pt>
                <c:pt idx="221">
                  <c:v>6.9294875404706033</c:v>
                </c:pt>
                <c:pt idx="222">
                  <c:v>7.0581995038830598</c:v>
                </c:pt>
                <c:pt idx="223">
                  <c:v>7.3969114672955101</c:v>
                </c:pt>
                <c:pt idx="224">
                  <c:v>7.7756234307079524</c:v>
                </c:pt>
                <c:pt idx="225">
                  <c:v>7.4043353941203947</c:v>
                </c:pt>
                <c:pt idx="226">
                  <c:v>7.9030473575328415</c:v>
                </c:pt>
                <c:pt idx="227">
                  <c:v>7.7217593209452957</c:v>
                </c:pt>
                <c:pt idx="228">
                  <c:v>8.1804712843577363</c:v>
                </c:pt>
                <c:pt idx="229">
                  <c:v>7.9991832477701763</c:v>
                </c:pt>
                <c:pt idx="230">
                  <c:v>8.0478952111826345</c:v>
                </c:pt>
                <c:pt idx="231">
                  <c:v>7.5766071745950825</c:v>
                </c:pt>
                <c:pt idx="232">
                  <c:v>8.1553191380075134</c:v>
                </c:pt>
                <c:pt idx="233">
                  <c:v>8.2640311014199597</c:v>
                </c:pt>
                <c:pt idx="234">
                  <c:v>7.9927430648324247</c:v>
                </c:pt>
                <c:pt idx="235">
                  <c:v>8.1914550282448602</c:v>
                </c:pt>
                <c:pt idx="236">
                  <c:v>8.2801669916573104</c:v>
                </c:pt>
                <c:pt idx="237">
                  <c:v>8.1488789550697618</c:v>
                </c:pt>
                <c:pt idx="238">
                  <c:v>7.9575909184822109</c:v>
                </c:pt>
                <c:pt idx="239">
                  <c:v>8.0963028818946441</c:v>
                </c:pt>
                <c:pt idx="240">
                  <c:v>8.6450148453070881</c:v>
                </c:pt>
                <c:pt idx="241">
                  <c:v>8.2737268087195446</c:v>
                </c:pt>
                <c:pt idx="242">
                  <c:v>8.2224387721319943</c:v>
                </c:pt>
                <c:pt idx="243">
                  <c:v>8.0811507355444263</c:v>
                </c:pt>
                <c:pt idx="244">
                  <c:v>7.8598626989568885</c:v>
                </c:pt>
                <c:pt idx="245">
                  <c:v>8.0985746623693302</c:v>
                </c:pt>
                <c:pt idx="246">
                  <c:v>8.1072866257817822</c:v>
                </c:pt>
                <c:pt idx="247">
                  <c:v>8.9459985891942182</c:v>
                </c:pt>
                <c:pt idx="248">
                  <c:v>8.7747105526066775</c:v>
                </c:pt>
                <c:pt idx="249">
                  <c:v>8.4434225160191119</c:v>
                </c:pt>
                <c:pt idx="250">
                  <c:v>8.482134479431565</c:v>
                </c:pt>
                <c:pt idx="251">
                  <c:v>8.4808464428439976</c:v>
                </c:pt>
                <c:pt idx="252">
                  <c:v>8.7795584062564558</c:v>
                </c:pt>
                <c:pt idx="253">
                  <c:v>10.168270369668903</c:v>
                </c:pt>
                <c:pt idx="254">
                  <c:v>9.9669823330813472</c:v>
                </c:pt>
                <c:pt idx="255">
                  <c:v>9.7556942964937861</c:v>
                </c:pt>
                <c:pt idx="256">
                  <c:v>9.8344062599062454</c:v>
                </c:pt>
                <c:pt idx="257">
                  <c:v>9.7131182233186877</c:v>
                </c:pt>
                <c:pt idx="258">
                  <c:v>9.4018301867311322</c:v>
                </c:pt>
                <c:pt idx="259">
                  <c:v>9.4305421501435944</c:v>
                </c:pt>
                <c:pt idx="260">
                  <c:v>8.9692541135560333</c:v>
                </c:pt>
                <c:pt idx="261">
                  <c:v>8.7879660769684733</c:v>
                </c:pt>
                <c:pt idx="262">
                  <c:v>8.5166780403809241</c:v>
                </c:pt>
                <c:pt idx="263">
                  <c:v>8.015390003793371</c:v>
                </c:pt>
                <c:pt idx="264">
                  <c:v>7.9841019672058167</c:v>
                </c:pt>
                <c:pt idx="265">
                  <c:v>8.102813930618268</c:v>
                </c:pt>
                <c:pt idx="266">
                  <c:v>7.86152589403072</c:v>
                </c:pt>
                <c:pt idx="267">
                  <c:v>7.93023785744316</c:v>
                </c:pt>
                <c:pt idx="268">
                  <c:v>7.6089498208555995</c:v>
                </c:pt>
                <c:pt idx="269">
                  <c:v>7.4876617842680417</c:v>
                </c:pt>
                <c:pt idx="270">
                  <c:v>7.7163737476805068</c:v>
                </c:pt>
                <c:pt idx="271">
                  <c:v>8.2750857110929417</c:v>
                </c:pt>
                <c:pt idx="272">
                  <c:v>8.5637976745053948</c:v>
                </c:pt>
                <c:pt idx="273">
                  <c:v>7.8625096379178387</c:v>
                </c:pt>
                <c:pt idx="274">
                  <c:v>7.8212216013302935</c:v>
                </c:pt>
                <c:pt idx="275">
                  <c:v>7.979933564742737</c:v>
                </c:pt>
                <c:pt idx="276">
                  <c:v>7.7486455281551798</c:v>
                </c:pt>
                <c:pt idx="277">
                  <c:v>7.7973574915676238</c:v>
                </c:pt>
                <c:pt idx="278">
                  <c:v>8.8760694549800689</c:v>
                </c:pt>
                <c:pt idx="279">
                  <c:v>8.9647814183925192</c:v>
                </c:pt>
                <c:pt idx="280">
                  <c:v>8.8134933818049603</c:v>
                </c:pt>
                <c:pt idx="281">
                  <c:v>9.2322053452174231</c:v>
                </c:pt>
                <c:pt idx="282">
                  <c:v>9.0509173086298631</c:v>
                </c:pt>
                <c:pt idx="283">
                  <c:v>9.2496292720422986</c:v>
                </c:pt>
                <c:pt idx="284">
                  <c:v>8.7583412354547505</c:v>
                </c:pt>
                <c:pt idx="285">
                  <c:v>9.1070531988672059</c:v>
                </c:pt>
                <c:pt idx="286">
                  <c:v>9.2857651622796453</c:v>
                </c:pt>
                <c:pt idx="287">
                  <c:v>8.9144771256920876</c:v>
                </c:pt>
                <c:pt idx="288">
                  <c:v>9.5031890891045379</c:v>
                </c:pt>
                <c:pt idx="289">
                  <c:v>9.2019010525169875</c:v>
                </c:pt>
                <c:pt idx="290">
                  <c:v>9.2506130159294315</c:v>
                </c:pt>
                <c:pt idx="291">
                  <c:v>9.5193249793418744</c:v>
                </c:pt>
                <c:pt idx="292">
                  <c:v>9.3980369427543309</c:v>
                </c:pt>
                <c:pt idx="293">
                  <c:v>9.3467489061667806</c:v>
                </c:pt>
                <c:pt idx="294">
                  <c:v>9.0554608695792211</c:v>
                </c:pt>
                <c:pt idx="295">
                  <c:v>9.2641728329916617</c:v>
                </c:pt>
                <c:pt idx="296">
                  <c:v>8.7228847964041165</c:v>
                </c:pt>
                <c:pt idx="297">
                  <c:v>8.5915967598165537</c:v>
                </c:pt>
                <c:pt idx="298">
                  <c:v>8.9003087232290028</c:v>
                </c:pt>
                <c:pt idx="299">
                  <c:v>8.7290206866414479</c:v>
                </c:pt>
                <c:pt idx="300">
                  <c:v>8.8177326500538982</c:v>
                </c:pt>
                <c:pt idx="301">
                  <c:v>8.7164446134663507</c:v>
                </c:pt>
                <c:pt idx="302">
                  <c:v>8.6051565768787839</c:v>
                </c:pt>
                <c:pt idx="303">
                  <c:v>8.0438685402912427</c:v>
                </c:pt>
                <c:pt idx="304">
                  <c:v>7.8625805037036827</c:v>
                </c:pt>
                <c:pt idx="305">
                  <c:v>7.7812924671161312</c:v>
                </c:pt>
                <c:pt idx="306">
                  <c:v>7.3500044305285712</c:v>
                </c:pt>
                <c:pt idx="307">
                  <c:v>7.6387163939410385</c:v>
                </c:pt>
                <c:pt idx="308">
                  <c:v>7.4774283573534746</c:v>
                </c:pt>
                <c:pt idx="309">
                  <c:v>6.886140320765918</c:v>
                </c:pt>
                <c:pt idx="310">
                  <c:v>6.684852284178362</c:v>
                </c:pt>
                <c:pt idx="311">
                  <c:v>6.433564247590823</c:v>
                </c:pt>
                <c:pt idx="312">
                  <c:v>6.1522762110032545</c:v>
                </c:pt>
                <c:pt idx="313">
                  <c:v>5.9709881744157087</c:v>
                </c:pt>
                <c:pt idx="314">
                  <c:v>4.7097001378281504</c:v>
                </c:pt>
                <c:pt idx="315">
                  <c:v>4.4984121012406035</c:v>
                </c:pt>
                <c:pt idx="316">
                  <c:v>3.8671240646530407</c:v>
                </c:pt>
                <c:pt idx="317">
                  <c:v>3.0358360280654892</c:v>
                </c:pt>
                <c:pt idx="318">
                  <c:v>2.0045479914779492</c:v>
                </c:pt>
                <c:pt idx="319">
                  <c:v>1.3432599548903852</c:v>
                </c:pt>
                <c:pt idx="320">
                  <c:v>0.58197191830282691</c:v>
                </c:pt>
                <c:pt idx="321">
                  <c:v>-0.28931611828473081</c:v>
                </c:pt>
                <c:pt idx="322">
                  <c:v>-0.97060415487226237</c:v>
                </c:pt>
                <c:pt idx="323">
                  <c:v>-2.3218921914598241</c:v>
                </c:pt>
                <c:pt idx="324">
                  <c:v>-3.4631802280473778</c:v>
                </c:pt>
                <c:pt idx="325">
                  <c:v>-5.6044682646349315</c:v>
                </c:pt>
                <c:pt idx="326">
                  <c:v>-6.0757563012224836</c:v>
                </c:pt>
                <c:pt idx="327">
                  <c:v>-6.4170443378100401</c:v>
                </c:pt>
                <c:pt idx="328">
                  <c:v>-7.4683323743975905</c:v>
                </c:pt>
                <c:pt idx="329">
                  <c:v>-8.4196204109851465</c:v>
                </c:pt>
                <c:pt idx="330">
                  <c:v>-10.500908447572698</c:v>
                </c:pt>
                <c:pt idx="331">
                  <c:v>-11.592196484160254</c:v>
                </c:pt>
                <c:pt idx="332">
                  <c:v>-11.923484520747806</c:v>
                </c:pt>
                <c:pt idx="333">
                  <c:v>-13.204772557335353</c:v>
                </c:pt>
                <c:pt idx="334">
                  <c:v>-13.716060593922911</c:v>
                </c:pt>
                <c:pt idx="335">
                  <c:v>-14.267348630510469</c:v>
                </c:pt>
                <c:pt idx="336">
                  <c:v>-15.538636667098025</c:v>
                </c:pt>
                <c:pt idx="337">
                  <c:v>-15.849924703685566</c:v>
                </c:pt>
                <c:pt idx="338">
                  <c:v>-17.271212740273128</c:v>
                </c:pt>
                <c:pt idx="339">
                  <c:v>-17.152500776860684</c:v>
                </c:pt>
                <c:pt idx="340">
                  <c:v>-17.093788813448228</c:v>
                </c:pt>
                <c:pt idx="341">
                  <c:v>-17.06507685003578</c:v>
                </c:pt>
                <c:pt idx="342">
                  <c:v>-18.456364886623341</c:v>
                </c:pt>
                <c:pt idx="343">
                  <c:v>-19.3576529232109</c:v>
                </c:pt>
                <c:pt idx="344">
                  <c:v>-19.808940959798441</c:v>
                </c:pt>
                <c:pt idx="345">
                  <c:v>-20.000228996385999</c:v>
                </c:pt>
                <c:pt idx="346">
                  <c:v>-20.651517032973558</c:v>
                </c:pt>
                <c:pt idx="347">
                  <c:v>-21.232805069561095</c:v>
                </c:pt>
                <c:pt idx="348">
                  <c:v>-20.774093106148655</c:v>
                </c:pt>
                <c:pt idx="349">
                  <c:v>-20.935381142736212</c:v>
                </c:pt>
                <c:pt idx="350">
                  <c:v>-20.906669179323771</c:v>
                </c:pt>
                <c:pt idx="351">
                  <c:v>-21.447957215911309</c:v>
                </c:pt>
                <c:pt idx="352">
                  <c:v>-21.929245252498866</c:v>
                </c:pt>
                <c:pt idx="353">
                  <c:v>-21.780533289086428</c:v>
                </c:pt>
                <c:pt idx="354">
                  <c:v>-21.941821325673985</c:v>
                </c:pt>
                <c:pt idx="355">
                  <c:v>-22.013109362261524</c:v>
                </c:pt>
                <c:pt idx="356">
                  <c:v>-21.554397398849083</c:v>
                </c:pt>
                <c:pt idx="357">
                  <c:v>-21.885685435436642</c:v>
                </c:pt>
                <c:pt idx="358">
                  <c:v>-21.856973472024201</c:v>
                </c:pt>
                <c:pt idx="359">
                  <c:v>-21.798261508611738</c:v>
                </c:pt>
                <c:pt idx="360">
                  <c:v>-21.479549545199298</c:v>
                </c:pt>
                <c:pt idx="361">
                  <c:v>-21.200837581786857</c:v>
                </c:pt>
                <c:pt idx="362">
                  <c:v>-21.162125618374397</c:v>
                </c:pt>
                <c:pt idx="363">
                  <c:v>-21.133413654961956</c:v>
                </c:pt>
                <c:pt idx="364">
                  <c:v>-21.004701691549513</c:v>
                </c:pt>
                <c:pt idx="365">
                  <c:v>-20.625989728137071</c:v>
                </c:pt>
                <c:pt idx="366">
                  <c:v>-19.917277764724609</c:v>
                </c:pt>
                <c:pt idx="367">
                  <c:v>-18.348565801312169</c:v>
                </c:pt>
                <c:pt idx="368">
                  <c:v>-18.039853837899727</c:v>
                </c:pt>
                <c:pt idx="369">
                  <c:v>-17.971141874487287</c:v>
                </c:pt>
                <c:pt idx="370">
                  <c:v>-17.692429911074825</c:v>
                </c:pt>
                <c:pt idx="371">
                  <c:v>-18.983717947662385</c:v>
                </c:pt>
                <c:pt idx="372">
                  <c:v>-19.205005984249944</c:v>
                </c:pt>
                <c:pt idx="373">
                  <c:v>-19.946294020837485</c:v>
                </c:pt>
                <c:pt idx="374">
                  <c:v>-19.75758205742504</c:v>
                </c:pt>
                <c:pt idx="375">
                  <c:v>-19.588870094012599</c:v>
                </c:pt>
                <c:pt idx="376">
                  <c:v>-19.130158130600158</c:v>
                </c:pt>
                <c:pt idx="377">
                  <c:v>-19.881446167187697</c:v>
                </c:pt>
                <c:pt idx="378">
                  <c:v>-19.332734203775253</c:v>
                </c:pt>
                <c:pt idx="379">
                  <c:v>-19.404022240362814</c:v>
                </c:pt>
                <c:pt idx="380">
                  <c:v>-19.935310276950368</c:v>
                </c:pt>
                <c:pt idx="381">
                  <c:v>-19.866598313537914</c:v>
                </c:pt>
                <c:pt idx="382">
                  <c:v>-21.077886350125468</c:v>
                </c:pt>
                <c:pt idx="383">
                  <c:v>-20.839174386713026</c:v>
                </c:pt>
                <c:pt idx="384">
                  <c:v>-20.580462423300567</c:v>
                </c:pt>
                <c:pt idx="385">
                  <c:v>-20.511750459888127</c:v>
                </c:pt>
                <c:pt idx="386">
                  <c:v>-20.023038496475685</c:v>
                </c:pt>
                <c:pt idx="387">
                  <c:v>-20.364326533063242</c:v>
                </c:pt>
                <c:pt idx="388">
                  <c:v>-21.285614569650782</c:v>
                </c:pt>
                <c:pt idx="389">
                  <c:v>-19.946902606238339</c:v>
                </c:pt>
                <c:pt idx="390">
                  <c:v>-19.708190642825897</c:v>
                </c:pt>
                <c:pt idx="391">
                  <c:v>-19.849478679413458</c:v>
                </c:pt>
                <c:pt idx="392">
                  <c:v>-20.240766716000998</c:v>
                </c:pt>
                <c:pt idx="393">
                  <c:v>-20.012054752588554</c:v>
                </c:pt>
                <c:pt idx="394">
                  <c:v>-21.293342789176116</c:v>
                </c:pt>
                <c:pt idx="395">
                  <c:v>-21.14463082576367</c:v>
                </c:pt>
                <c:pt idx="396">
                  <c:v>-21.655918862351214</c:v>
                </c:pt>
                <c:pt idx="397">
                  <c:v>-21.387206898938771</c:v>
                </c:pt>
                <c:pt idx="398">
                  <c:v>-21.64849493552633</c:v>
                </c:pt>
                <c:pt idx="399">
                  <c:v>-21.689782972113868</c:v>
                </c:pt>
                <c:pt idx="400">
                  <c:v>-21.841071008701427</c:v>
                </c:pt>
                <c:pt idx="401">
                  <c:v>-21.812359045288986</c:v>
                </c:pt>
                <c:pt idx="402">
                  <c:v>-22.113647081876543</c:v>
                </c:pt>
                <c:pt idx="403">
                  <c:v>-21.904935118464081</c:v>
                </c:pt>
                <c:pt idx="404">
                  <c:v>-21.466223155051644</c:v>
                </c:pt>
                <c:pt idx="405">
                  <c:v>-21.377511191639201</c:v>
                </c:pt>
                <c:pt idx="406">
                  <c:v>-21.498799228226744</c:v>
                </c:pt>
                <c:pt idx="407">
                  <c:v>-21.4500872648143</c:v>
                </c:pt>
                <c:pt idx="408">
                  <c:v>-21.101375301401859</c:v>
                </c:pt>
                <c:pt idx="409">
                  <c:v>-20.982663337989415</c:v>
                </c:pt>
                <c:pt idx="410">
                  <c:v>-21.143951374576957</c:v>
                </c:pt>
                <c:pt idx="411">
                  <c:v>-20.635239411164513</c:v>
                </c:pt>
                <c:pt idx="412">
                  <c:v>-21.016527447752068</c:v>
                </c:pt>
                <c:pt idx="413">
                  <c:v>-21.177815484339625</c:v>
                </c:pt>
                <c:pt idx="414">
                  <c:v>-21.099103520927173</c:v>
                </c:pt>
                <c:pt idx="415">
                  <c:v>-21.020391557514728</c:v>
                </c:pt>
                <c:pt idx="416">
                  <c:v>-20.801679594102282</c:v>
                </c:pt>
                <c:pt idx="417">
                  <c:v>-20.942967630689843</c:v>
                </c:pt>
                <c:pt idx="418">
                  <c:v>-20.584255667277382</c:v>
                </c:pt>
                <c:pt idx="419">
                  <c:v>-20.625543703864942</c:v>
                </c:pt>
                <c:pt idx="420">
                  <c:v>-20.426831740452499</c:v>
                </c:pt>
                <c:pt idx="421">
                  <c:v>-20.548119777040043</c:v>
                </c:pt>
                <c:pt idx="422">
                  <c:v>-19.829407813627597</c:v>
                </c:pt>
                <c:pt idx="423">
                  <c:v>-20.550695850215156</c:v>
                </c:pt>
                <c:pt idx="424">
                  <c:v>-21.071983886802713</c:v>
                </c:pt>
                <c:pt idx="425">
                  <c:v>-21.273271923390254</c:v>
                </c:pt>
                <c:pt idx="426">
                  <c:v>-20.324559959977812</c:v>
                </c:pt>
                <c:pt idx="427">
                  <c:v>-20.425847996565373</c:v>
                </c:pt>
                <c:pt idx="428">
                  <c:v>-20.457136033152914</c:v>
                </c:pt>
                <c:pt idx="429">
                  <c:v>-19.968424069740472</c:v>
                </c:pt>
                <c:pt idx="430">
                  <c:v>-19.899712106328025</c:v>
                </c:pt>
                <c:pt idx="431">
                  <c:v>-19.791000142915586</c:v>
                </c:pt>
                <c:pt idx="432">
                  <c:v>-19.302288179503144</c:v>
                </c:pt>
                <c:pt idx="433">
                  <c:v>-18.453576216090688</c:v>
                </c:pt>
                <c:pt idx="434">
                  <c:v>-18.194864252678244</c:v>
                </c:pt>
                <c:pt idx="435">
                  <c:v>-17.756152289265799</c:v>
                </c:pt>
                <c:pt idx="436">
                  <c:v>-17.107440325853339</c:v>
                </c:pt>
                <c:pt idx="437">
                  <c:v>-16.638728362440901</c:v>
                </c:pt>
                <c:pt idx="438">
                  <c:v>-16.010016399028459</c:v>
                </c:pt>
                <c:pt idx="439">
                  <c:v>-16.261304435616012</c:v>
                </c:pt>
                <c:pt idx="440">
                  <c:v>-15.582592472203558</c:v>
                </c:pt>
                <c:pt idx="441">
                  <c:v>-14.843880508791116</c:v>
                </c:pt>
                <c:pt idx="442">
                  <c:v>-14.295168545378672</c:v>
                </c:pt>
                <c:pt idx="443">
                  <c:v>-14.036456581966213</c:v>
                </c:pt>
                <c:pt idx="444">
                  <c:v>-13.457744618553768</c:v>
                </c:pt>
                <c:pt idx="445">
                  <c:v>-13.619032655141325</c:v>
                </c:pt>
                <c:pt idx="446">
                  <c:v>-14.200320691728884</c:v>
                </c:pt>
                <c:pt idx="447">
                  <c:v>-14.501608728316427</c:v>
                </c:pt>
                <c:pt idx="448">
                  <c:v>-15.092896764903983</c:v>
                </c:pt>
                <c:pt idx="449">
                  <c:v>-15.404184801491546</c:v>
                </c:pt>
                <c:pt idx="450">
                  <c:v>-15.335472838079085</c:v>
                </c:pt>
                <c:pt idx="451">
                  <c:v>-15.006760874666639</c:v>
                </c:pt>
                <c:pt idx="452">
                  <c:v>-14.8280489112542</c:v>
                </c:pt>
                <c:pt idx="453">
                  <c:v>-14.889336947841755</c:v>
                </c:pt>
                <c:pt idx="454">
                  <c:v>-14.880624984429318</c:v>
                </c:pt>
                <c:pt idx="455">
                  <c:v>-14.961913021016855</c:v>
                </c:pt>
                <c:pt idx="456">
                  <c:v>-14.773201057604417</c:v>
                </c:pt>
                <c:pt idx="457">
                  <c:v>-14.484489094191972</c:v>
                </c:pt>
                <c:pt idx="458">
                  <c:v>-13.695777130779511</c:v>
                </c:pt>
                <c:pt idx="459">
                  <c:v>-13.66706516736707</c:v>
                </c:pt>
                <c:pt idx="460">
                  <c:v>-13.688353203954627</c:v>
                </c:pt>
                <c:pt idx="461">
                  <c:v>-13.609641240542189</c:v>
                </c:pt>
                <c:pt idx="462">
                  <c:v>-14.180929277129728</c:v>
                </c:pt>
                <c:pt idx="463">
                  <c:v>-14.262217313717287</c:v>
                </c:pt>
                <c:pt idx="464">
                  <c:v>-14.093505350304845</c:v>
                </c:pt>
                <c:pt idx="465">
                  <c:v>-13.714793386892389</c:v>
                </c:pt>
                <c:pt idx="466">
                  <c:v>-13.896081423479941</c:v>
                </c:pt>
                <c:pt idx="467">
                  <c:v>-13.397369460067502</c:v>
                </c:pt>
                <c:pt idx="468">
                  <c:v>-12.388657496655057</c:v>
                </c:pt>
                <c:pt idx="469">
                  <c:v>-12.769945533242598</c:v>
                </c:pt>
                <c:pt idx="470">
                  <c:v>-12.73123356983016</c:v>
                </c:pt>
                <c:pt idx="471">
                  <c:v>-12.362521606417715</c:v>
                </c:pt>
                <c:pt idx="472">
                  <c:v>-12.293809643005275</c:v>
                </c:pt>
                <c:pt idx="473">
                  <c:v>-12.255097679592815</c:v>
                </c:pt>
                <c:pt idx="474">
                  <c:v>-12.456385716180371</c:v>
                </c:pt>
                <c:pt idx="475">
                  <c:v>-11.887673752767931</c:v>
                </c:pt>
                <c:pt idx="476">
                  <c:v>-11.458961789355484</c:v>
                </c:pt>
                <c:pt idx="477">
                  <c:v>-11.730249825943027</c:v>
                </c:pt>
                <c:pt idx="478">
                  <c:v>-10.601537862530584</c:v>
                </c:pt>
                <c:pt idx="479">
                  <c:v>-10.692825899118141</c:v>
                </c:pt>
                <c:pt idx="480">
                  <c:v>-10.014113935705687</c:v>
                </c:pt>
                <c:pt idx="481">
                  <c:v>-8.6154019722932418</c:v>
                </c:pt>
                <c:pt idx="482">
                  <c:v>-8.356690008880804</c:v>
                </c:pt>
                <c:pt idx="483">
                  <c:v>-7.4579780454683515</c:v>
                </c:pt>
                <c:pt idx="484">
                  <c:v>-7.289266082055903</c:v>
                </c:pt>
                <c:pt idx="485">
                  <c:v>-5.9505541186434527</c:v>
                </c:pt>
                <c:pt idx="486">
                  <c:v>-5.691842155231015</c:v>
                </c:pt>
                <c:pt idx="487">
                  <c:v>-5.0431301918185625</c:v>
                </c:pt>
                <c:pt idx="488">
                  <c:v>-4.9444182284061213</c:v>
                </c:pt>
                <c:pt idx="489">
                  <c:v>-5.565706264993679</c:v>
                </c:pt>
                <c:pt idx="490">
                  <c:v>-5.5569943015812271</c:v>
                </c:pt>
                <c:pt idx="491">
                  <c:v>-5.6782823381687706</c:v>
                </c:pt>
                <c:pt idx="492">
                  <c:v>-5.5295703747563323</c:v>
                </c:pt>
                <c:pt idx="493">
                  <c:v>-5.4708584113438832</c:v>
                </c:pt>
                <c:pt idx="494">
                  <c:v>-5.4821464479314415</c:v>
                </c:pt>
                <c:pt idx="495">
                  <c:v>-5.1834344845189833</c:v>
                </c:pt>
                <c:pt idx="496">
                  <c:v>-4.9847225211065478</c:v>
                </c:pt>
                <c:pt idx="497">
                  <c:v>-3.7760105576941072</c:v>
                </c:pt>
                <c:pt idx="498">
                  <c:v>-3.2172985942816581</c:v>
                </c:pt>
                <c:pt idx="499">
                  <c:v>-3.178586630869205</c:v>
                </c:pt>
                <c:pt idx="500">
                  <c:v>-1.609874667456765</c:v>
                </c:pt>
                <c:pt idx="501">
                  <c:v>-2.4411627040443165</c:v>
                </c:pt>
                <c:pt idx="502">
                  <c:v>-2.7724507406318537</c:v>
                </c:pt>
                <c:pt idx="503">
                  <c:v>-2.6337387772194205</c:v>
                </c:pt>
                <c:pt idx="504">
                  <c:v>-3.5550268138069754</c:v>
                </c:pt>
                <c:pt idx="505">
                  <c:v>-4.8363148503945297</c:v>
                </c:pt>
                <c:pt idx="506">
                  <c:v>-5.5776028869820777</c:v>
                </c:pt>
                <c:pt idx="507">
                  <c:v>-6.7188909235696315</c:v>
                </c:pt>
                <c:pt idx="508">
                  <c:v>-7.2501789601571858</c:v>
                </c:pt>
                <c:pt idx="509">
                  <c:v>-7.9614669967447327</c:v>
                </c:pt>
                <c:pt idx="510">
                  <c:v>-8.6527550333322836</c:v>
                </c:pt>
                <c:pt idx="511">
                  <c:v>-9.7240430699198441</c:v>
                </c:pt>
                <c:pt idx="512">
                  <c:v>-10.4253311065074</c:v>
                </c:pt>
                <c:pt idx="513">
                  <c:v>-10.576619143094959</c:v>
                </c:pt>
                <c:pt idx="514">
                  <c:v>-10.027907179682501</c:v>
                </c:pt>
                <c:pt idx="515">
                  <c:v>-10.409195216270057</c:v>
                </c:pt>
                <c:pt idx="516">
                  <c:v>-10.680483252857613</c:v>
                </c:pt>
                <c:pt idx="517">
                  <c:v>-10.46177128944516</c:v>
                </c:pt>
                <c:pt idx="518">
                  <c:v>-9.7830593260327134</c:v>
                </c:pt>
                <c:pt idx="519">
                  <c:v>-10.234347362620269</c:v>
                </c:pt>
                <c:pt idx="520">
                  <c:v>-11.105635399207827</c:v>
                </c:pt>
                <c:pt idx="521">
                  <c:v>-10.40692343579537</c:v>
                </c:pt>
                <c:pt idx="522">
                  <c:v>-9.7982114723829312</c:v>
                </c:pt>
                <c:pt idx="523">
                  <c:v>-9.6794995089704869</c:v>
                </c:pt>
                <c:pt idx="524">
                  <c:v>-9.200787545558029</c:v>
                </c:pt>
                <c:pt idx="525">
                  <c:v>-9.7520755821455865</c:v>
                </c:pt>
                <c:pt idx="526">
                  <c:v>-10.273363618733143</c:v>
                </c:pt>
                <c:pt idx="527">
                  <c:v>-10.294651655320699</c:v>
                </c:pt>
                <c:pt idx="528">
                  <c:v>-10.285939691908247</c:v>
                </c:pt>
                <c:pt idx="529">
                  <c:v>-9.9172277284958028</c:v>
                </c:pt>
                <c:pt idx="530">
                  <c:v>-9.7985157650833585</c:v>
                </c:pt>
                <c:pt idx="531">
                  <c:v>-9.4998038016709145</c:v>
                </c:pt>
                <c:pt idx="532">
                  <c:v>-9.2210918382584595</c:v>
                </c:pt>
                <c:pt idx="533">
                  <c:v>-9.4423798748460186</c:v>
                </c:pt>
                <c:pt idx="534">
                  <c:v>-9.2336679114335709</c:v>
                </c:pt>
                <c:pt idx="535">
                  <c:v>-9.1649559480211309</c:v>
                </c:pt>
                <c:pt idx="536">
                  <c:v>-9.3462439846086767</c:v>
                </c:pt>
                <c:pt idx="537">
                  <c:v>-9.9375320211962332</c:v>
                </c:pt>
                <c:pt idx="538">
                  <c:v>-9.9888200577837907</c:v>
                </c:pt>
                <c:pt idx="539">
                  <c:v>-9.4801080943713316</c:v>
                </c:pt>
                <c:pt idx="540">
                  <c:v>-9.1713961309588896</c:v>
                </c:pt>
                <c:pt idx="541">
                  <c:v>-9.3926841675464416</c:v>
                </c:pt>
                <c:pt idx="542">
                  <c:v>-9.3939722041340019</c:v>
                </c:pt>
                <c:pt idx="543">
                  <c:v>-9.2852602407215414</c:v>
                </c:pt>
                <c:pt idx="544">
                  <c:v>-9.2365482773091045</c:v>
                </c:pt>
                <c:pt idx="545">
                  <c:v>-9.1878363138966606</c:v>
                </c:pt>
                <c:pt idx="546">
                  <c:v>-8.9991243504842018</c:v>
                </c:pt>
                <c:pt idx="547">
                  <c:v>-9.0504123870717592</c:v>
                </c:pt>
                <c:pt idx="548">
                  <c:v>-8.7917004236593144</c:v>
                </c:pt>
                <c:pt idx="549">
                  <c:v>-8.8429884602468718</c:v>
                </c:pt>
                <c:pt idx="550">
                  <c:v>-9.124276496834419</c:v>
                </c:pt>
                <c:pt idx="551">
                  <c:v>-9.1155645334219741</c:v>
                </c:pt>
                <c:pt idx="552">
                  <c:v>-9.2068525700095307</c:v>
                </c:pt>
                <c:pt idx="553">
                  <c:v>-9.3181406065970904</c:v>
                </c:pt>
                <c:pt idx="554">
                  <c:v>-9.469428643184628</c:v>
                </c:pt>
                <c:pt idx="555">
                  <c:v>-9.3007166797721865</c:v>
                </c:pt>
                <c:pt idx="556">
                  <c:v>-9.5820047163597479</c:v>
                </c:pt>
                <c:pt idx="557">
                  <c:v>-10.043292752947302</c:v>
                </c:pt>
                <c:pt idx="558">
                  <c:v>-10.064580789534844</c:v>
                </c:pt>
                <c:pt idx="559">
                  <c:v>-10.115868826122401</c:v>
                </c:pt>
                <c:pt idx="560">
                  <c:v>-10.237156862709959</c:v>
                </c:pt>
                <c:pt idx="561">
                  <c:v>-10.2984448992975</c:v>
                </c:pt>
                <c:pt idx="562">
                  <c:v>-10.289732935885063</c:v>
                </c:pt>
                <c:pt idx="563">
                  <c:v>-10.761020972472615</c:v>
                </c:pt>
                <c:pt idx="564">
                  <c:v>-11.112309009060176</c:v>
                </c:pt>
                <c:pt idx="565">
                  <c:v>-11.573597045647716</c:v>
                </c:pt>
                <c:pt idx="566">
                  <c:v>-11.864885082235276</c:v>
                </c:pt>
                <c:pt idx="567">
                  <c:v>-12.14617311882283</c:v>
                </c:pt>
                <c:pt idx="568">
                  <c:v>-12.037461155410377</c:v>
                </c:pt>
                <c:pt idx="569">
                  <c:v>-11.938749191997928</c:v>
                </c:pt>
                <c:pt idx="570">
                  <c:v>-11.880037228585486</c:v>
                </c:pt>
                <c:pt idx="571">
                  <c:v>-12.191325265173049</c:v>
                </c:pt>
                <c:pt idx="572">
                  <c:v>-12.292613301760603</c:v>
                </c:pt>
                <c:pt idx="573">
                  <c:v>-12.453901338348146</c:v>
                </c:pt>
                <c:pt idx="574">
                  <c:v>-12.785189374935705</c:v>
                </c:pt>
                <c:pt idx="575">
                  <c:v>-13.036477411523258</c:v>
                </c:pt>
                <c:pt idx="576">
                  <c:v>-13.2377654481108</c:v>
                </c:pt>
                <c:pt idx="577">
                  <c:v>-13.479053484698362</c:v>
                </c:pt>
                <c:pt idx="578">
                  <c:v>-13.380341521285914</c:v>
                </c:pt>
                <c:pt idx="579">
                  <c:v>-13.341629557873475</c:v>
                </c:pt>
                <c:pt idx="580">
                  <c:v>-13.502917594461017</c:v>
                </c:pt>
                <c:pt idx="581">
                  <c:v>-13.854205631048572</c:v>
                </c:pt>
                <c:pt idx="582">
                  <c:v>-13.29549366763613</c:v>
                </c:pt>
                <c:pt idx="583">
                  <c:v>-13.176781704223671</c:v>
                </c:pt>
                <c:pt idx="584">
                  <c:v>-13.198069740811235</c:v>
                </c:pt>
                <c:pt idx="585">
                  <c:v>-13.239357777398787</c:v>
                </c:pt>
                <c:pt idx="586">
                  <c:v>-13.130645813986348</c:v>
                </c:pt>
                <c:pt idx="587">
                  <c:v>-12.421933850573886</c:v>
                </c:pt>
                <c:pt idx="588">
                  <c:v>-12.453221887161448</c:v>
                </c:pt>
                <c:pt idx="589">
                  <c:v>-12.594509923749001</c:v>
                </c:pt>
                <c:pt idx="590">
                  <c:v>-12.285797960336545</c:v>
                </c:pt>
                <c:pt idx="591">
                  <c:v>-12.377085996924102</c:v>
                </c:pt>
                <c:pt idx="592">
                  <c:v>-12.078374033511658</c:v>
                </c:pt>
                <c:pt idx="593">
                  <c:v>-11.509662070099218</c:v>
                </c:pt>
                <c:pt idx="594">
                  <c:v>-11.690950106686778</c:v>
                </c:pt>
                <c:pt idx="595">
                  <c:v>-11.792238143274318</c:v>
                </c:pt>
                <c:pt idx="596">
                  <c:v>-11.363526179861871</c:v>
                </c:pt>
                <c:pt idx="597">
                  <c:v>-11.37481421644943</c:v>
                </c:pt>
                <c:pt idx="598">
                  <c:v>-11.426102253036973</c:v>
                </c:pt>
                <c:pt idx="599">
                  <c:v>-11.647390289624532</c:v>
                </c:pt>
                <c:pt idx="600">
                  <c:v>-11.76867832621209</c:v>
                </c:pt>
                <c:pt idx="601">
                  <c:v>-11.679966362799647</c:v>
                </c:pt>
                <c:pt idx="602">
                  <c:v>-12.071254399387186</c:v>
                </c:pt>
                <c:pt idx="603">
                  <c:v>-12.422542435974748</c:v>
                </c:pt>
                <c:pt idx="604">
                  <c:v>-12.433830472562306</c:v>
                </c:pt>
                <c:pt idx="605">
                  <c:v>-12.695118509149843</c:v>
                </c:pt>
                <c:pt idx="606">
                  <c:v>-13.096406545737402</c:v>
                </c:pt>
                <c:pt idx="607">
                  <c:v>-12.707694582324962</c:v>
                </c:pt>
                <c:pt idx="608">
                  <c:v>-12.96898261891252</c:v>
                </c:pt>
                <c:pt idx="609">
                  <c:v>-13.380270655500063</c:v>
                </c:pt>
                <c:pt idx="610">
                  <c:v>-13.341558692087617</c:v>
                </c:pt>
                <c:pt idx="611">
                  <c:v>-13.082846728675172</c:v>
                </c:pt>
                <c:pt idx="612">
                  <c:v>-13.114134765262733</c:v>
                </c:pt>
                <c:pt idx="613">
                  <c:v>-13.105422801850274</c:v>
                </c:pt>
                <c:pt idx="614">
                  <c:v>-12.73671083843783</c:v>
                </c:pt>
                <c:pt idx="615">
                  <c:v>-12.627998875025391</c:v>
                </c:pt>
                <c:pt idx="616">
                  <c:v>-12.629286911612944</c:v>
                </c:pt>
                <c:pt idx="617">
                  <c:v>-13.480574948200491</c:v>
                </c:pt>
                <c:pt idx="618">
                  <c:v>-13.841862984788044</c:v>
                </c:pt>
                <c:pt idx="619">
                  <c:v>-13.333151021375606</c:v>
                </c:pt>
                <c:pt idx="620">
                  <c:v>-13.144439057963147</c:v>
                </c:pt>
                <c:pt idx="621">
                  <c:v>-13.445727094550705</c:v>
                </c:pt>
                <c:pt idx="622">
                  <c:v>-13.327015131138261</c:v>
                </c:pt>
                <c:pt idx="623">
                  <c:v>-13.758303167725821</c:v>
                </c:pt>
                <c:pt idx="624">
                  <c:v>-14.209591204313362</c:v>
                </c:pt>
                <c:pt idx="625">
                  <c:v>-14.470879240900921</c:v>
                </c:pt>
                <c:pt idx="626">
                  <c:v>-14.462167277488476</c:v>
                </c:pt>
                <c:pt idx="627">
                  <c:v>-14.413455314076018</c:v>
                </c:pt>
                <c:pt idx="628">
                  <c:v>-14.324743350663574</c:v>
                </c:pt>
                <c:pt idx="629">
                  <c:v>-14.676031387251129</c:v>
                </c:pt>
                <c:pt idx="630">
                  <c:v>-14.007319423838688</c:v>
                </c:pt>
                <c:pt idx="631">
                  <c:v>-13.77860746042623</c:v>
                </c:pt>
                <c:pt idx="632">
                  <c:v>-14.109895497013788</c:v>
                </c:pt>
                <c:pt idx="633">
                  <c:v>-14.111183533601348</c:v>
                </c:pt>
                <c:pt idx="634">
                  <c:v>-14.252471570188902</c:v>
                </c:pt>
                <c:pt idx="635">
                  <c:v>-13.163759606776445</c:v>
                </c:pt>
                <c:pt idx="636">
                  <c:v>-12.905047643364007</c:v>
                </c:pt>
                <c:pt idx="637">
                  <c:v>-12.806335679951559</c:v>
                </c:pt>
                <c:pt idx="638">
                  <c:v>-11.937623716539122</c:v>
                </c:pt>
                <c:pt idx="639">
                  <c:v>-11.768911753126659</c:v>
                </c:pt>
                <c:pt idx="640">
                  <c:v>-11.400199789714222</c:v>
                </c:pt>
                <c:pt idx="641">
                  <c:v>-11.481487826301773</c:v>
                </c:pt>
                <c:pt idx="642">
                  <c:v>-11.822775862889316</c:v>
                </c:pt>
                <c:pt idx="643">
                  <c:v>-11.904063899476874</c:v>
                </c:pt>
                <c:pt idx="644">
                  <c:v>-11.03535193606443</c:v>
                </c:pt>
                <c:pt idx="645">
                  <c:v>-10.776639972651992</c:v>
                </c:pt>
                <c:pt idx="646">
                  <c:v>-10.857928009239529</c:v>
                </c:pt>
                <c:pt idx="647">
                  <c:v>-11.039216045827089</c:v>
                </c:pt>
                <c:pt idx="648">
                  <c:v>-10.970504082414649</c:v>
                </c:pt>
                <c:pt idx="649">
                  <c:v>-10.941792119002187</c:v>
                </c:pt>
                <c:pt idx="650">
                  <c:v>-11.103080155589744</c:v>
                </c:pt>
                <c:pt idx="651">
                  <c:v>-11.244368192177305</c:v>
                </c:pt>
                <c:pt idx="652">
                  <c:v>-11.015656228764861</c:v>
                </c:pt>
                <c:pt idx="653">
                  <c:v>-10.84694426535242</c:v>
                </c:pt>
                <c:pt idx="654">
                  <c:v>-10.658232301939961</c:v>
                </c:pt>
                <c:pt idx="655">
                  <c:v>-11.019520338527521</c:v>
                </c:pt>
                <c:pt idx="656">
                  <c:v>-10.260808375115076</c:v>
                </c:pt>
                <c:pt idx="657">
                  <c:v>-10.16209641170262</c:v>
                </c:pt>
                <c:pt idx="658">
                  <c:v>-10.283384448290178</c:v>
                </c:pt>
                <c:pt idx="659">
                  <c:v>-10.064672484877732</c:v>
                </c:pt>
                <c:pt idx="660">
                  <c:v>-9.8159605214652927</c:v>
                </c:pt>
                <c:pt idx="661">
                  <c:v>-9.89724855805283</c:v>
                </c:pt>
                <c:pt idx="662">
                  <c:v>-10.158536594640388</c:v>
                </c:pt>
                <c:pt idx="663">
                  <c:v>-9.8998246312279505</c:v>
                </c:pt>
                <c:pt idx="664">
                  <c:v>-9.9411126678154886</c:v>
                </c:pt>
                <c:pt idx="665">
                  <c:v>-9.5724007044030444</c:v>
                </c:pt>
                <c:pt idx="666">
                  <c:v>-9.2336887409906012</c:v>
                </c:pt>
                <c:pt idx="667">
                  <c:v>-9.1049767775781589</c:v>
                </c:pt>
                <c:pt idx="668">
                  <c:v>-8.6462648141657041</c:v>
                </c:pt>
                <c:pt idx="669">
                  <c:v>-8.1975528507532616</c:v>
                </c:pt>
                <c:pt idx="670">
                  <c:v>-7.8588408873408184</c:v>
                </c:pt>
                <c:pt idx="671">
                  <c:v>-7.5601289239283602</c:v>
                </c:pt>
                <c:pt idx="672">
                  <c:v>-7.3814169605159208</c:v>
                </c:pt>
                <c:pt idx="673">
                  <c:v>-6.8727049971034759</c:v>
                </c:pt>
                <c:pt idx="674">
                  <c:v>-6.2539930336910317</c:v>
                </c:pt>
                <c:pt idx="675">
                  <c:v>-6.1552810702785905</c:v>
                </c:pt>
                <c:pt idx="676">
                  <c:v>-6.8965691068661314</c:v>
                </c:pt>
                <c:pt idx="677">
                  <c:v>-7.1978571434536889</c:v>
                </c:pt>
                <c:pt idx="678">
                  <c:v>-7.5791451800412446</c:v>
                </c:pt>
                <c:pt idx="679">
                  <c:v>-7.2404332166287872</c:v>
                </c:pt>
                <c:pt idx="680">
                  <c:v>-7.2517212532163455</c:v>
                </c:pt>
                <c:pt idx="681">
                  <c:v>-7.3430092898039021</c:v>
                </c:pt>
                <c:pt idx="682">
                  <c:v>-6.8342973263914644</c:v>
                </c:pt>
                <c:pt idx="683">
                  <c:v>-6.265585362979003</c:v>
                </c:pt>
                <c:pt idx="684">
                  <c:v>-6.1468733995665588</c:v>
                </c:pt>
                <c:pt idx="685">
                  <c:v>-5.898161436154119</c:v>
                </c:pt>
                <c:pt idx="686">
                  <c:v>-5.5694494727416597</c:v>
                </c:pt>
                <c:pt idx="687">
                  <c:v>-5.1307375093292222</c:v>
                </c:pt>
                <c:pt idx="688">
                  <c:v>-4.3720255459167703</c:v>
                </c:pt>
                <c:pt idx="689">
                  <c:v>-3.8733135825043377</c:v>
                </c:pt>
                <c:pt idx="690">
                  <c:v>-3.6646016190918829</c:v>
                </c:pt>
                <c:pt idx="691">
                  <c:v>-3.14588965567944</c:v>
                </c:pt>
                <c:pt idx="692">
                  <c:v>-3.2871776922669937</c:v>
                </c:pt>
                <c:pt idx="693">
                  <c:v>-3.1084657288545543</c:v>
                </c:pt>
                <c:pt idx="694">
                  <c:v>-2.2297537654420978</c:v>
                </c:pt>
                <c:pt idx="695">
                  <c:v>-1.5910418020296504</c:v>
                </c:pt>
                <c:pt idx="696">
                  <c:v>-1.5123298386172053</c:v>
                </c:pt>
                <c:pt idx="697">
                  <c:v>-1.4336178752047601</c:v>
                </c:pt>
                <c:pt idx="698">
                  <c:v>-1.2649059117923116</c:v>
                </c:pt>
                <c:pt idx="699">
                  <c:v>-0.76619394837986476</c:v>
                </c:pt>
                <c:pt idx="700">
                  <c:v>-0.76748198496741793</c:v>
                </c:pt>
                <c:pt idx="701">
                  <c:v>-0.39877002155496655</c:v>
                </c:pt>
                <c:pt idx="702">
                  <c:v>0.6099419418574854</c:v>
                </c:pt>
                <c:pt idx="703">
                  <c:v>0.80865390526992087</c:v>
                </c:pt>
                <c:pt idx="704">
                  <c:v>1.4773658686823694</c:v>
                </c:pt>
                <c:pt idx="705">
                  <c:v>2.2660778320948225</c:v>
                </c:pt>
                <c:pt idx="706">
                  <c:v>2.5947897955072676</c:v>
                </c:pt>
                <c:pt idx="707">
                  <c:v>3.1135017589197105</c:v>
                </c:pt>
                <c:pt idx="708">
                  <c:v>3.3322137223321704</c:v>
                </c:pt>
                <c:pt idx="709">
                  <c:v>3.6509256857446104</c:v>
                </c:pt>
                <c:pt idx="710">
                  <c:v>3.9396376491570493</c:v>
                </c:pt>
                <c:pt idx="711">
                  <c:v>4.1283496125694938</c:v>
                </c:pt>
                <c:pt idx="712">
                  <c:v>3.9670615759819583</c:v>
                </c:pt>
                <c:pt idx="713">
                  <c:v>4.1257735393943875</c:v>
                </c:pt>
                <c:pt idx="714">
                  <c:v>5.2844855028068309</c:v>
                </c:pt>
                <c:pt idx="715">
                  <c:v>5.5031974662192766</c:v>
                </c:pt>
                <c:pt idx="716">
                  <c:v>5.7519094296317377</c:v>
                </c:pt>
                <c:pt idx="717">
                  <c:v>5.6806213930441771</c:v>
                </c:pt>
                <c:pt idx="718">
                  <c:v>5.5193333564566274</c:v>
                </c:pt>
                <c:pt idx="719">
                  <c:v>5.6180453198690685</c:v>
                </c:pt>
                <c:pt idx="720">
                  <c:v>5.8567572832815245</c:v>
                </c:pt>
                <c:pt idx="721">
                  <c:v>5.8654692466939622</c:v>
                </c:pt>
                <c:pt idx="722">
                  <c:v>4.7741812101064056</c:v>
                </c:pt>
                <c:pt idx="723">
                  <c:v>4.7028931735188593</c:v>
                </c:pt>
                <c:pt idx="724">
                  <c:v>4.671605136931305</c:v>
                </c:pt>
                <c:pt idx="725">
                  <c:v>4.7603171003437552</c:v>
                </c:pt>
                <c:pt idx="726">
                  <c:v>4.4190290637561986</c:v>
                </c:pt>
                <c:pt idx="727">
                  <c:v>3.8277410271686563</c:v>
                </c:pt>
                <c:pt idx="728">
                  <c:v>3.7964529905810878</c:v>
                </c:pt>
                <c:pt idx="729">
                  <c:v>4.1251649539935329</c:v>
                </c:pt>
                <c:pt idx="730">
                  <c:v>4.0638769174059917</c:v>
                </c:pt>
                <c:pt idx="731">
                  <c:v>3.96258888081843</c:v>
                </c:pt>
                <c:pt idx="732">
                  <c:v>3.8813008442308785</c:v>
                </c:pt>
                <c:pt idx="733">
                  <c:v>4.5200128076433259</c:v>
                </c:pt>
                <c:pt idx="734">
                  <c:v>4.6487247710557682</c:v>
                </c:pt>
                <c:pt idx="735">
                  <c:v>5.0074367344682287</c:v>
                </c:pt>
                <c:pt idx="736">
                  <c:v>5.1061486978806698</c:v>
                </c:pt>
                <c:pt idx="737">
                  <c:v>5.1748606612931098</c:v>
                </c:pt>
                <c:pt idx="738">
                  <c:v>4.7735726247055652</c:v>
                </c:pt>
                <c:pt idx="739">
                  <c:v>4.4722845881180149</c:v>
                </c:pt>
                <c:pt idx="740">
                  <c:v>4.4509965515304515</c:v>
                </c:pt>
                <c:pt idx="741">
                  <c:v>4.3097085149428978</c:v>
                </c:pt>
                <c:pt idx="742">
                  <c:v>4.3384204783553457</c:v>
                </c:pt>
                <c:pt idx="743">
                  <c:v>4.0671324417677965</c:v>
                </c:pt>
                <c:pt idx="744">
                  <c:v>4.3658444051802405</c:v>
                </c:pt>
                <c:pt idx="745">
                  <c:v>4.494556368592697</c:v>
                </c:pt>
                <c:pt idx="746">
                  <c:v>4.3632683320051342</c:v>
                </c:pt>
                <c:pt idx="747">
                  <c:v>4.341980295417585</c:v>
                </c:pt>
                <c:pt idx="748">
                  <c:v>4.4006922588300199</c:v>
                </c:pt>
                <c:pt idx="749">
                  <c:v>4.669404222242477</c:v>
                </c:pt>
                <c:pt idx="750">
                  <c:v>4.738116185654917</c:v>
                </c:pt>
                <c:pt idx="751">
                  <c:v>4.9068281490673655</c:v>
                </c:pt>
                <c:pt idx="752">
                  <c:v>5.7655401124798118</c:v>
                </c:pt>
                <c:pt idx="753">
                  <c:v>6.0342520758922689</c:v>
                </c:pt>
                <c:pt idx="754">
                  <c:v>6.1429640393047009</c:v>
                </c:pt>
                <c:pt idx="755">
                  <c:v>6.7516760027171472</c:v>
                </c:pt>
                <c:pt idx="756">
                  <c:v>6.7803879661295952</c:v>
                </c:pt>
                <c:pt idx="757">
                  <c:v>6.5690999295420482</c:v>
                </c:pt>
                <c:pt idx="758">
                  <c:v>6.8678118929544922</c:v>
                </c:pt>
                <c:pt idx="759">
                  <c:v>6.3365238563669379</c:v>
                </c:pt>
                <c:pt idx="760">
                  <c:v>6.1852358197793933</c:v>
                </c:pt>
                <c:pt idx="761">
                  <c:v>5.8039477831918305</c:v>
                </c:pt>
                <c:pt idx="762">
                  <c:v>5.992659746604275</c:v>
                </c:pt>
                <c:pt idx="763">
                  <c:v>6.0913717100167162</c:v>
                </c:pt>
                <c:pt idx="764">
                  <c:v>5.8900836734291744</c:v>
                </c:pt>
                <c:pt idx="765">
                  <c:v>5.8887956368416212</c:v>
                </c:pt>
                <c:pt idx="766">
                  <c:v>6.0875076002540709</c:v>
                </c:pt>
                <c:pt idx="767">
                  <c:v>6.1162195636665189</c:v>
                </c:pt>
                <c:pt idx="768">
                  <c:v>6.5749315270789594</c:v>
                </c:pt>
                <c:pt idx="769">
                  <c:v>6.8936434904914137</c:v>
                </c:pt>
                <c:pt idx="770">
                  <c:v>7.1123554539038452</c:v>
                </c:pt>
                <c:pt idx="771">
                  <c:v>7.4610674173163005</c:v>
                </c:pt>
                <c:pt idx="772">
                  <c:v>7.7597793807287445</c:v>
                </c:pt>
                <c:pt idx="773">
                  <c:v>8.2184913441411993</c:v>
                </c:pt>
                <c:pt idx="774">
                  <c:v>8.6172033075536376</c:v>
                </c:pt>
                <c:pt idx="775">
                  <c:v>9.4559152709660879</c:v>
                </c:pt>
                <c:pt idx="776">
                  <c:v>9.4946272343785409</c:v>
                </c:pt>
                <c:pt idx="777">
                  <c:v>10.213339197790972</c:v>
                </c:pt>
                <c:pt idx="778">
                  <c:v>11.272051161203422</c:v>
                </c:pt>
                <c:pt idx="779">
                  <c:v>11.410763124615883</c:v>
                </c:pt>
                <c:pt idx="780">
                  <c:v>12.169475088028321</c:v>
                </c:pt>
                <c:pt idx="781">
                  <c:v>11.948187051440769</c:v>
                </c:pt>
                <c:pt idx="782">
                  <c:v>11.256899014853218</c:v>
                </c:pt>
                <c:pt idx="783">
                  <c:v>13.625610978265669</c:v>
                </c:pt>
                <c:pt idx="784">
                  <c:v>16.004322941678112</c:v>
                </c:pt>
                <c:pt idx="785">
                  <c:v>16.593034905090548</c:v>
                </c:pt>
                <c:pt idx="786">
                  <c:v>17.271746868503001</c:v>
                </c:pt>
                <c:pt idx="787">
                  <c:v>19.110458831915452</c:v>
                </c:pt>
                <c:pt idx="788">
                  <c:v>19.6391707953279</c:v>
                </c:pt>
                <c:pt idx="789">
                  <c:v>20.157882758740357</c:v>
                </c:pt>
                <c:pt idx="790">
                  <c:v>19.986594722152788</c:v>
                </c:pt>
                <c:pt idx="791">
                  <c:v>20.185306685565237</c:v>
                </c:pt>
                <c:pt idx="792">
                  <c:v>20.384018648977673</c:v>
                </c:pt>
                <c:pt idx="793">
                  <c:v>21.262730612390115</c:v>
                </c:pt>
                <c:pt idx="794">
                  <c:v>21.091442575802574</c:v>
                </c:pt>
                <c:pt idx="795">
                  <c:v>21.670154539215019</c:v>
                </c:pt>
                <c:pt idx="796">
                  <c:v>21.998866502627465</c:v>
                </c:pt>
                <c:pt idx="797">
                  <c:v>22.507578466039917</c:v>
                </c:pt>
                <c:pt idx="798">
                  <c:v>22.476290429452362</c:v>
                </c:pt>
                <c:pt idx="799">
                  <c:v>22.925002392864812</c:v>
                </c:pt>
                <c:pt idx="800">
                  <c:v>23.013714356277248</c:v>
                </c:pt>
                <c:pt idx="801">
                  <c:v>22.882426319689714</c:v>
                </c:pt>
                <c:pt idx="802">
                  <c:v>22.801138283102148</c:v>
                </c:pt>
                <c:pt idx="803">
                  <c:v>22.879850246514593</c:v>
                </c:pt>
                <c:pt idx="804">
                  <c:v>22.498562209927044</c:v>
                </c:pt>
                <c:pt idx="805">
                  <c:v>21.897274173339497</c:v>
                </c:pt>
                <c:pt idx="806">
                  <c:v>21.735986136751933</c:v>
                </c:pt>
                <c:pt idx="807">
                  <c:v>20.73469810016438</c:v>
                </c:pt>
                <c:pt idx="808">
                  <c:v>20.70341006357684</c:v>
                </c:pt>
                <c:pt idx="809">
                  <c:v>20.562122026989272</c:v>
                </c:pt>
                <c:pt idx="810">
                  <c:v>19.490833990401725</c:v>
                </c:pt>
                <c:pt idx="811">
                  <c:v>18.859545953814177</c:v>
                </c:pt>
                <c:pt idx="812">
                  <c:v>17.728257917226614</c:v>
                </c:pt>
                <c:pt idx="813">
                  <c:v>17.556969880639059</c:v>
                </c:pt>
                <c:pt idx="814">
                  <c:v>17.775681844051505</c:v>
                </c:pt>
                <c:pt idx="815">
                  <c:v>18.214393807463949</c:v>
                </c:pt>
                <c:pt idx="816">
                  <c:v>18.703105770876405</c:v>
                </c:pt>
                <c:pt idx="817">
                  <c:v>18.571817734288842</c:v>
                </c:pt>
                <c:pt idx="818">
                  <c:v>18.000529697701296</c:v>
                </c:pt>
                <c:pt idx="819">
                  <c:v>18.339241661113746</c:v>
                </c:pt>
                <c:pt idx="820">
                  <c:v>17.767953624526186</c:v>
                </c:pt>
                <c:pt idx="821">
                  <c:v>16.856665587938636</c:v>
                </c:pt>
                <c:pt idx="822">
                  <c:v>16.585377551351073</c:v>
                </c:pt>
                <c:pt idx="823">
                  <c:v>15.684089514763528</c:v>
                </c:pt>
                <c:pt idx="824">
                  <c:v>15.102801478175977</c:v>
                </c:pt>
                <c:pt idx="825">
                  <c:v>14.751513441588415</c:v>
                </c:pt>
                <c:pt idx="826">
                  <c:v>13.710225405000884</c:v>
                </c:pt>
                <c:pt idx="827">
                  <c:v>13.678937368413315</c:v>
                </c:pt>
                <c:pt idx="828">
                  <c:v>13.577649331825768</c:v>
                </c:pt>
                <c:pt idx="829">
                  <c:v>13.356361295238202</c:v>
                </c:pt>
                <c:pt idx="830">
                  <c:v>12.315073258650656</c:v>
                </c:pt>
                <c:pt idx="831">
                  <c:v>12.313785222063103</c:v>
                </c:pt>
                <c:pt idx="832">
                  <c:v>10.892497185475548</c:v>
                </c:pt>
                <c:pt idx="833">
                  <c:v>9.6812091488879872</c:v>
                </c:pt>
                <c:pt idx="834">
                  <c:v>9.2499211123004557</c:v>
                </c:pt>
                <c:pt idx="835">
                  <c:v>8.4086330757128849</c:v>
                </c:pt>
                <c:pt idx="836">
                  <c:v>7.697345039125338</c:v>
                </c:pt>
                <c:pt idx="837">
                  <c:v>6.9460570025377706</c:v>
                </c:pt>
                <c:pt idx="838">
                  <c:v>6.514768965950239</c:v>
                </c:pt>
                <c:pt idx="839">
                  <c:v>6.4834809293626705</c:v>
                </c:pt>
                <c:pt idx="840">
                  <c:v>6.362192892775127</c:v>
                </c:pt>
                <c:pt idx="841">
                  <c:v>6.1309048561875841</c:v>
                </c:pt>
                <c:pt idx="842">
                  <c:v>6.0596168196000235</c:v>
                </c:pt>
                <c:pt idx="843">
                  <c:v>5.5183287830124641</c:v>
                </c:pt>
                <c:pt idx="844">
                  <c:v>4.7270407464249047</c:v>
                </c:pt>
                <c:pt idx="845">
                  <c:v>4.6557527098373583</c:v>
                </c:pt>
                <c:pt idx="846">
                  <c:v>4.7844646732498006</c:v>
                </c:pt>
                <c:pt idx="847">
                  <c:v>4.3831766366622418</c:v>
                </c:pt>
                <c:pt idx="848">
                  <c:v>3.0018886000747074</c:v>
                </c:pt>
                <c:pt idx="849">
                  <c:v>2.7706005634871502</c:v>
                </c:pt>
                <c:pt idx="850">
                  <c:v>2.5693125268995942</c:v>
                </c:pt>
                <c:pt idx="851">
                  <c:v>2.4880244903120285</c:v>
                </c:pt>
                <c:pt idx="852">
                  <c:v>2.5467364537244919</c:v>
                </c:pt>
                <c:pt idx="853">
                  <c:v>2.6954484171369302</c:v>
                </c:pt>
                <c:pt idx="854">
                  <c:v>2.6541603805493708</c:v>
                </c:pt>
                <c:pt idx="855">
                  <c:v>3.2428723439618352</c:v>
                </c:pt>
                <c:pt idx="856">
                  <c:v>2.5215843073742832</c:v>
                </c:pt>
                <c:pt idx="857">
                  <c:v>1.4802962707867238</c:v>
                </c:pt>
                <c:pt idx="858">
                  <c:v>1.7390082341991615</c:v>
                </c:pt>
                <c:pt idx="859">
                  <c:v>1.4277201976116061</c:v>
                </c:pt>
                <c:pt idx="860">
                  <c:v>1.416432161024062</c:v>
                </c:pt>
                <c:pt idx="861">
                  <c:v>1.3251441244365054</c:v>
                </c:pt>
                <c:pt idx="862">
                  <c:v>1.2038560878489477</c:v>
                </c:pt>
                <c:pt idx="863">
                  <c:v>1.9325680512613985</c:v>
                </c:pt>
                <c:pt idx="864">
                  <c:v>1.9912800146738476</c:v>
                </c:pt>
                <c:pt idx="865">
                  <c:v>2.3299919780862979</c:v>
                </c:pt>
                <c:pt idx="866">
                  <c:v>2.1887039414987299</c:v>
                </c:pt>
                <c:pt idx="867">
                  <c:v>1.9774159049111972</c:v>
                </c:pt>
                <c:pt idx="868">
                  <c:v>1.5361278683236321</c:v>
                </c:pt>
                <c:pt idx="869">
                  <c:v>1.6248398317360824</c:v>
                </c:pt>
                <c:pt idx="870">
                  <c:v>1.0135517951485298</c:v>
                </c:pt>
                <c:pt idx="871">
                  <c:v>-0.30773624143901657</c:v>
                </c:pt>
                <c:pt idx="872">
                  <c:v>-0.71902427802658053</c:v>
                </c:pt>
                <c:pt idx="873">
                  <c:v>-1.800312314614132</c:v>
                </c:pt>
                <c:pt idx="874">
                  <c:v>-1.8816003512016977</c:v>
                </c:pt>
                <c:pt idx="875">
                  <c:v>-2.47288838778924</c:v>
                </c:pt>
                <c:pt idx="876">
                  <c:v>-2.5441764243767935</c:v>
                </c:pt>
                <c:pt idx="877">
                  <c:v>-2.6854644609643543</c:v>
                </c:pt>
                <c:pt idx="878">
                  <c:v>-2.8767524975518981</c:v>
                </c:pt>
                <c:pt idx="879">
                  <c:v>-2.9280405341394555</c:v>
                </c:pt>
                <c:pt idx="880">
                  <c:v>-3.0893285707270124</c:v>
                </c:pt>
                <c:pt idx="881">
                  <c:v>-3.0206166073145653</c:v>
                </c:pt>
                <c:pt idx="882">
                  <c:v>-2.9419046439021059</c:v>
                </c:pt>
                <c:pt idx="883">
                  <c:v>-2.8331926804896668</c:v>
                </c:pt>
                <c:pt idx="884">
                  <c:v>-2.3544807170772231</c:v>
                </c:pt>
                <c:pt idx="885">
                  <c:v>-2.1657687536647643</c:v>
                </c:pt>
                <c:pt idx="886">
                  <c:v>-1.6870567902523277</c:v>
                </c:pt>
                <c:pt idx="887">
                  <c:v>-1.6883448268398809</c:v>
                </c:pt>
                <c:pt idx="888">
                  <c:v>-1.5596328634274386</c:v>
                </c:pt>
                <c:pt idx="889">
                  <c:v>-1.9109209000149932</c:v>
                </c:pt>
                <c:pt idx="890">
                  <c:v>-1.9322089366025352</c:v>
                </c:pt>
                <c:pt idx="891">
                  <c:v>-1.9734969731900946</c:v>
                </c:pt>
                <c:pt idx="892">
                  <c:v>-2.0847850097776401</c:v>
                </c:pt>
                <c:pt idx="893">
                  <c:v>-2.0360730463651961</c:v>
                </c:pt>
                <c:pt idx="894">
                  <c:v>-1.8473610829527516</c:v>
                </c:pt>
                <c:pt idx="895">
                  <c:v>-1.5386491195403096</c:v>
                </c:pt>
                <c:pt idx="896">
                  <c:v>-1.5099371561278616</c:v>
                </c:pt>
                <c:pt idx="897">
                  <c:v>-1.831225192715408</c:v>
                </c:pt>
                <c:pt idx="898">
                  <c:v>-1.9025132293029685</c:v>
                </c:pt>
                <c:pt idx="899">
                  <c:v>-1.8538012658905245</c:v>
                </c:pt>
                <c:pt idx="900">
                  <c:v>-1.7950893024780683</c:v>
                </c:pt>
                <c:pt idx="901">
                  <c:v>-1.5363773390656235</c:v>
                </c:pt>
                <c:pt idx="902">
                  <c:v>-1.7076653756531783</c:v>
                </c:pt>
                <c:pt idx="903">
                  <c:v>-2.0189534122407409</c:v>
                </c:pt>
                <c:pt idx="904">
                  <c:v>-2.1102414488282832</c:v>
                </c:pt>
                <c:pt idx="905">
                  <c:v>-2.0215294854158401</c:v>
                </c:pt>
                <c:pt idx="906">
                  <c:v>-1.5028175220033972</c:v>
                </c:pt>
                <c:pt idx="907">
                  <c:v>-1.444105558590941</c:v>
                </c:pt>
                <c:pt idx="908">
                  <c:v>-1.2653935951784945</c:v>
                </c:pt>
                <c:pt idx="909">
                  <c:v>-1.2266816317660556</c:v>
                </c:pt>
                <c:pt idx="910">
                  <c:v>-0.93796966835361673</c:v>
                </c:pt>
                <c:pt idx="911">
                  <c:v>-0.89925770494116364</c:v>
                </c:pt>
                <c:pt idx="912">
                  <c:v>-0.7305457415287151</c:v>
                </c:pt>
                <c:pt idx="913">
                  <c:v>-0.94183377811626201</c:v>
                </c:pt>
                <c:pt idx="914">
                  <c:v>-0.89312181470380381</c:v>
                </c:pt>
                <c:pt idx="915">
                  <c:v>-0.82440985129136379</c:v>
                </c:pt>
                <c:pt idx="916">
                  <c:v>-0.61569788787892321</c:v>
                </c:pt>
                <c:pt idx="917">
                  <c:v>-0.5469859244664832</c:v>
                </c:pt>
                <c:pt idx="918">
                  <c:v>-0.40827396105403579</c:v>
                </c:pt>
                <c:pt idx="919">
                  <c:v>-0.30956199764158043</c:v>
                </c:pt>
                <c:pt idx="920">
                  <c:v>-0.25085003422914554</c:v>
                </c:pt>
                <c:pt idx="921">
                  <c:v>9.7861929183309826E-2</c:v>
                </c:pt>
                <c:pt idx="922">
                  <c:v>3.6573892595754387E-2</c:v>
                </c:pt>
                <c:pt idx="923">
                  <c:v>-4.4714143991797073E-2</c:v>
                </c:pt>
                <c:pt idx="924">
                  <c:v>3.3997819420648057E-2</c:v>
                </c:pt>
                <c:pt idx="925">
                  <c:v>0.10270978283308807</c:v>
                </c:pt>
                <c:pt idx="926">
                  <c:v>0.23142174624554457</c:v>
                </c:pt>
                <c:pt idx="927">
                  <c:v>0.42013370965798913</c:v>
                </c:pt>
                <c:pt idx="928">
                  <c:v>0.40884567307043085</c:v>
                </c:pt>
                <c:pt idx="929">
                  <c:v>0.4175576364828828</c:v>
                </c:pt>
                <c:pt idx="930">
                  <c:v>-0.13373040010466752</c:v>
                </c:pt>
                <c:pt idx="931">
                  <c:v>-0.54501843669223149</c:v>
                </c:pt>
                <c:pt idx="932">
                  <c:v>-0.51630647327978352</c:v>
                </c:pt>
                <c:pt idx="933">
                  <c:v>-0.46759450986733953</c:v>
                </c:pt>
                <c:pt idx="934">
                  <c:v>-0.46888254645487848</c:v>
                </c:pt>
                <c:pt idx="935">
                  <c:v>-0.4301705830424396</c:v>
                </c:pt>
                <c:pt idx="936">
                  <c:v>-0.51145861962997685</c:v>
                </c:pt>
                <c:pt idx="937">
                  <c:v>-0.44274665621753684</c:v>
                </c:pt>
                <c:pt idx="938">
                  <c:v>-0.16403469280510308</c:v>
                </c:pt>
                <c:pt idx="939">
                  <c:v>5.4677270607342621E-2</c:v>
                </c:pt>
                <c:pt idx="940">
                  <c:v>0.23338923401979628</c:v>
                </c:pt>
                <c:pt idx="941">
                  <c:v>0.41210119743224993</c:v>
                </c:pt>
                <c:pt idx="942">
                  <c:v>0.64081316084468654</c:v>
                </c:pt>
                <c:pt idx="943">
                  <c:v>0.54952512425712996</c:v>
                </c:pt>
                <c:pt idx="944">
                  <c:v>0.58823708766958305</c:v>
                </c:pt>
                <c:pt idx="945">
                  <c:v>0.54694905108203784</c:v>
                </c:pt>
                <c:pt idx="946">
                  <c:v>0.39566101449447899</c:v>
                </c:pt>
                <c:pt idx="947">
                  <c:v>0.39437297790691161</c:v>
                </c:pt>
                <c:pt idx="948">
                  <c:v>0.57308494131937948</c:v>
                </c:pt>
                <c:pt idx="949">
                  <c:v>1.0017969047318189</c:v>
                </c:pt>
                <c:pt idx="950">
                  <c:v>0.98050886814425553</c:v>
                </c:pt>
                <c:pt idx="951">
                  <c:v>1.1192208315567171</c:v>
                </c:pt>
                <c:pt idx="952">
                  <c:v>0.99793279496915943</c:v>
                </c:pt>
                <c:pt idx="953">
                  <c:v>1.1766447583815989</c:v>
                </c:pt>
                <c:pt idx="954">
                  <c:v>1.2253567217940429</c:v>
                </c:pt>
                <c:pt idx="955">
                  <c:v>1.2940686852064829</c:v>
                </c:pt>
                <c:pt idx="956">
                  <c:v>1.4427806486189496</c:v>
                </c:pt>
                <c:pt idx="957">
                  <c:v>1.6514926120313902</c:v>
                </c:pt>
                <c:pt idx="958">
                  <c:v>1.8802045754438268</c:v>
                </c:pt>
                <c:pt idx="959">
                  <c:v>1.8089165388562947</c:v>
                </c:pt>
                <c:pt idx="960">
                  <c:v>2.1076285022687387</c:v>
                </c:pt>
                <c:pt idx="961">
                  <c:v>2.3863404656811724</c:v>
                </c:pt>
                <c:pt idx="962">
                  <c:v>2.5150524290936147</c:v>
                </c:pt>
                <c:pt idx="963">
                  <c:v>2.5837643925060689</c:v>
                </c:pt>
                <c:pt idx="964">
                  <c:v>2.8324763559185158</c:v>
                </c:pt>
                <c:pt idx="965">
                  <c:v>3.0811883193309626</c:v>
                </c:pt>
                <c:pt idx="966">
                  <c:v>3.1299002827434208</c:v>
                </c:pt>
                <c:pt idx="967">
                  <c:v>3.1686122461558597</c:v>
                </c:pt>
                <c:pt idx="968">
                  <c:v>3.2873242095682969</c:v>
                </c:pt>
                <c:pt idx="969">
                  <c:v>3.366036172980742</c:v>
                </c:pt>
                <c:pt idx="970">
                  <c:v>3.4847481363931934</c:v>
                </c:pt>
                <c:pt idx="971">
                  <c:v>3.4934600998056453</c:v>
                </c:pt>
                <c:pt idx="972">
                  <c:v>3.5421720632180893</c:v>
                </c:pt>
                <c:pt idx="973">
                  <c:v>3.5908840266305475</c:v>
                </c:pt>
                <c:pt idx="974">
                  <c:v>3.7595959900429818</c:v>
                </c:pt>
                <c:pt idx="975">
                  <c:v>4.1983079534554264</c:v>
                </c:pt>
                <c:pt idx="976">
                  <c:v>4.3770199168678801</c:v>
                </c:pt>
                <c:pt idx="977">
                  <c:v>4.6157318802803218</c:v>
                </c:pt>
                <c:pt idx="978">
                  <c:v>4.7744438436927794</c:v>
                </c:pt>
                <c:pt idx="979">
                  <c:v>5.0731558071052234</c:v>
                </c:pt>
                <c:pt idx="980">
                  <c:v>5.5918677705176663</c:v>
                </c:pt>
                <c:pt idx="981">
                  <c:v>5.9805797339301066</c:v>
                </c:pt>
                <c:pt idx="982">
                  <c:v>6.0592916973425588</c:v>
                </c:pt>
                <c:pt idx="983">
                  <c:v>6.4080036607549999</c:v>
                </c:pt>
                <c:pt idx="984">
                  <c:v>6.2767156241674584</c:v>
                </c:pt>
                <c:pt idx="985">
                  <c:v>6.1354275875798976</c:v>
                </c:pt>
                <c:pt idx="986">
                  <c:v>5.9241395509923507</c:v>
                </c:pt>
                <c:pt idx="987">
                  <c:v>5.802851514404793</c:v>
                </c:pt>
                <c:pt idx="988">
                  <c:v>5.6615634778172321</c:v>
                </c:pt>
                <c:pt idx="989">
                  <c:v>5.9302754412296821</c:v>
                </c:pt>
                <c:pt idx="990">
                  <c:v>5.7989874046421335</c:v>
                </c:pt>
                <c:pt idx="991">
                  <c:v>5.4476993680545718</c:v>
                </c:pt>
                <c:pt idx="992">
                  <c:v>5.54641133146702</c:v>
                </c:pt>
                <c:pt idx="993">
                  <c:v>5.7151232948794757</c:v>
                </c:pt>
                <c:pt idx="994">
                  <c:v>5.7838352582919157</c:v>
                </c:pt>
                <c:pt idx="995">
                  <c:v>5.8325472217043668</c:v>
                </c:pt>
                <c:pt idx="996">
                  <c:v>5.8312591851168207</c:v>
                </c:pt>
                <c:pt idx="997">
                  <c:v>5.8299711485292534</c:v>
                </c:pt>
                <c:pt idx="998">
                  <c:v>5.8886831119417025</c:v>
                </c:pt>
                <c:pt idx="999">
                  <c:v>5.8573950753541553</c:v>
                </c:pt>
                <c:pt idx="1000">
                  <c:v>5.8061070387665978</c:v>
                </c:pt>
                <c:pt idx="1001">
                  <c:v>5.5748190021790407</c:v>
                </c:pt>
                <c:pt idx="1002">
                  <c:v>5.4635309655914881</c:v>
                </c:pt>
                <c:pt idx="1003">
                  <c:v>5.4222429290039358</c:v>
                </c:pt>
                <c:pt idx="1004">
                  <c:v>5.520954892416384</c:v>
                </c:pt>
                <c:pt idx="1005">
                  <c:v>5.3596668558288343</c:v>
                </c:pt>
                <c:pt idx="1006">
                  <c:v>5.3283788192412871</c:v>
                </c:pt>
                <c:pt idx="1007">
                  <c:v>4.9870907826537376</c:v>
                </c:pt>
                <c:pt idx="1008">
                  <c:v>4.9458027460661782</c:v>
                </c:pt>
                <c:pt idx="1009">
                  <c:v>5.0045147094786131</c:v>
                </c:pt>
                <c:pt idx="1010">
                  <c:v>4.733226672891071</c:v>
                </c:pt>
                <c:pt idx="1011">
                  <c:v>4.0919386363035102</c:v>
                </c:pt>
                <c:pt idx="1012">
                  <c:v>3.6906505997159655</c:v>
                </c:pt>
                <c:pt idx="1013">
                  <c:v>3.389362563128401</c:v>
                </c:pt>
                <c:pt idx="1014">
                  <c:v>3.3180745265408476</c:v>
                </c:pt>
                <c:pt idx="1015">
                  <c:v>3.3967864899532998</c:v>
                </c:pt>
                <c:pt idx="1016">
                  <c:v>2.9454984533657438</c:v>
                </c:pt>
                <c:pt idx="1017">
                  <c:v>2.6142104167781923</c:v>
                </c:pt>
                <c:pt idx="1018">
                  <c:v>2.7229223801906386</c:v>
                </c:pt>
                <c:pt idx="1019">
                  <c:v>2.881634343603082</c:v>
                </c:pt>
                <c:pt idx="1020">
                  <c:v>2.9703463070155323</c:v>
                </c:pt>
                <c:pt idx="1021">
                  <c:v>3.0990582704279817</c:v>
                </c:pt>
                <c:pt idx="1022">
                  <c:v>3.2777702338404282</c:v>
                </c:pt>
                <c:pt idx="1023">
                  <c:v>3.3464821972528682</c:v>
                </c:pt>
                <c:pt idx="1024">
                  <c:v>3.6551941606653173</c:v>
                </c:pt>
                <c:pt idx="1025">
                  <c:v>3.9839061240777696</c:v>
                </c:pt>
                <c:pt idx="1026">
                  <c:v>3.9726180874902184</c:v>
                </c:pt>
                <c:pt idx="1027">
                  <c:v>4.1413300509026527</c:v>
                </c:pt>
                <c:pt idx="1028">
                  <c:v>4.6200420143151035</c:v>
                </c:pt>
                <c:pt idx="1029">
                  <c:v>5.1087539777275595</c:v>
                </c:pt>
                <c:pt idx="1030">
                  <c:v>5.3774659411400023</c:v>
                </c:pt>
                <c:pt idx="1031">
                  <c:v>5.8061779045524418</c:v>
                </c:pt>
                <c:pt idx="1032">
                  <c:v>5.7648898679648894</c:v>
                </c:pt>
                <c:pt idx="1033">
                  <c:v>6.0636018313773405</c:v>
                </c:pt>
                <c:pt idx="1034">
                  <c:v>6.2023137947897879</c:v>
                </c:pt>
                <c:pt idx="1035">
                  <c:v>6.3610257582022314</c:v>
                </c:pt>
                <c:pt idx="1036">
                  <c:v>6.3797377216146813</c:v>
                </c:pt>
                <c:pt idx="1037">
                  <c:v>6.6484496850271313</c:v>
                </c:pt>
                <c:pt idx="1038">
                  <c:v>6.887161648439573</c:v>
                </c:pt>
                <c:pt idx="1039">
                  <c:v>7.1358736118520198</c:v>
                </c:pt>
                <c:pt idx="1040">
                  <c:v>7.4045855752644698</c:v>
                </c:pt>
                <c:pt idx="1041">
                  <c:v>7.4332975386769107</c:v>
                </c:pt>
                <c:pt idx="1042">
                  <c:v>7.7720095020893609</c:v>
                </c:pt>
                <c:pt idx="1043">
                  <c:v>7.8607214655018041</c:v>
                </c:pt>
                <c:pt idx="1044">
                  <c:v>8.339433428914262</c:v>
                </c:pt>
                <c:pt idx="1045">
                  <c:v>8.5881453923266946</c:v>
                </c:pt>
                <c:pt idx="1046">
                  <c:v>8.8468573557391466</c:v>
                </c:pt>
                <c:pt idx="1047">
                  <c:v>9.2855693191515982</c:v>
                </c:pt>
                <c:pt idx="1048">
                  <c:v>9.4242812825640385</c:v>
                </c:pt>
                <c:pt idx="1049">
                  <c:v>9.3629932459764831</c:v>
                </c:pt>
                <c:pt idx="1050">
                  <c:v>8.5617052093889328</c:v>
                </c:pt>
                <c:pt idx="1051">
                  <c:v>9.0104171728013753</c:v>
                </c:pt>
                <c:pt idx="1052">
                  <c:v>8.7691291362138344</c:v>
                </c:pt>
                <c:pt idx="1053">
                  <c:v>8.6678410996262727</c:v>
                </c:pt>
                <c:pt idx="1054">
                  <c:v>8.4465530630387278</c:v>
                </c:pt>
                <c:pt idx="1055">
                  <c:v>7.9052650264511755</c:v>
                </c:pt>
                <c:pt idx="1056">
                  <c:v>7.8039769898636138</c:v>
                </c:pt>
                <c:pt idx="1057">
                  <c:v>7.8326889532760617</c:v>
                </c:pt>
                <c:pt idx="1058">
                  <c:v>7.8014009166885145</c:v>
                </c:pt>
                <c:pt idx="1059">
                  <c:v>7.9001128801009628</c:v>
                </c:pt>
                <c:pt idx="1060">
                  <c:v>7.8688248435133943</c:v>
                </c:pt>
                <c:pt idx="1061">
                  <c:v>7.5275368069258377</c:v>
                </c:pt>
                <c:pt idx="1062">
                  <c:v>7.4662487703382894</c:v>
                </c:pt>
                <c:pt idx="1063">
                  <c:v>7.1849607337507422</c:v>
                </c:pt>
                <c:pt idx="1064">
                  <c:v>7.413672697163193</c:v>
                </c:pt>
                <c:pt idx="1065">
                  <c:v>7.2323846605756401</c:v>
                </c:pt>
                <c:pt idx="1066">
                  <c:v>6.7310966239880798</c:v>
                </c:pt>
                <c:pt idx="1067">
                  <c:v>6.4598085874005307</c:v>
                </c:pt>
                <c:pt idx="1068">
                  <c:v>5.4285205508129764</c:v>
                </c:pt>
                <c:pt idx="1069">
                  <c:v>5.1972325142254263</c:v>
                </c:pt>
                <c:pt idx="1070">
                  <c:v>4.7459444776378774</c:v>
                </c:pt>
                <c:pt idx="1071">
                  <c:v>4.5646564410503174</c:v>
                </c:pt>
                <c:pt idx="1072">
                  <c:v>4.2233684044627609</c:v>
                </c:pt>
                <c:pt idx="1073">
                  <c:v>4.1320803678752114</c:v>
                </c:pt>
                <c:pt idx="1074">
                  <c:v>4.1707923312876574</c:v>
                </c:pt>
                <c:pt idx="1075">
                  <c:v>4.4595042947000962</c:v>
                </c:pt>
                <c:pt idx="1076">
                  <c:v>4.5182162581125525</c:v>
                </c:pt>
                <c:pt idx="1077">
                  <c:v>4.5369282215250024</c:v>
                </c:pt>
                <c:pt idx="1078">
                  <c:v>4.7956401849374402</c:v>
                </c:pt>
                <c:pt idx="1079">
                  <c:v>4.814352148349883</c:v>
                </c:pt>
                <c:pt idx="1080">
                  <c:v>4.9730641117623335</c:v>
                </c:pt>
                <c:pt idx="1081">
                  <c:v>4.6717760751747903</c:v>
                </c:pt>
                <c:pt idx="1082">
                  <c:v>4.3704880385872258</c:v>
                </c:pt>
                <c:pt idx="1083">
                  <c:v>4.0492000019996652</c:v>
                </c:pt>
                <c:pt idx="1084">
                  <c:v>3.977911965412126</c:v>
                </c:pt>
                <c:pt idx="1085">
                  <c:v>3.9366239288245737</c:v>
                </c:pt>
                <c:pt idx="1086">
                  <c:v>3.5453358922370199</c:v>
                </c:pt>
                <c:pt idx="1087">
                  <c:v>3.4040478556494591</c:v>
                </c:pt>
                <c:pt idx="1088">
                  <c:v>3.4927598190619165</c:v>
                </c:pt>
                <c:pt idx="1089">
                  <c:v>3.451471782474357</c:v>
                </c:pt>
                <c:pt idx="1090">
                  <c:v>3.4301837458867936</c:v>
                </c:pt>
                <c:pt idx="1091">
                  <c:v>3.4088957092992516</c:v>
                </c:pt>
                <c:pt idx="1092">
                  <c:v>3.4876076727117038</c:v>
                </c:pt>
                <c:pt idx="1093">
                  <c:v>3.5763196361241398</c:v>
                </c:pt>
                <c:pt idx="1094">
                  <c:v>3.655031599536585</c:v>
                </c:pt>
                <c:pt idx="1095">
                  <c:v>3.5937435629490366</c:v>
                </c:pt>
                <c:pt idx="1096">
                  <c:v>3.2124555263614809</c:v>
                </c:pt>
                <c:pt idx="1097">
                  <c:v>3.3711674897739243</c:v>
                </c:pt>
                <c:pt idx="1098">
                  <c:v>3.1598794531863774</c:v>
                </c:pt>
                <c:pt idx="1099">
                  <c:v>3.1885914165988254</c:v>
                </c:pt>
                <c:pt idx="1100">
                  <c:v>3.0573033800112768</c:v>
                </c:pt>
                <c:pt idx="1101">
                  <c:v>2.8560153434237208</c:v>
                </c:pt>
                <c:pt idx="1102">
                  <c:v>2.8447273068361696</c:v>
                </c:pt>
                <c:pt idx="1103">
                  <c:v>2.8534392702486144</c:v>
                </c:pt>
                <c:pt idx="1104">
                  <c:v>2.9121512336610635</c:v>
                </c:pt>
                <c:pt idx="1105">
                  <c:v>2.6508631970735053</c:v>
                </c:pt>
                <c:pt idx="1106">
                  <c:v>2.4995751604859535</c:v>
                </c:pt>
                <c:pt idx="1107">
                  <c:v>2.4582871238984012</c:v>
                </c:pt>
                <c:pt idx="1108">
                  <c:v>2.6569990873108367</c:v>
                </c:pt>
                <c:pt idx="1109">
                  <c:v>1.4357110507232846</c:v>
                </c:pt>
                <c:pt idx="1110">
                  <c:v>1.5344230141357329</c:v>
                </c:pt>
                <c:pt idx="1111">
                  <c:v>1.4931349775481877</c:v>
                </c:pt>
                <c:pt idx="1112">
                  <c:v>1.4118469409606291</c:v>
                </c:pt>
                <c:pt idx="1113">
                  <c:v>1.5105589043730774</c:v>
                </c:pt>
                <c:pt idx="1114">
                  <c:v>1.5992708677855276</c:v>
                </c:pt>
                <c:pt idx="1115">
                  <c:v>1.6979828311979688</c:v>
                </c:pt>
                <c:pt idx="1116">
                  <c:v>1.6866947946104176</c:v>
                </c:pt>
                <c:pt idx="1117">
                  <c:v>1.8854067580228673</c:v>
                </c:pt>
                <c:pt idx="1118">
                  <c:v>2.084118721435317</c:v>
                </c:pt>
                <c:pt idx="1119">
                  <c:v>2.0528306848477555</c:v>
                </c:pt>
                <c:pt idx="1120">
                  <c:v>2.2515426482601981</c:v>
                </c:pt>
                <c:pt idx="1121">
                  <c:v>2.7102546116726458</c:v>
                </c:pt>
                <c:pt idx="1122">
                  <c:v>2.8389665750850952</c:v>
                </c:pt>
                <c:pt idx="1123">
                  <c:v>2.7776785384975398</c:v>
                </c:pt>
                <c:pt idx="1124">
                  <c:v>2.7463905019099926</c:v>
                </c:pt>
                <c:pt idx="1125">
                  <c:v>3.0751024653224448</c:v>
                </c:pt>
                <c:pt idx="1126">
                  <c:v>3.1538144287348899</c:v>
                </c:pt>
                <c:pt idx="1127">
                  <c:v>3.1725263921473328</c:v>
                </c:pt>
                <c:pt idx="1128">
                  <c:v>3.3312383555597833</c:v>
                </c:pt>
                <c:pt idx="1129">
                  <c:v>3.4599503189722327</c:v>
                </c:pt>
                <c:pt idx="1130">
                  <c:v>3.4986622823846716</c:v>
                </c:pt>
                <c:pt idx="1131">
                  <c:v>3.6473742457971099</c:v>
                </c:pt>
                <c:pt idx="1132">
                  <c:v>3.7660862092095684</c:v>
                </c:pt>
                <c:pt idx="1133">
                  <c:v>3.8547981726220115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3-4F93-8868-44C763B79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322991"/>
        <c:axId val="1092479967"/>
      </c:barChart>
      <c:dateAx>
        <c:axId val="133632299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79967"/>
        <c:crosses val="autoZero"/>
        <c:auto val="0"/>
        <c:lblOffset val="100"/>
        <c:baseTimeUnit val="months"/>
        <c:majorUnit val="6"/>
        <c:majorTimeUnit val="months"/>
      </c:dateAx>
      <c:valAx>
        <c:axId val="109247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Resíduo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+#.##000;\-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2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Desvio Residual (</a:t>
            </a:r>
            <a:r>
              <a:rPr lang="el-GR"/>
              <a:t>σ) </a:t>
            </a:r>
            <a:r>
              <a:rPr lang="en-US"/>
              <a:t>por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Dashboard_Regressao!$C$110</c:f>
              <c:strCache>
                <c:ptCount val="1"/>
                <c:pt idx="0">
                  <c:v>Desvio σ (R$)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R&quot;R$&quot;\ #.##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Dashboard_Regressao!$B$111:$B$116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TOTAL</c:v>
                </c:pt>
              </c:strCache>
            </c:strRef>
          </c:cat>
          <c:val>
            <c:numRef>
              <c:f>Dashboard_Regressao!$C$111:$C$116</c:f>
              <c:numCache>
                <c:formatCode>0.00</c:formatCode>
                <c:ptCount val="6"/>
                <c:pt idx="0">
                  <c:v>3.9911035836423245</c:v>
                </c:pt>
                <c:pt idx="1">
                  <c:v>9.1820021308740856</c:v>
                </c:pt>
                <c:pt idx="2">
                  <c:v>4.8011232234372265</c:v>
                </c:pt>
                <c:pt idx="3">
                  <c:v>6.0626933909032754</c:v>
                </c:pt>
                <c:pt idx="4">
                  <c:v>1.8490367230533533</c:v>
                </c:pt>
                <c:pt idx="5">
                  <c:v>10.629803865830469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9-47DA-9EE6-430FA5BF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9039951"/>
        <c:axId val="1748013791"/>
      </c:barChart>
      <c:catAx>
        <c:axId val="132903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13791"/>
        <c:crosses val="autoZero"/>
        <c:auto val="1"/>
        <c:lblAlgn val="ctr"/>
        <c:lblOffset val="100"/>
        <c:noMultiLvlLbl val="0"/>
      </c:catAx>
      <c:valAx>
        <c:axId val="174801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Desvio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&quot;R$&quot;\ 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3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504</xdr:row>
      <xdr:rowOff>0</xdr:rowOff>
    </xdr:from>
    <xdr:to>
      <xdr:col>11</xdr:col>
      <xdr:colOff>0</xdr:colOff>
      <xdr:row>525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9CFED-9FA6-5860-446F-D9B40776C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527</xdr:row>
      <xdr:rowOff>0</xdr:rowOff>
    </xdr:from>
    <xdr:to>
      <xdr:col>11</xdr:col>
      <xdr:colOff>0</xdr:colOff>
      <xdr:row>548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A0AC77-2DB7-8D0E-E476-89A05D621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504</xdr:row>
      <xdr:rowOff>0</xdr:rowOff>
    </xdr:from>
    <xdr:to>
      <xdr:col>22</xdr:col>
      <xdr:colOff>0</xdr:colOff>
      <xdr:row>525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1DFED5-8C94-61F3-1C8F-4844D0976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527</xdr:row>
      <xdr:rowOff>0</xdr:rowOff>
    </xdr:from>
    <xdr:to>
      <xdr:col>22</xdr:col>
      <xdr:colOff>0</xdr:colOff>
      <xdr:row>548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015C1B-B23D-4F4B-9BB1-9E357A64F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504</xdr:row>
      <xdr:rowOff>0</xdr:rowOff>
    </xdr:from>
    <xdr:to>
      <xdr:col>33</xdr:col>
      <xdr:colOff>0</xdr:colOff>
      <xdr:row>525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568BFB-9210-2E66-5DF5-70792E529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527</xdr:row>
      <xdr:rowOff>0</xdr:rowOff>
    </xdr:from>
    <xdr:to>
      <xdr:col>33</xdr:col>
      <xdr:colOff>0</xdr:colOff>
      <xdr:row>548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E00C2A-BC62-E671-EA26-3A2229C2E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10</xdr:row>
      <xdr:rowOff>0</xdr:rowOff>
    </xdr:from>
    <xdr:to>
      <xdr:col>32</xdr:col>
      <xdr:colOff>0</xdr:colOff>
      <xdr:row>31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1B6BBC-073E-B376-BDB9-19FC147B7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0</xdr:colOff>
      <xdr:row>37</xdr:row>
      <xdr:rowOff>0</xdr:rowOff>
    </xdr:from>
    <xdr:to>
      <xdr:col>32</xdr:col>
      <xdr:colOff>0</xdr:colOff>
      <xdr:row>50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150D5A-5CCD-DFDC-24F3-3BEBBEC7D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0</xdr:row>
      <xdr:rowOff>0</xdr:rowOff>
    </xdr:from>
    <xdr:to>
      <xdr:col>37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E4F4F-D585-4F50-E7B7-00FA0F1E9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21</xdr:row>
      <xdr:rowOff>0</xdr:rowOff>
    </xdr:from>
    <xdr:to>
      <xdr:col>37</xdr:col>
      <xdr:colOff>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9C0160-388B-7C31-B073-36876F357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42</xdr:row>
      <xdr:rowOff>0</xdr:rowOff>
    </xdr:from>
    <xdr:to>
      <xdr:col>37</xdr:col>
      <xdr:colOff>0</xdr:colOff>
      <xdr:row>62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493DC5-9111-EBA3-F738-2301E6A3C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0</xdr:colOff>
      <xdr:row>0</xdr:row>
      <xdr:rowOff>0</xdr:rowOff>
    </xdr:from>
    <xdr:to>
      <xdr:col>48</xdr:col>
      <xdr:colOff>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D1B274-2852-BB23-1361-7CFD7FBC2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0</xdr:colOff>
      <xdr:row>21</xdr:row>
      <xdr:rowOff>0</xdr:rowOff>
    </xdr:from>
    <xdr:to>
      <xdr:col>48</xdr:col>
      <xdr:colOff>0</xdr:colOff>
      <xdr:row>41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821E14-D6F3-BB3F-2D10-9AAD1023B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0</xdr:colOff>
      <xdr:row>42</xdr:row>
      <xdr:rowOff>0</xdr:rowOff>
    </xdr:from>
    <xdr:to>
      <xdr:col>48</xdr:col>
      <xdr:colOff>0</xdr:colOff>
      <xdr:row>62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BBD729-CF47-97DA-616D-FAFC24156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0</xdr:colOff>
      <xdr:row>0</xdr:row>
      <xdr:rowOff>0</xdr:rowOff>
    </xdr:from>
    <xdr:to>
      <xdr:col>59</xdr:col>
      <xdr:colOff>0</xdr:colOff>
      <xdr:row>20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3EE2BE-DF75-8C34-462C-38558BC57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48</xdr:col>
      <xdr:colOff>0</xdr:colOff>
      <xdr:row>21</xdr:row>
      <xdr:rowOff>0</xdr:rowOff>
    </xdr:from>
    <xdr:to>
      <xdr:col>59</xdr:col>
      <xdr:colOff>0</xdr:colOff>
      <xdr:row>41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3D9519-26A8-E34C-F957-8310BF8ED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48</xdr:col>
      <xdr:colOff>0</xdr:colOff>
      <xdr:row>42</xdr:row>
      <xdr:rowOff>0</xdr:rowOff>
    </xdr:from>
    <xdr:to>
      <xdr:col>59</xdr:col>
      <xdr:colOff>0</xdr:colOff>
      <xdr:row>55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DE15781-6F96-BCDD-8026-D7725A1BE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101600</xdr:colOff>
      <xdr:row>3</xdr:row>
      <xdr:rowOff>15875</xdr:rowOff>
    </xdr:from>
    <xdr:to>
      <xdr:col>50</xdr:col>
      <xdr:colOff>508000</xdr:colOff>
      <xdr:row>29</xdr:row>
      <xdr:rowOff>114300</xdr:rowOff>
    </xdr:to>
    <xdr:graphicFrame macro="">
      <xdr:nvGraphicFramePr>
        <xdr:cNvPr id="11" name="Canal_Regressao">
          <a:extLst>
            <a:ext uri="{FF2B5EF4-FFF2-40B4-BE49-F238E27FC236}">
              <a16:creationId xmlns:a16="http://schemas.microsoft.com/office/drawing/2014/main" id="{9D0E59A9-F1C7-7655-3D4C-6CB38E016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CE0FA5-09C8-4469-A3BB-D8BAD4539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75C6FD-DBE8-8DEE-B047-E8DE4E76E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7</xdr:col>
      <xdr:colOff>0</xdr:colOff>
      <xdr:row>64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821AF6-EF26-FA6B-E214-A4DFDC699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44</xdr:row>
      <xdr:rowOff>0</xdr:rowOff>
    </xdr:from>
    <xdr:to>
      <xdr:col>12</xdr:col>
      <xdr:colOff>0</xdr:colOff>
      <xdr:row>64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5EEB4B-FBE9-0258-F7EE-59329B97F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32</xdr:row>
      <xdr:rowOff>0</xdr:rowOff>
    </xdr:from>
    <xdr:to>
      <xdr:col>17</xdr:col>
      <xdr:colOff>0</xdr:colOff>
      <xdr:row>52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C15EE8-253C-8CDC-D332-D85DE58DE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56</xdr:row>
      <xdr:rowOff>0</xdr:rowOff>
    </xdr:from>
    <xdr:to>
      <xdr:col>17</xdr:col>
      <xdr:colOff>0</xdr:colOff>
      <xdr:row>69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A5D78D-2A7B-3235-2580-59FAC945E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AF629-1115-2689-7457-8806A959E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CF60F3-9955-AF84-F091-31BA6791F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6</xdr:col>
      <xdr:colOff>0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FD19D2-C4B9-A733-7EFC-090ECCA01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39</xdr:row>
      <xdr:rowOff>0</xdr:rowOff>
    </xdr:from>
    <xdr:to>
      <xdr:col>12</xdr:col>
      <xdr:colOff>0</xdr:colOff>
      <xdr:row>55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35DF98-CC24-8B8E-E1ED-71866F8F9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6</xdr:col>
      <xdr:colOff>0</xdr:colOff>
      <xdr:row>72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877155-D851-41BC-5B8E-EC1B2D1CA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56</xdr:row>
      <xdr:rowOff>0</xdr:rowOff>
    </xdr:from>
    <xdr:to>
      <xdr:col>12</xdr:col>
      <xdr:colOff>0</xdr:colOff>
      <xdr:row>72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B8A50F-CEAA-F750-F87A-2EF0A6D12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11</xdr:col>
      <xdr:colOff>0</xdr:colOff>
      <xdr:row>55</xdr:row>
      <xdr:rowOff>0</xdr:rowOff>
    </xdr:to>
    <xdr:graphicFrame macro="">
      <xdr:nvGraphicFramePr>
        <xdr:cNvPr id="2" name="Canal_Regressao_Dash">
          <a:extLst>
            <a:ext uri="{FF2B5EF4-FFF2-40B4-BE49-F238E27FC236}">
              <a16:creationId xmlns:a16="http://schemas.microsoft.com/office/drawing/2014/main" id="{A8F19320-FB0B-01FA-D1D2-730738D2E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11</xdr:col>
      <xdr:colOff>0</xdr:colOff>
      <xdr:row>75</xdr:row>
      <xdr:rowOff>0</xdr:rowOff>
    </xdr:to>
    <xdr:graphicFrame macro="">
      <xdr:nvGraphicFramePr>
        <xdr:cNvPr id="3" name="Residuos_Dash">
          <a:extLst>
            <a:ext uri="{FF2B5EF4-FFF2-40B4-BE49-F238E27FC236}">
              <a16:creationId xmlns:a16="http://schemas.microsoft.com/office/drawing/2014/main" id="{5294D599-4F5A-DF50-6956-EC6C6ECD7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109</xdr:row>
      <xdr:rowOff>0</xdr:rowOff>
    </xdr:from>
    <xdr:to>
      <xdr:col>11</xdr:col>
      <xdr:colOff>0</xdr:colOff>
      <xdr:row>125</xdr:row>
      <xdr:rowOff>0</xdr:rowOff>
    </xdr:to>
    <xdr:graphicFrame macro="">
      <xdr:nvGraphicFramePr>
        <xdr:cNvPr id="4" name="Desvio_Por_Ano">
          <a:extLst>
            <a:ext uri="{FF2B5EF4-FFF2-40B4-BE49-F238E27FC236}">
              <a16:creationId xmlns:a16="http://schemas.microsoft.com/office/drawing/2014/main" id="{50D5005C-ED86-24E1-51C4-23174C6A6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134E8-D63C-4230-8C12-CE2DFEEDFCA4}" name="Table1" displayName="Table1" ref="A1:H500" totalsRowShown="0">
  <autoFilter ref="A1:H500" xr:uid="{AA6134E8-D63C-4230-8C12-CE2DFEEDFCA4}"/>
  <tableColumns count="8">
    <tableColumn id="1" xr3:uid="{E7BFB472-85BA-49F1-9681-B32B741A553A}" name="Ativo"/>
    <tableColumn id="2" xr3:uid="{D615B4E5-C664-45CE-B6B0-0420E95847CC}" name="Data" dataDxfId="6"/>
    <tableColumn id="3" xr3:uid="{244FAF35-E74A-4E65-8F25-9D841E05577F}" name="Abertura"/>
    <tableColumn id="4" xr3:uid="{A3E194B6-A22F-48A3-A63D-9F08B2B28BD8}" name="Máximo"/>
    <tableColumn id="5" xr3:uid="{AD0E45F4-FBD1-492F-A003-D43578524685}" name="Mínimo"/>
    <tableColumn id="6" xr3:uid="{BA924D7A-0E19-4136-837B-4880C1AF7838}" name="Fechamento"/>
    <tableColumn id="7" xr3:uid="{2820CF86-3E10-4EB6-8889-F00AC9E3A1FB}" name="Volume" dataDxfId="5"/>
    <tableColumn id="8" xr3:uid="{40BD280F-4954-4167-BB77-ED5F92A9D98E}" name="Quantidad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0AE6E4-6259-4C85-9094-961DFD10B58A}" name="Table2" displayName="Table2" ref="A1:B1135" totalsRowShown="0" headerRowDxfId="0" dataDxfId="1">
  <autoFilter ref="A1:B1135" xr:uid="{8F0AE6E4-6259-4C85-9094-961DFD10B58A}"/>
  <tableColumns count="2">
    <tableColumn id="1" xr3:uid="{89AD1B69-7618-46EE-934C-E6C001196613}" name="Data" dataDxfId="3"/>
    <tableColumn id="2" xr3:uid="{12EB95A9-7E5A-4CEA-94F2-1710179F00F6}" name="À vista R$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D2BB-57E8-4D12-9BAA-4FB7C15AEA83}">
  <dimension ref="A1:H500"/>
  <sheetViews>
    <sheetView workbookViewId="0">
      <selection sqref="A1:H500"/>
    </sheetView>
  </sheetViews>
  <sheetFormatPr defaultRowHeight="15" x14ac:dyDescent="0.25"/>
  <cols>
    <col min="1" max="1" width="8.140625" bestFit="1" customWidth="1"/>
    <col min="2" max="2" width="12" customWidth="1"/>
    <col min="3" max="3" width="10.85546875" customWidth="1"/>
    <col min="4" max="4" width="10.140625" customWidth="1"/>
    <col min="5" max="5" width="9.85546875" customWidth="1"/>
    <col min="6" max="6" width="14.28515625" customWidth="1"/>
    <col min="7" max="7" width="13.85546875" bestFit="1" customWidth="1"/>
    <col min="8" max="8" width="13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45491</v>
      </c>
      <c r="C2">
        <v>64.099999999999994</v>
      </c>
      <c r="D2">
        <v>64.11</v>
      </c>
      <c r="E2">
        <v>63.09</v>
      </c>
      <c r="F2">
        <v>63.13</v>
      </c>
      <c r="G2" s="2">
        <v>323580644.50999999</v>
      </c>
      <c r="H2" s="3">
        <v>11326</v>
      </c>
    </row>
    <row r="3" spans="1:8" x14ac:dyDescent="0.25">
      <c r="A3" t="s">
        <v>8</v>
      </c>
      <c r="B3" s="1">
        <v>45492</v>
      </c>
      <c r="C3">
        <v>63.12</v>
      </c>
      <c r="D3">
        <v>64.41</v>
      </c>
      <c r="E3">
        <v>62.86</v>
      </c>
      <c r="F3">
        <v>64.099999999999994</v>
      </c>
      <c r="G3" s="2">
        <v>189769498.30000001</v>
      </c>
      <c r="H3" s="3">
        <v>6605</v>
      </c>
    </row>
    <row r="4" spans="1:8" x14ac:dyDescent="0.25">
      <c r="A4" t="s">
        <v>8</v>
      </c>
      <c r="B4" s="1">
        <v>45495</v>
      </c>
      <c r="C4">
        <v>64.099999999999994</v>
      </c>
      <c r="D4">
        <v>65.680000000000007</v>
      </c>
      <c r="E4">
        <v>64.069999999999993</v>
      </c>
      <c r="F4">
        <v>65.5</v>
      </c>
      <c r="G4" s="2">
        <v>364918030.82999998</v>
      </c>
      <c r="H4" s="3">
        <v>12435</v>
      </c>
    </row>
    <row r="5" spans="1:8" x14ac:dyDescent="0.25">
      <c r="A5" t="s">
        <v>8</v>
      </c>
      <c r="B5" s="1">
        <v>45496</v>
      </c>
      <c r="C5">
        <v>65.540000000000006</v>
      </c>
      <c r="D5">
        <v>66.55</v>
      </c>
      <c r="E5">
        <v>65.06</v>
      </c>
      <c r="F5">
        <v>66</v>
      </c>
      <c r="G5" s="2">
        <v>287140757</v>
      </c>
      <c r="H5" s="3">
        <v>9649</v>
      </c>
    </row>
    <row r="6" spans="1:8" x14ac:dyDescent="0.25">
      <c r="A6" t="s">
        <v>8</v>
      </c>
      <c r="B6" s="1">
        <v>45497</v>
      </c>
      <c r="C6">
        <v>66.010000000000005</v>
      </c>
      <c r="D6">
        <v>67.2</v>
      </c>
      <c r="E6">
        <v>65.63</v>
      </c>
      <c r="F6">
        <v>66.849999999999994</v>
      </c>
      <c r="G6" s="2">
        <v>316378269.68000001</v>
      </c>
      <c r="H6" s="3">
        <v>10550</v>
      </c>
    </row>
    <row r="7" spans="1:8" x14ac:dyDescent="0.25">
      <c r="A7" t="s">
        <v>8</v>
      </c>
      <c r="B7" s="1">
        <v>45498</v>
      </c>
      <c r="C7">
        <v>66.92</v>
      </c>
      <c r="D7">
        <v>67.739999999999995</v>
      </c>
      <c r="E7">
        <v>66.23</v>
      </c>
      <c r="F7">
        <v>66.540000000000006</v>
      </c>
      <c r="G7" s="2">
        <v>396284748.52999997</v>
      </c>
      <c r="H7" s="3">
        <v>13132</v>
      </c>
    </row>
    <row r="8" spans="1:8" x14ac:dyDescent="0.25">
      <c r="A8" t="s">
        <v>8</v>
      </c>
      <c r="B8" s="1">
        <v>45499</v>
      </c>
      <c r="C8">
        <v>66.650000000000006</v>
      </c>
      <c r="D8">
        <v>66.66</v>
      </c>
      <c r="E8">
        <v>65.709999999999994</v>
      </c>
      <c r="F8">
        <v>66.2</v>
      </c>
      <c r="G8" s="2">
        <v>349927067.32999998</v>
      </c>
      <c r="H8" s="3">
        <v>11747</v>
      </c>
    </row>
    <row r="9" spans="1:8" x14ac:dyDescent="0.25">
      <c r="A9" t="s">
        <v>8</v>
      </c>
      <c r="B9" s="1">
        <v>45502</v>
      </c>
      <c r="C9">
        <v>66.23</v>
      </c>
      <c r="D9">
        <v>66.66</v>
      </c>
      <c r="E9">
        <v>65.680000000000007</v>
      </c>
      <c r="F9">
        <v>66.19</v>
      </c>
      <c r="G9" s="2">
        <v>203037907.52000001</v>
      </c>
      <c r="H9" s="3">
        <v>6829</v>
      </c>
    </row>
    <row r="10" spans="1:8" x14ac:dyDescent="0.25">
      <c r="A10" t="s">
        <v>8</v>
      </c>
      <c r="B10" s="1">
        <v>45503</v>
      </c>
      <c r="C10">
        <v>66.099999999999994</v>
      </c>
      <c r="D10">
        <v>66.16</v>
      </c>
      <c r="E10">
        <v>65.010000000000005</v>
      </c>
      <c r="F10">
        <v>65.06</v>
      </c>
      <c r="G10" s="2">
        <v>231144752.06999999</v>
      </c>
      <c r="H10" s="3">
        <v>7845</v>
      </c>
    </row>
    <row r="11" spans="1:8" x14ac:dyDescent="0.25">
      <c r="A11" t="s">
        <v>8</v>
      </c>
      <c r="B11" s="1">
        <v>45504</v>
      </c>
      <c r="C11">
        <v>65.010000000000005</v>
      </c>
      <c r="D11">
        <v>65.3</v>
      </c>
      <c r="E11">
        <v>64.41</v>
      </c>
      <c r="F11">
        <v>64.63</v>
      </c>
      <c r="G11" s="2">
        <v>304278478.95999998</v>
      </c>
      <c r="H11" s="3">
        <v>10448</v>
      </c>
    </row>
    <row r="12" spans="1:8" x14ac:dyDescent="0.25">
      <c r="A12" t="s">
        <v>8</v>
      </c>
      <c r="B12" s="1">
        <v>45505</v>
      </c>
      <c r="C12">
        <v>64.63</v>
      </c>
      <c r="D12">
        <v>65.77</v>
      </c>
      <c r="E12">
        <v>64.599999999999994</v>
      </c>
      <c r="F12">
        <v>65.680000000000007</v>
      </c>
      <c r="G12" s="2">
        <v>222010191.22</v>
      </c>
      <c r="H12" s="3">
        <v>7554</v>
      </c>
    </row>
    <row r="13" spans="1:8" x14ac:dyDescent="0.25">
      <c r="A13" t="s">
        <v>8</v>
      </c>
      <c r="B13" s="1">
        <v>45506</v>
      </c>
      <c r="C13">
        <v>65.900000000000006</v>
      </c>
      <c r="D13">
        <v>67.09</v>
      </c>
      <c r="E13">
        <v>65.650000000000006</v>
      </c>
      <c r="F13">
        <v>67.010000000000005</v>
      </c>
      <c r="G13" s="2">
        <v>231242298.30000001</v>
      </c>
      <c r="H13" s="3">
        <v>7733</v>
      </c>
    </row>
    <row r="14" spans="1:8" x14ac:dyDescent="0.25">
      <c r="A14" t="s">
        <v>8</v>
      </c>
      <c r="B14" s="1">
        <v>45509</v>
      </c>
      <c r="C14">
        <v>66.91</v>
      </c>
      <c r="D14">
        <v>67.44</v>
      </c>
      <c r="E14">
        <v>66.23</v>
      </c>
      <c r="F14">
        <v>66.87</v>
      </c>
      <c r="G14" s="2">
        <v>218866641.94999999</v>
      </c>
      <c r="H14" s="3">
        <v>7269</v>
      </c>
    </row>
    <row r="15" spans="1:8" x14ac:dyDescent="0.25">
      <c r="A15" t="s">
        <v>8</v>
      </c>
      <c r="B15" s="1">
        <v>45510</v>
      </c>
      <c r="C15">
        <v>66.66</v>
      </c>
      <c r="D15">
        <v>66.8</v>
      </c>
      <c r="E15">
        <v>65.38</v>
      </c>
      <c r="F15">
        <v>65.38</v>
      </c>
      <c r="G15" s="2">
        <v>259002556.21000001</v>
      </c>
      <c r="H15" s="3">
        <v>8741</v>
      </c>
    </row>
    <row r="16" spans="1:8" x14ac:dyDescent="0.25">
      <c r="A16" t="s">
        <v>8</v>
      </c>
      <c r="B16" s="1">
        <v>45511</v>
      </c>
      <c r="C16">
        <v>65.38</v>
      </c>
      <c r="D16">
        <v>65.72</v>
      </c>
      <c r="E16">
        <v>64.930000000000007</v>
      </c>
      <c r="F16">
        <v>65.150000000000006</v>
      </c>
      <c r="G16" s="2">
        <v>219166225.94</v>
      </c>
      <c r="H16" s="3">
        <v>7469</v>
      </c>
    </row>
    <row r="17" spans="1:8" x14ac:dyDescent="0.25">
      <c r="A17" t="s">
        <v>8</v>
      </c>
      <c r="B17" s="1">
        <v>45512</v>
      </c>
      <c r="C17">
        <v>65.150000000000006</v>
      </c>
      <c r="D17">
        <v>66.19</v>
      </c>
      <c r="E17">
        <v>64.97</v>
      </c>
      <c r="F17">
        <v>65.13</v>
      </c>
      <c r="G17" s="2">
        <v>234922981.02000001</v>
      </c>
      <c r="H17" s="3">
        <v>7969</v>
      </c>
    </row>
    <row r="18" spans="1:8" x14ac:dyDescent="0.25">
      <c r="A18" t="s">
        <v>8</v>
      </c>
      <c r="B18" s="1">
        <v>45513</v>
      </c>
      <c r="C18">
        <v>65.069999999999993</v>
      </c>
      <c r="D18">
        <v>65.319999999999993</v>
      </c>
      <c r="E18">
        <v>64.680000000000007</v>
      </c>
      <c r="F18">
        <v>65.28</v>
      </c>
      <c r="G18" s="2">
        <v>168290715.38</v>
      </c>
      <c r="H18" s="3">
        <v>5752</v>
      </c>
    </row>
    <row r="19" spans="1:8" x14ac:dyDescent="0.25">
      <c r="A19" t="s">
        <v>8</v>
      </c>
      <c r="B19" s="1">
        <v>45516</v>
      </c>
      <c r="C19">
        <v>65.28</v>
      </c>
      <c r="D19">
        <v>65.569999999999993</v>
      </c>
      <c r="E19">
        <v>64.489999999999995</v>
      </c>
      <c r="F19">
        <v>65.540000000000006</v>
      </c>
      <c r="G19" s="2">
        <v>285438560.61000001</v>
      </c>
      <c r="H19" s="3">
        <v>9764</v>
      </c>
    </row>
    <row r="20" spans="1:8" x14ac:dyDescent="0.25">
      <c r="A20" t="s">
        <v>8</v>
      </c>
      <c r="B20" s="1">
        <v>45517</v>
      </c>
      <c r="C20">
        <v>65.56</v>
      </c>
      <c r="D20">
        <v>65.78</v>
      </c>
      <c r="E20">
        <v>64.78</v>
      </c>
      <c r="F20">
        <v>64.98</v>
      </c>
      <c r="G20" s="2">
        <v>208699134.78999999</v>
      </c>
      <c r="H20" s="3">
        <v>7134</v>
      </c>
    </row>
    <row r="21" spans="1:8" x14ac:dyDescent="0.25">
      <c r="A21" t="s">
        <v>8</v>
      </c>
      <c r="B21" s="1">
        <v>45518</v>
      </c>
      <c r="C21">
        <v>64.98</v>
      </c>
      <c r="D21">
        <v>65.22</v>
      </c>
      <c r="E21">
        <v>64.680000000000007</v>
      </c>
      <c r="F21">
        <v>64.73</v>
      </c>
      <c r="G21" s="2">
        <v>137177744.69999999</v>
      </c>
      <c r="H21" s="3">
        <v>4697</v>
      </c>
    </row>
    <row r="22" spans="1:8" x14ac:dyDescent="0.25">
      <c r="A22" t="s">
        <v>8</v>
      </c>
      <c r="B22" s="1">
        <v>45519</v>
      </c>
      <c r="C22">
        <v>64.73</v>
      </c>
      <c r="D22">
        <v>65.38</v>
      </c>
      <c r="E22">
        <v>64.650000000000006</v>
      </c>
      <c r="F22">
        <v>65.319999999999993</v>
      </c>
      <c r="G22" s="2">
        <v>106673467.38</v>
      </c>
      <c r="H22" s="3">
        <v>3638</v>
      </c>
    </row>
    <row r="23" spans="1:8" x14ac:dyDescent="0.25">
      <c r="A23" t="s">
        <v>8</v>
      </c>
      <c r="B23" s="1">
        <v>45520</v>
      </c>
      <c r="C23">
        <v>65.36</v>
      </c>
      <c r="D23">
        <v>65.36</v>
      </c>
      <c r="E23">
        <v>64.3</v>
      </c>
      <c r="F23">
        <v>64.55</v>
      </c>
      <c r="G23" s="2">
        <v>238025258.47</v>
      </c>
      <c r="H23" s="3">
        <v>8194</v>
      </c>
    </row>
    <row r="24" spans="1:8" x14ac:dyDescent="0.25">
      <c r="A24" t="s">
        <v>8</v>
      </c>
      <c r="B24" s="1">
        <v>45523</v>
      </c>
      <c r="C24">
        <v>64.540000000000006</v>
      </c>
      <c r="D24">
        <v>65.19</v>
      </c>
      <c r="E24">
        <v>64.5</v>
      </c>
      <c r="F24">
        <v>65.180000000000007</v>
      </c>
      <c r="G24" s="2">
        <v>175683676.03999999</v>
      </c>
      <c r="H24" s="3">
        <v>6019</v>
      </c>
    </row>
    <row r="25" spans="1:8" x14ac:dyDescent="0.25">
      <c r="A25" t="s">
        <v>8</v>
      </c>
      <c r="B25" s="1">
        <v>45524</v>
      </c>
      <c r="C25">
        <v>65.239999999999995</v>
      </c>
      <c r="D25">
        <v>65.680000000000007</v>
      </c>
      <c r="E25">
        <v>64.92</v>
      </c>
      <c r="F25">
        <v>65.540000000000006</v>
      </c>
      <c r="G25" s="2">
        <v>168778305.09999999</v>
      </c>
      <c r="H25" s="3">
        <v>5742</v>
      </c>
    </row>
    <row r="26" spans="1:8" x14ac:dyDescent="0.25">
      <c r="A26" t="s">
        <v>8</v>
      </c>
      <c r="B26" s="1">
        <v>45525</v>
      </c>
      <c r="C26">
        <v>65.67</v>
      </c>
      <c r="D26">
        <v>65.67</v>
      </c>
      <c r="E26">
        <v>65.06</v>
      </c>
      <c r="F26">
        <v>65.239999999999995</v>
      </c>
      <c r="G26" s="2">
        <v>115964589.92</v>
      </c>
      <c r="H26" s="3">
        <v>3949</v>
      </c>
    </row>
    <row r="27" spans="1:8" x14ac:dyDescent="0.25">
      <c r="A27" t="s">
        <v>8</v>
      </c>
      <c r="B27" s="1">
        <v>45526</v>
      </c>
      <c r="C27">
        <v>65.33</v>
      </c>
      <c r="D27">
        <v>65.569999999999993</v>
      </c>
      <c r="E27">
        <v>65.09</v>
      </c>
      <c r="F27">
        <v>65.55</v>
      </c>
      <c r="G27" s="2">
        <v>128228736.29000001</v>
      </c>
      <c r="H27" s="3">
        <v>4354</v>
      </c>
    </row>
    <row r="28" spans="1:8" x14ac:dyDescent="0.25">
      <c r="A28" t="s">
        <v>8</v>
      </c>
      <c r="B28" s="1">
        <v>45527</v>
      </c>
      <c r="C28">
        <v>65.5</v>
      </c>
      <c r="D28">
        <v>65.680000000000007</v>
      </c>
      <c r="E28">
        <v>65.19</v>
      </c>
      <c r="F28">
        <v>65.28</v>
      </c>
      <c r="G28" s="2">
        <v>148781390.88999999</v>
      </c>
      <c r="H28" s="3">
        <v>5055</v>
      </c>
    </row>
    <row r="29" spans="1:8" x14ac:dyDescent="0.25">
      <c r="A29" t="s">
        <v>8</v>
      </c>
      <c r="B29" s="1">
        <v>45530</v>
      </c>
      <c r="C29">
        <v>65.180000000000007</v>
      </c>
      <c r="D29">
        <v>65.37</v>
      </c>
      <c r="E29">
        <v>64.91</v>
      </c>
      <c r="F29">
        <v>65.13</v>
      </c>
      <c r="G29" s="2">
        <v>168454705.22999999</v>
      </c>
      <c r="H29" s="3">
        <v>5740</v>
      </c>
    </row>
    <row r="30" spans="1:8" x14ac:dyDescent="0.25">
      <c r="A30" t="s">
        <v>8</v>
      </c>
      <c r="B30" s="1">
        <v>45531</v>
      </c>
      <c r="C30">
        <v>65.13</v>
      </c>
      <c r="D30">
        <v>65.569999999999993</v>
      </c>
      <c r="E30">
        <v>64.739999999999995</v>
      </c>
      <c r="F30">
        <v>65.52</v>
      </c>
      <c r="G30" s="2">
        <v>206571563.68000001</v>
      </c>
      <c r="H30" s="3">
        <v>7032</v>
      </c>
    </row>
    <row r="31" spans="1:8" x14ac:dyDescent="0.25">
      <c r="A31" t="s">
        <v>8</v>
      </c>
      <c r="B31" s="1">
        <v>45532</v>
      </c>
      <c r="C31">
        <v>65.459999999999994</v>
      </c>
      <c r="D31">
        <v>65.569999999999993</v>
      </c>
      <c r="E31">
        <v>65.239999999999995</v>
      </c>
      <c r="F31">
        <v>65.52</v>
      </c>
      <c r="G31" s="2">
        <v>182360296.19</v>
      </c>
      <c r="H31" s="3">
        <v>6193</v>
      </c>
    </row>
    <row r="32" spans="1:8" x14ac:dyDescent="0.25">
      <c r="A32" t="s">
        <v>8</v>
      </c>
      <c r="B32" s="1">
        <v>45533</v>
      </c>
      <c r="C32">
        <v>65.52</v>
      </c>
      <c r="D32">
        <v>66.33</v>
      </c>
      <c r="E32">
        <v>65.290000000000006</v>
      </c>
      <c r="F32">
        <v>66.099999999999994</v>
      </c>
      <c r="G32" s="2">
        <v>332632876.33999997</v>
      </c>
      <c r="H32" s="3">
        <v>11195</v>
      </c>
    </row>
    <row r="33" spans="1:8" x14ac:dyDescent="0.25">
      <c r="A33" t="s">
        <v>8</v>
      </c>
      <c r="B33" s="1">
        <v>45534</v>
      </c>
      <c r="C33">
        <v>66.099999999999994</v>
      </c>
      <c r="D33">
        <v>66.87</v>
      </c>
      <c r="E33">
        <v>65.84</v>
      </c>
      <c r="F33">
        <v>66.87</v>
      </c>
      <c r="G33" s="2">
        <v>321885783.61000001</v>
      </c>
      <c r="H33" s="3">
        <v>10738</v>
      </c>
    </row>
    <row r="34" spans="1:8" x14ac:dyDescent="0.25">
      <c r="A34" t="s">
        <v>8</v>
      </c>
      <c r="B34" s="1">
        <v>45537</v>
      </c>
      <c r="C34">
        <v>66.88</v>
      </c>
      <c r="D34">
        <v>67.14</v>
      </c>
      <c r="E34">
        <v>66.709999999999994</v>
      </c>
      <c r="F34">
        <v>66.92</v>
      </c>
      <c r="G34" s="2">
        <v>116056893.05</v>
      </c>
      <c r="H34" s="3">
        <v>3854</v>
      </c>
    </row>
    <row r="35" spans="1:8" x14ac:dyDescent="0.25">
      <c r="A35" t="s">
        <v>8</v>
      </c>
      <c r="B35" s="1">
        <v>45538</v>
      </c>
      <c r="C35">
        <v>66.78</v>
      </c>
      <c r="D35">
        <v>67.48</v>
      </c>
      <c r="E35">
        <v>66.209999999999994</v>
      </c>
      <c r="F35">
        <v>67.36</v>
      </c>
      <c r="G35" s="2">
        <v>248714677</v>
      </c>
      <c r="H35" s="3">
        <v>8236</v>
      </c>
    </row>
    <row r="36" spans="1:8" x14ac:dyDescent="0.25">
      <c r="A36" t="s">
        <v>8</v>
      </c>
      <c r="B36" s="1">
        <v>45539</v>
      </c>
      <c r="C36">
        <v>67.27</v>
      </c>
      <c r="D36">
        <v>68.540000000000006</v>
      </c>
      <c r="E36">
        <v>67.069999999999993</v>
      </c>
      <c r="F36">
        <v>68.44</v>
      </c>
      <c r="G36" s="2">
        <v>266685829.09</v>
      </c>
      <c r="H36" s="3">
        <v>8723</v>
      </c>
    </row>
    <row r="37" spans="1:8" x14ac:dyDescent="0.25">
      <c r="A37" t="s">
        <v>8</v>
      </c>
      <c r="B37" s="1">
        <v>45540</v>
      </c>
      <c r="C37">
        <v>68.44</v>
      </c>
      <c r="D37">
        <v>68.53</v>
      </c>
      <c r="E37">
        <v>67.69</v>
      </c>
      <c r="F37">
        <v>67.81</v>
      </c>
      <c r="G37" s="2">
        <v>198619882.58000001</v>
      </c>
      <c r="H37" s="3">
        <v>6477</v>
      </c>
    </row>
    <row r="38" spans="1:8" x14ac:dyDescent="0.25">
      <c r="A38" t="s">
        <v>8</v>
      </c>
      <c r="B38" s="1">
        <v>45541</v>
      </c>
      <c r="C38">
        <v>67.739999999999995</v>
      </c>
      <c r="D38">
        <v>68.94</v>
      </c>
      <c r="E38">
        <v>67.64</v>
      </c>
      <c r="F38">
        <v>68.27</v>
      </c>
      <c r="G38" s="2">
        <v>335715105.44</v>
      </c>
      <c r="H38" s="3">
        <v>10902</v>
      </c>
    </row>
    <row r="39" spans="1:8" x14ac:dyDescent="0.25">
      <c r="A39" t="s">
        <v>8</v>
      </c>
      <c r="B39" s="1">
        <v>45544</v>
      </c>
      <c r="C39">
        <v>68.319999999999993</v>
      </c>
      <c r="D39">
        <v>70.03</v>
      </c>
      <c r="E39">
        <v>68.319999999999993</v>
      </c>
      <c r="F39">
        <v>69.709999999999994</v>
      </c>
      <c r="G39" s="2">
        <v>398429243.22000003</v>
      </c>
      <c r="H39" s="3">
        <v>12751</v>
      </c>
    </row>
    <row r="40" spans="1:8" x14ac:dyDescent="0.25">
      <c r="A40" t="s">
        <v>8</v>
      </c>
      <c r="B40" s="1">
        <v>45545</v>
      </c>
      <c r="C40">
        <v>69.62</v>
      </c>
      <c r="D40">
        <v>70.930000000000007</v>
      </c>
      <c r="E40">
        <v>69.23</v>
      </c>
      <c r="F40">
        <v>69.48</v>
      </c>
      <c r="G40" s="2">
        <v>258431588.16999999</v>
      </c>
      <c r="H40" s="3">
        <v>8200</v>
      </c>
    </row>
    <row r="41" spans="1:8" x14ac:dyDescent="0.25">
      <c r="A41" t="s">
        <v>8</v>
      </c>
      <c r="B41" s="1">
        <v>45546</v>
      </c>
      <c r="C41">
        <v>69.540000000000006</v>
      </c>
      <c r="D41">
        <v>70.34</v>
      </c>
      <c r="E41">
        <v>69.06</v>
      </c>
      <c r="F41">
        <v>69.23</v>
      </c>
      <c r="G41" s="2">
        <v>183898223.86000001</v>
      </c>
      <c r="H41" s="3">
        <v>5870</v>
      </c>
    </row>
    <row r="42" spans="1:8" x14ac:dyDescent="0.25">
      <c r="A42" t="s">
        <v>8</v>
      </c>
      <c r="B42" s="1">
        <v>45547</v>
      </c>
      <c r="C42">
        <v>69.23</v>
      </c>
      <c r="D42">
        <v>70</v>
      </c>
      <c r="E42">
        <v>68.63</v>
      </c>
      <c r="F42">
        <v>68.92</v>
      </c>
      <c r="G42" s="2">
        <v>249029355.91</v>
      </c>
      <c r="H42" s="3">
        <v>7983</v>
      </c>
    </row>
    <row r="43" spans="1:8" x14ac:dyDescent="0.25">
      <c r="A43" t="s">
        <v>8</v>
      </c>
      <c r="B43" s="1">
        <v>45548</v>
      </c>
      <c r="C43">
        <v>68.84</v>
      </c>
      <c r="D43">
        <v>70.209999999999994</v>
      </c>
      <c r="E43">
        <v>68.819999999999993</v>
      </c>
      <c r="F43">
        <v>70.06</v>
      </c>
      <c r="G43" s="2">
        <v>229945117.88999999</v>
      </c>
      <c r="H43" s="3">
        <v>7331</v>
      </c>
    </row>
    <row r="44" spans="1:8" x14ac:dyDescent="0.25">
      <c r="A44" t="s">
        <v>8</v>
      </c>
      <c r="B44" s="1">
        <v>45551</v>
      </c>
      <c r="C44">
        <v>70.08</v>
      </c>
      <c r="D44">
        <v>70.150000000000006</v>
      </c>
      <c r="E44">
        <v>69.19</v>
      </c>
      <c r="F44">
        <v>69.709999999999994</v>
      </c>
      <c r="G44" s="2">
        <v>146461558.66</v>
      </c>
      <c r="H44" s="3">
        <v>4669</v>
      </c>
    </row>
    <row r="45" spans="1:8" x14ac:dyDescent="0.25">
      <c r="A45" t="s">
        <v>8</v>
      </c>
      <c r="B45" s="1">
        <v>45552</v>
      </c>
      <c r="C45">
        <v>69.7</v>
      </c>
      <c r="D45">
        <v>69.849999999999994</v>
      </c>
      <c r="E45">
        <v>69.13</v>
      </c>
      <c r="F45">
        <v>69.489999999999995</v>
      </c>
      <c r="G45" s="2">
        <v>275159498.80000001</v>
      </c>
      <c r="H45" s="3">
        <v>8809</v>
      </c>
    </row>
    <row r="46" spans="1:8" x14ac:dyDescent="0.25">
      <c r="A46" t="s">
        <v>8</v>
      </c>
      <c r="B46" s="1">
        <v>45553</v>
      </c>
      <c r="C46">
        <v>69.5</v>
      </c>
      <c r="D46">
        <v>69.5</v>
      </c>
      <c r="E46">
        <v>68.42</v>
      </c>
      <c r="F46">
        <v>68.510000000000005</v>
      </c>
      <c r="G46" s="2">
        <v>250102355.77000001</v>
      </c>
      <c r="H46" s="3">
        <v>8074</v>
      </c>
    </row>
    <row r="47" spans="1:8" x14ac:dyDescent="0.25">
      <c r="A47" t="s">
        <v>8</v>
      </c>
      <c r="B47" s="1">
        <v>45554</v>
      </c>
      <c r="C47">
        <v>68.61</v>
      </c>
      <c r="D47">
        <v>69.41</v>
      </c>
      <c r="E47">
        <v>68.040000000000006</v>
      </c>
      <c r="F47">
        <v>69.16</v>
      </c>
      <c r="G47" s="2">
        <v>339995252.36000001</v>
      </c>
      <c r="H47" s="3">
        <v>10985</v>
      </c>
    </row>
    <row r="48" spans="1:8" x14ac:dyDescent="0.25">
      <c r="A48" t="s">
        <v>8</v>
      </c>
      <c r="B48" s="1">
        <v>45555</v>
      </c>
      <c r="C48">
        <v>69.150000000000006</v>
      </c>
      <c r="D48">
        <v>70.260000000000005</v>
      </c>
      <c r="E48">
        <v>68.61</v>
      </c>
      <c r="F48">
        <v>70.11</v>
      </c>
      <c r="G48" s="2">
        <v>441927337.69</v>
      </c>
      <c r="H48" s="3">
        <v>14119</v>
      </c>
    </row>
    <row r="49" spans="1:8" x14ac:dyDescent="0.25">
      <c r="A49" t="s">
        <v>8</v>
      </c>
      <c r="B49" s="1">
        <v>45558</v>
      </c>
      <c r="C49">
        <v>70.099999999999994</v>
      </c>
      <c r="D49">
        <v>70.569999999999993</v>
      </c>
      <c r="E49">
        <v>69.75</v>
      </c>
      <c r="F49">
        <v>70.38</v>
      </c>
      <c r="G49" s="2">
        <v>253957634.56999999</v>
      </c>
      <c r="H49" s="3">
        <v>8025</v>
      </c>
    </row>
    <row r="50" spans="1:8" x14ac:dyDescent="0.25">
      <c r="A50" t="s">
        <v>8</v>
      </c>
      <c r="B50" s="1">
        <v>45559</v>
      </c>
      <c r="C50">
        <v>70.430000000000007</v>
      </c>
      <c r="D50">
        <v>70.510000000000005</v>
      </c>
      <c r="E50">
        <v>69.86</v>
      </c>
      <c r="F50">
        <v>70.47</v>
      </c>
      <c r="G50" s="2">
        <v>199242183.72999999</v>
      </c>
      <c r="H50" s="3">
        <v>6304</v>
      </c>
    </row>
    <row r="51" spans="1:8" x14ac:dyDescent="0.25">
      <c r="A51" t="s">
        <v>8</v>
      </c>
      <c r="B51" s="1">
        <v>45560</v>
      </c>
      <c r="C51">
        <v>70.42</v>
      </c>
      <c r="D51">
        <v>70.569999999999993</v>
      </c>
      <c r="E51">
        <v>69.680000000000007</v>
      </c>
      <c r="F51">
        <v>70</v>
      </c>
      <c r="G51" s="2">
        <v>253567477.74000001</v>
      </c>
      <c r="H51" s="3">
        <v>8033</v>
      </c>
    </row>
    <row r="52" spans="1:8" x14ac:dyDescent="0.25">
      <c r="A52" t="s">
        <v>8</v>
      </c>
      <c r="B52" s="1">
        <v>45561</v>
      </c>
      <c r="C52">
        <v>70.010000000000005</v>
      </c>
      <c r="D52">
        <v>71.06</v>
      </c>
      <c r="E52">
        <v>69.77</v>
      </c>
      <c r="F52">
        <v>70.459999999999994</v>
      </c>
      <c r="G52" s="2">
        <v>278120928.00999999</v>
      </c>
      <c r="H52" s="3">
        <v>8768</v>
      </c>
    </row>
    <row r="53" spans="1:8" x14ac:dyDescent="0.25">
      <c r="A53" t="s">
        <v>8</v>
      </c>
      <c r="B53" s="1">
        <v>45562</v>
      </c>
      <c r="C53">
        <v>70.38</v>
      </c>
      <c r="D53">
        <v>71</v>
      </c>
      <c r="E53">
        <v>70</v>
      </c>
      <c r="F53">
        <v>70.989999999999995</v>
      </c>
      <c r="G53" s="2">
        <v>197231095.38999999</v>
      </c>
      <c r="H53" s="3">
        <v>6219</v>
      </c>
    </row>
    <row r="54" spans="1:8" x14ac:dyDescent="0.25">
      <c r="A54" t="s">
        <v>8</v>
      </c>
      <c r="B54" s="1">
        <v>45565</v>
      </c>
      <c r="C54">
        <v>71.010000000000005</v>
      </c>
      <c r="D54">
        <v>71.27</v>
      </c>
      <c r="E54">
        <v>70.709999999999994</v>
      </c>
      <c r="F54">
        <v>71.19</v>
      </c>
      <c r="G54" s="2">
        <v>191560325.13999999</v>
      </c>
      <c r="H54" s="3">
        <v>5985</v>
      </c>
    </row>
    <row r="55" spans="1:8" x14ac:dyDescent="0.25">
      <c r="A55" t="s">
        <v>8</v>
      </c>
      <c r="B55" s="1">
        <v>45566</v>
      </c>
      <c r="C55">
        <v>71.180000000000007</v>
      </c>
      <c r="D55">
        <v>71.3</v>
      </c>
      <c r="E55">
        <v>70.81</v>
      </c>
      <c r="F55">
        <v>71.3</v>
      </c>
      <c r="G55" s="2">
        <v>157225543.19</v>
      </c>
      <c r="H55" s="3">
        <v>4907</v>
      </c>
    </row>
    <row r="56" spans="1:8" x14ac:dyDescent="0.25">
      <c r="A56" t="s">
        <v>8</v>
      </c>
      <c r="B56" s="1">
        <v>45567</v>
      </c>
      <c r="C56">
        <v>71.25</v>
      </c>
      <c r="D56">
        <v>72.209999999999994</v>
      </c>
      <c r="E56">
        <v>71.25</v>
      </c>
      <c r="F56">
        <v>71.97</v>
      </c>
      <c r="G56" s="2">
        <v>229070811.72</v>
      </c>
      <c r="H56" s="3">
        <v>7082</v>
      </c>
    </row>
    <row r="57" spans="1:8" x14ac:dyDescent="0.25">
      <c r="A57" t="s">
        <v>8</v>
      </c>
      <c r="B57" s="1">
        <v>45568</v>
      </c>
      <c r="C57">
        <v>71.930000000000007</v>
      </c>
      <c r="D57">
        <v>72.23</v>
      </c>
      <c r="E57">
        <v>71.62</v>
      </c>
      <c r="F57">
        <v>71.83</v>
      </c>
      <c r="G57" s="2">
        <v>137499915.74000001</v>
      </c>
      <c r="H57" s="3">
        <v>4249</v>
      </c>
    </row>
    <row r="58" spans="1:8" x14ac:dyDescent="0.25">
      <c r="A58" t="s">
        <v>8</v>
      </c>
      <c r="B58" s="1">
        <v>45569</v>
      </c>
      <c r="C58">
        <v>71.92</v>
      </c>
      <c r="D58">
        <v>71.92</v>
      </c>
      <c r="E58">
        <v>70.260000000000005</v>
      </c>
      <c r="F58">
        <v>70.28</v>
      </c>
      <c r="G58" s="2">
        <v>257477997.02000001</v>
      </c>
      <c r="H58" s="3">
        <v>8062</v>
      </c>
    </row>
    <row r="59" spans="1:8" x14ac:dyDescent="0.25">
      <c r="A59" t="s">
        <v>8</v>
      </c>
      <c r="B59" s="1">
        <v>45572</v>
      </c>
      <c r="C59">
        <v>70.28</v>
      </c>
      <c r="D59">
        <v>70.78</v>
      </c>
      <c r="E59">
        <v>69.09</v>
      </c>
      <c r="F59">
        <v>69.23</v>
      </c>
      <c r="G59" s="2">
        <v>182910116.72</v>
      </c>
      <c r="H59" s="3">
        <v>5838</v>
      </c>
    </row>
    <row r="60" spans="1:8" x14ac:dyDescent="0.25">
      <c r="A60" t="s">
        <v>8</v>
      </c>
      <c r="B60" s="1">
        <v>45573</v>
      </c>
      <c r="C60">
        <v>69.23</v>
      </c>
      <c r="D60">
        <v>70.63</v>
      </c>
      <c r="E60">
        <v>68.92</v>
      </c>
      <c r="F60">
        <v>70.02</v>
      </c>
      <c r="G60" s="2">
        <v>175631504.34999999</v>
      </c>
      <c r="H60" s="3">
        <v>5586</v>
      </c>
    </row>
    <row r="61" spans="1:8" x14ac:dyDescent="0.25">
      <c r="A61" t="s">
        <v>8</v>
      </c>
      <c r="B61" s="1">
        <v>45574</v>
      </c>
      <c r="C61">
        <v>70.12</v>
      </c>
      <c r="D61">
        <v>70.88</v>
      </c>
      <c r="E61">
        <v>69.489999999999995</v>
      </c>
      <c r="F61">
        <v>70.52</v>
      </c>
      <c r="G61" s="2">
        <v>187738855.56</v>
      </c>
      <c r="H61" s="3">
        <v>5929</v>
      </c>
    </row>
    <row r="62" spans="1:8" x14ac:dyDescent="0.25">
      <c r="A62" t="s">
        <v>8</v>
      </c>
      <c r="B62" s="1">
        <v>45575</v>
      </c>
      <c r="C62">
        <v>70.569999999999993</v>
      </c>
      <c r="D62">
        <v>71.3</v>
      </c>
      <c r="E62">
        <v>70.48</v>
      </c>
      <c r="F62">
        <v>71.11</v>
      </c>
      <c r="G62" s="2">
        <v>161029487.40000001</v>
      </c>
      <c r="H62" s="3">
        <v>5044</v>
      </c>
    </row>
    <row r="63" spans="1:8" x14ac:dyDescent="0.25">
      <c r="A63" t="s">
        <v>8</v>
      </c>
      <c r="B63" s="1">
        <v>45576</v>
      </c>
      <c r="C63">
        <v>71.180000000000007</v>
      </c>
      <c r="D63">
        <v>71.59</v>
      </c>
      <c r="E63">
        <v>70.7</v>
      </c>
      <c r="F63">
        <v>70.78</v>
      </c>
      <c r="G63" s="2">
        <v>131335598.75</v>
      </c>
      <c r="H63" s="3">
        <v>4108</v>
      </c>
    </row>
    <row r="64" spans="1:8" x14ac:dyDescent="0.25">
      <c r="A64" t="s">
        <v>8</v>
      </c>
      <c r="B64" s="1">
        <v>45579</v>
      </c>
      <c r="C64">
        <v>70.77</v>
      </c>
      <c r="D64">
        <v>70.78</v>
      </c>
      <c r="E64">
        <v>69.41</v>
      </c>
      <c r="F64">
        <v>69.62</v>
      </c>
      <c r="G64" s="2">
        <v>191852053.47</v>
      </c>
      <c r="H64" s="3">
        <v>6089</v>
      </c>
    </row>
    <row r="65" spans="1:8" x14ac:dyDescent="0.25">
      <c r="A65" t="s">
        <v>8</v>
      </c>
      <c r="B65" s="1">
        <v>45580</v>
      </c>
      <c r="C65">
        <v>69.59</v>
      </c>
      <c r="D65">
        <v>70.989999999999995</v>
      </c>
      <c r="E65">
        <v>69.290000000000006</v>
      </c>
      <c r="F65">
        <v>70.88</v>
      </c>
      <c r="G65" s="2">
        <v>194602643.53</v>
      </c>
      <c r="H65" s="3">
        <v>6152</v>
      </c>
    </row>
    <row r="66" spans="1:8" x14ac:dyDescent="0.25">
      <c r="A66" t="s">
        <v>8</v>
      </c>
      <c r="B66" s="1">
        <v>45581</v>
      </c>
      <c r="C66">
        <v>70.92</v>
      </c>
      <c r="D66">
        <v>71.39</v>
      </c>
      <c r="E66">
        <v>70.64</v>
      </c>
      <c r="F66">
        <v>70.73</v>
      </c>
      <c r="G66" s="2">
        <v>115695135.14</v>
      </c>
      <c r="H66" s="3">
        <v>3621</v>
      </c>
    </row>
    <row r="67" spans="1:8" x14ac:dyDescent="0.25">
      <c r="A67" t="s">
        <v>8</v>
      </c>
      <c r="B67" s="1">
        <v>45582</v>
      </c>
      <c r="C67">
        <v>70.790000000000006</v>
      </c>
      <c r="D67">
        <v>71.5</v>
      </c>
      <c r="E67">
        <v>70.599999999999994</v>
      </c>
      <c r="F67">
        <v>71.319999999999993</v>
      </c>
      <c r="G67" s="2">
        <v>126370674.45</v>
      </c>
      <c r="H67" s="3">
        <v>3947</v>
      </c>
    </row>
    <row r="68" spans="1:8" x14ac:dyDescent="0.25">
      <c r="A68" t="s">
        <v>8</v>
      </c>
      <c r="B68" s="1">
        <v>45583</v>
      </c>
      <c r="C68">
        <v>71.319999999999993</v>
      </c>
      <c r="D68">
        <v>71.849999999999994</v>
      </c>
      <c r="E68">
        <v>71.19</v>
      </c>
      <c r="F68">
        <v>71.56</v>
      </c>
      <c r="G68" s="2">
        <v>111665690.72</v>
      </c>
      <c r="H68" s="3">
        <v>3469</v>
      </c>
    </row>
    <row r="69" spans="1:8" x14ac:dyDescent="0.25">
      <c r="A69" t="s">
        <v>8</v>
      </c>
      <c r="B69" s="1">
        <v>45586</v>
      </c>
      <c r="C69">
        <v>71.56</v>
      </c>
      <c r="D69">
        <v>72.52</v>
      </c>
      <c r="E69">
        <v>71.36</v>
      </c>
      <c r="F69">
        <v>72.38</v>
      </c>
      <c r="G69" s="2">
        <v>193427862.62</v>
      </c>
      <c r="H69" s="3">
        <v>5960</v>
      </c>
    </row>
    <row r="70" spans="1:8" x14ac:dyDescent="0.25">
      <c r="A70" t="s">
        <v>8</v>
      </c>
      <c r="B70" s="1">
        <v>45587</v>
      </c>
      <c r="C70">
        <v>72.489999999999995</v>
      </c>
      <c r="D70">
        <v>73.56</v>
      </c>
      <c r="E70">
        <v>72.23</v>
      </c>
      <c r="F70">
        <v>73.3</v>
      </c>
      <c r="G70" s="2">
        <v>317055558.85000002</v>
      </c>
      <c r="H70" s="3">
        <v>9636</v>
      </c>
    </row>
    <row r="71" spans="1:8" x14ac:dyDescent="0.25">
      <c r="A71" t="s">
        <v>8</v>
      </c>
      <c r="B71" s="1">
        <v>45588</v>
      </c>
      <c r="C71">
        <v>73.31</v>
      </c>
      <c r="D71">
        <v>74.150000000000006</v>
      </c>
      <c r="E71">
        <v>73</v>
      </c>
      <c r="F71">
        <v>73.98</v>
      </c>
      <c r="G71" s="2">
        <v>271455140.89999998</v>
      </c>
      <c r="H71" s="3">
        <v>8199</v>
      </c>
    </row>
    <row r="72" spans="1:8" x14ac:dyDescent="0.25">
      <c r="A72" t="s">
        <v>8</v>
      </c>
      <c r="B72" s="1">
        <v>45589</v>
      </c>
      <c r="C72">
        <v>73.98</v>
      </c>
      <c r="D72">
        <v>74.88</v>
      </c>
      <c r="E72">
        <v>73.89</v>
      </c>
      <c r="F72">
        <v>74.59</v>
      </c>
      <c r="G72" s="2">
        <v>248112698.69999999</v>
      </c>
      <c r="H72" s="3">
        <v>7394</v>
      </c>
    </row>
    <row r="73" spans="1:8" x14ac:dyDescent="0.25">
      <c r="A73" t="s">
        <v>8</v>
      </c>
      <c r="B73" s="1">
        <v>45590</v>
      </c>
      <c r="C73">
        <v>74.59</v>
      </c>
      <c r="D73">
        <v>75.17</v>
      </c>
      <c r="E73">
        <v>74.430000000000007</v>
      </c>
      <c r="F73">
        <v>74.97</v>
      </c>
      <c r="G73" s="2">
        <v>166487800.34</v>
      </c>
      <c r="H73" s="3">
        <v>4941</v>
      </c>
    </row>
    <row r="74" spans="1:8" x14ac:dyDescent="0.25">
      <c r="A74" t="s">
        <v>8</v>
      </c>
      <c r="B74" s="1">
        <v>45593</v>
      </c>
      <c r="C74">
        <v>74.97</v>
      </c>
      <c r="D74">
        <v>75.08</v>
      </c>
      <c r="E74">
        <v>74.16</v>
      </c>
      <c r="F74">
        <v>74.709999999999994</v>
      </c>
      <c r="G74" s="2">
        <v>249718671.56999999</v>
      </c>
      <c r="H74" s="3">
        <v>7429</v>
      </c>
    </row>
    <row r="75" spans="1:8" x14ac:dyDescent="0.25">
      <c r="A75" t="s">
        <v>8</v>
      </c>
      <c r="B75" s="1">
        <v>45594</v>
      </c>
      <c r="C75">
        <v>74.709999999999994</v>
      </c>
      <c r="D75">
        <v>75.83</v>
      </c>
      <c r="E75">
        <v>74.53</v>
      </c>
      <c r="F75">
        <v>75.69</v>
      </c>
      <c r="G75" s="2">
        <v>390310222.24000001</v>
      </c>
      <c r="H75" s="3">
        <v>11547</v>
      </c>
    </row>
    <row r="76" spans="1:8" x14ac:dyDescent="0.25">
      <c r="A76" t="s">
        <v>8</v>
      </c>
      <c r="B76" s="1">
        <v>45595</v>
      </c>
      <c r="C76">
        <v>75.66</v>
      </c>
      <c r="D76">
        <v>76.5</v>
      </c>
      <c r="E76">
        <v>75.349999999999994</v>
      </c>
      <c r="F76">
        <v>75.59</v>
      </c>
      <c r="G76" s="2">
        <v>262927517.06</v>
      </c>
      <c r="H76" s="3">
        <v>7691</v>
      </c>
    </row>
    <row r="77" spans="1:8" x14ac:dyDescent="0.25">
      <c r="A77" t="s">
        <v>8</v>
      </c>
      <c r="B77" s="1">
        <v>45596</v>
      </c>
      <c r="C77">
        <v>75.599999999999994</v>
      </c>
      <c r="D77">
        <v>75.87</v>
      </c>
      <c r="E77">
        <v>74.95</v>
      </c>
      <c r="F77">
        <v>75.34</v>
      </c>
      <c r="G77" s="2">
        <v>227733424.77000001</v>
      </c>
      <c r="H77" s="3">
        <v>6720</v>
      </c>
    </row>
    <row r="78" spans="1:8" x14ac:dyDescent="0.25">
      <c r="A78" t="s">
        <v>8</v>
      </c>
      <c r="B78" s="1">
        <v>45597</v>
      </c>
      <c r="C78">
        <v>75.39</v>
      </c>
      <c r="D78">
        <v>75.790000000000006</v>
      </c>
      <c r="E78">
        <v>75.12</v>
      </c>
      <c r="F78">
        <v>75.48</v>
      </c>
      <c r="G78" s="2">
        <v>275681256.31</v>
      </c>
      <c r="H78" s="3">
        <v>8133</v>
      </c>
    </row>
    <row r="79" spans="1:8" x14ac:dyDescent="0.25">
      <c r="A79" t="s">
        <v>8</v>
      </c>
      <c r="B79" s="1">
        <v>45600</v>
      </c>
      <c r="C79">
        <v>75.59</v>
      </c>
      <c r="D79">
        <v>75.87</v>
      </c>
      <c r="E79">
        <v>75.22</v>
      </c>
      <c r="F79">
        <v>75.319999999999993</v>
      </c>
      <c r="G79" s="2">
        <v>237855889.68000001</v>
      </c>
      <c r="H79" s="3">
        <v>7004</v>
      </c>
    </row>
    <row r="80" spans="1:8" x14ac:dyDescent="0.25">
      <c r="A80" t="s">
        <v>8</v>
      </c>
      <c r="B80" s="1">
        <v>45601</v>
      </c>
      <c r="C80">
        <v>75.290000000000006</v>
      </c>
      <c r="D80">
        <v>75.3</v>
      </c>
      <c r="E80">
        <v>74.41</v>
      </c>
      <c r="F80">
        <v>74.55</v>
      </c>
      <c r="G80" s="2">
        <v>293896768</v>
      </c>
      <c r="H80" s="3">
        <v>8737</v>
      </c>
    </row>
    <row r="81" spans="1:8" x14ac:dyDescent="0.25">
      <c r="A81" t="s">
        <v>8</v>
      </c>
      <c r="B81" s="1">
        <v>45602</v>
      </c>
      <c r="C81">
        <v>74.55</v>
      </c>
      <c r="D81">
        <v>75.13</v>
      </c>
      <c r="E81">
        <v>74.459999999999994</v>
      </c>
      <c r="F81">
        <v>74.900000000000006</v>
      </c>
      <c r="G81" s="2">
        <v>306165116.38999999</v>
      </c>
      <c r="H81" s="3">
        <v>9096</v>
      </c>
    </row>
    <row r="82" spans="1:8" x14ac:dyDescent="0.25">
      <c r="A82" t="s">
        <v>8</v>
      </c>
      <c r="B82" s="1">
        <v>45603</v>
      </c>
      <c r="C82">
        <v>74.900000000000006</v>
      </c>
      <c r="D82">
        <v>76.099999999999994</v>
      </c>
      <c r="E82">
        <v>74.819999999999993</v>
      </c>
      <c r="F82">
        <v>75.97</v>
      </c>
      <c r="G82" s="2">
        <v>355265474.55000001</v>
      </c>
      <c r="H82" s="3">
        <v>10415</v>
      </c>
    </row>
    <row r="83" spans="1:8" x14ac:dyDescent="0.25">
      <c r="A83" t="s">
        <v>8</v>
      </c>
      <c r="B83" s="1">
        <v>45604</v>
      </c>
      <c r="C83">
        <v>76.099999999999994</v>
      </c>
      <c r="D83">
        <v>76.41</v>
      </c>
      <c r="E83">
        <v>75.98</v>
      </c>
      <c r="F83">
        <v>76.33</v>
      </c>
      <c r="G83" s="2">
        <v>241658062.28999999</v>
      </c>
      <c r="H83" s="3">
        <v>7047</v>
      </c>
    </row>
    <row r="84" spans="1:8" x14ac:dyDescent="0.25">
      <c r="A84" t="s">
        <v>8</v>
      </c>
      <c r="B84" s="1">
        <v>45607</v>
      </c>
      <c r="C84">
        <v>76.31</v>
      </c>
      <c r="D84">
        <v>76.97</v>
      </c>
      <c r="E84">
        <v>76.23</v>
      </c>
      <c r="F84">
        <v>76.89</v>
      </c>
      <c r="G84" s="2">
        <v>207381217.75</v>
      </c>
      <c r="H84" s="3">
        <v>6004</v>
      </c>
    </row>
    <row r="85" spans="1:8" x14ac:dyDescent="0.25">
      <c r="A85" t="s">
        <v>8</v>
      </c>
      <c r="B85" s="1">
        <v>45608</v>
      </c>
      <c r="C85">
        <v>76.959999999999994</v>
      </c>
      <c r="D85">
        <v>77.03</v>
      </c>
      <c r="E85">
        <v>76.5</v>
      </c>
      <c r="F85">
        <v>76.72</v>
      </c>
      <c r="G85" s="2">
        <v>169758934.28999999</v>
      </c>
      <c r="H85" s="3">
        <v>4918</v>
      </c>
    </row>
    <row r="86" spans="1:8" x14ac:dyDescent="0.25">
      <c r="A86" t="s">
        <v>8</v>
      </c>
      <c r="B86" s="1">
        <v>45609</v>
      </c>
      <c r="C86">
        <v>76.69</v>
      </c>
      <c r="D86">
        <v>76.78</v>
      </c>
      <c r="E86">
        <v>76.39</v>
      </c>
      <c r="F86">
        <v>76.569999999999993</v>
      </c>
      <c r="G86" s="2">
        <v>164315012.69999999</v>
      </c>
      <c r="H86" s="3">
        <v>4769</v>
      </c>
    </row>
    <row r="87" spans="1:8" x14ac:dyDescent="0.25">
      <c r="A87" t="s">
        <v>8</v>
      </c>
      <c r="B87" s="1">
        <v>45610</v>
      </c>
      <c r="C87">
        <v>76.44</v>
      </c>
      <c r="D87">
        <v>77.209999999999994</v>
      </c>
      <c r="E87">
        <v>75.41</v>
      </c>
      <c r="F87">
        <v>75.53</v>
      </c>
      <c r="G87" s="2">
        <v>206595564.69999999</v>
      </c>
      <c r="H87" s="3">
        <v>6030</v>
      </c>
    </row>
    <row r="88" spans="1:8" x14ac:dyDescent="0.25">
      <c r="A88" t="s">
        <v>8</v>
      </c>
      <c r="B88" s="1">
        <v>45614</v>
      </c>
      <c r="C88">
        <v>75.540000000000006</v>
      </c>
      <c r="D88">
        <v>76.010000000000005</v>
      </c>
      <c r="E88">
        <v>74.63</v>
      </c>
      <c r="F88">
        <v>74.72</v>
      </c>
      <c r="G88" s="2">
        <v>192326213.55000001</v>
      </c>
      <c r="H88" s="3">
        <v>5687</v>
      </c>
    </row>
    <row r="89" spans="1:8" x14ac:dyDescent="0.25">
      <c r="A89" t="s">
        <v>8</v>
      </c>
      <c r="B89" s="1">
        <v>45615</v>
      </c>
      <c r="C89">
        <v>74.72</v>
      </c>
      <c r="D89">
        <v>74.989999999999995</v>
      </c>
      <c r="E89">
        <v>73.760000000000005</v>
      </c>
      <c r="F89">
        <v>73.959999999999994</v>
      </c>
      <c r="G89" s="2">
        <v>276603944.55000001</v>
      </c>
      <c r="H89" s="3">
        <v>8309</v>
      </c>
    </row>
    <row r="90" spans="1:8" x14ac:dyDescent="0.25">
      <c r="A90" t="s">
        <v>8</v>
      </c>
      <c r="B90" s="1">
        <v>45617</v>
      </c>
      <c r="C90">
        <v>73.959999999999994</v>
      </c>
      <c r="D90">
        <v>74.290000000000006</v>
      </c>
      <c r="E90">
        <v>73.13</v>
      </c>
      <c r="F90">
        <v>73.349999999999994</v>
      </c>
      <c r="G90" s="2">
        <v>259619354.44</v>
      </c>
      <c r="H90" s="3">
        <v>7843</v>
      </c>
    </row>
    <row r="91" spans="1:8" x14ac:dyDescent="0.25">
      <c r="A91" t="s">
        <v>8</v>
      </c>
      <c r="B91" s="1">
        <v>45618</v>
      </c>
      <c r="C91">
        <v>73.489999999999995</v>
      </c>
      <c r="D91">
        <v>73.63</v>
      </c>
      <c r="E91">
        <v>72.67</v>
      </c>
      <c r="F91">
        <v>73.09</v>
      </c>
      <c r="G91" s="2">
        <v>243029664.63999999</v>
      </c>
      <c r="H91" s="3">
        <v>7391</v>
      </c>
    </row>
    <row r="92" spans="1:8" x14ac:dyDescent="0.25">
      <c r="A92" t="s">
        <v>8</v>
      </c>
      <c r="B92" s="1">
        <v>45621</v>
      </c>
      <c r="C92">
        <v>73.08</v>
      </c>
      <c r="D92">
        <v>73.92</v>
      </c>
      <c r="E92">
        <v>71.89</v>
      </c>
      <c r="F92">
        <v>72.27</v>
      </c>
      <c r="G92" s="2">
        <v>303197479.25</v>
      </c>
      <c r="H92" s="3">
        <v>9280</v>
      </c>
    </row>
    <row r="93" spans="1:8" x14ac:dyDescent="0.25">
      <c r="A93" t="s">
        <v>8</v>
      </c>
      <c r="B93" s="1">
        <v>45622</v>
      </c>
      <c r="C93">
        <v>72.239999999999995</v>
      </c>
      <c r="D93">
        <v>73.02</v>
      </c>
      <c r="E93">
        <v>71.010000000000005</v>
      </c>
      <c r="F93">
        <v>71.459999999999994</v>
      </c>
      <c r="G93" s="2">
        <v>368201339.37</v>
      </c>
      <c r="H93" s="3">
        <v>11416</v>
      </c>
    </row>
    <row r="94" spans="1:8" x14ac:dyDescent="0.25">
      <c r="A94" t="s">
        <v>8</v>
      </c>
      <c r="B94" s="1">
        <v>45623</v>
      </c>
      <c r="C94">
        <v>71.38</v>
      </c>
      <c r="D94">
        <v>72.45</v>
      </c>
      <c r="E94">
        <v>71.09</v>
      </c>
      <c r="F94">
        <v>71.73</v>
      </c>
      <c r="G94" s="2">
        <v>495063438.66000003</v>
      </c>
      <c r="H94" s="3">
        <v>15352</v>
      </c>
    </row>
    <row r="95" spans="1:8" x14ac:dyDescent="0.25">
      <c r="A95" t="s">
        <v>8</v>
      </c>
      <c r="B95" s="1">
        <v>45624</v>
      </c>
      <c r="C95">
        <v>71.73</v>
      </c>
      <c r="D95">
        <v>71.94</v>
      </c>
      <c r="E95">
        <v>70.39</v>
      </c>
      <c r="F95">
        <v>71.52</v>
      </c>
      <c r="G95" s="2">
        <v>346209876.25</v>
      </c>
      <c r="H95" s="3">
        <v>10809</v>
      </c>
    </row>
    <row r="96" spans="1:8" x14ac:dyDescent="0.25">
      <c r="A96" t="s">
        <v>8</v>
      </c>
      <c r="B96" s="1">
        <v>45625</v>
      </c>
      <c r="C96">
        <v>71.680000000000007</v>
      </c>
      <c r="D96">
        <v>72.760000000000005</v>
      </c>
      <c r="E96">
        <v>71.209999999999994</v>
      </c>
      <c r="F96">
        <v>72.62</v>
      </c>
      <c r="G96" s="2">
        <v>289316360.76999998</v>
      </c>
      <c r="H96" s="3">
        <v>8916</v>
      </c>
    </row>
    <row r="97" spans="1:8" x14ac:dyDescent="0.25">
      <c r="A97" t="s">
        <v>8</v>
      </c>
      <c r="B97" s="1">
        <v>45628</v>
      </c>
      <c r="C97">
        <v>72.73</v>
      </c>
      <c r="D97">
        <v>73.569999999999993</v>
      </c>
      <c r="E97">
        <v>72.510000000000005</v>
      </c>
      <c r="F97">
        <v>73.52</v>
      </c>
      <c r="G97" s="2">
        <v>186376626.56999999</v>
      </c>
      <c r="H97" s="3">
        <v>5658</v>
      </c>
    </row>
    <row r="98" spans="1:8" x14ac:dyDescent="0.25">
      <c r="A98" t="s">
        <v>8</v>
      </c>
      <c r="B98" s="1">
        <v>45629</v>
      </c>
      <c r="C98">
        <v>73.61</v>
      </c>
      <c r="D98">
        <v>73.61</v>
      </c>
      <c r="E98">
        <v>72.98</v>
      </c>
      <c r="F98">
        <v>73.27</v>
      </c>
      <c r="G98" s="2">
        <v>167600739.91</v>
      </c>
      <c r="H98" s="3">
        <v>5080</v>
      </c>
    </row>
    <row r="99" spans="1:8" x14ac:dyDescent="0.25">
      <c r="A99" t="s">
        <v>8</v>
      </c>
      <c r="B99" s="1">
        <v>45630</v>
      </c>
      <c r="C99">
        <v>73.290000000000006</v>
      </c>
      <c r="D99">
        <v>73.349999999999994</v>
      </c>
      <c r="E99">
        <v>72.02</v>
      </c>
      <c r="F99">
        <v>72.11</v>
      </c>
      <c r="G99" s="2">
        <v>209739498.24000001</v>
      </c>
      <c r="H99" s="3">
        <v>6438</v>
      </c>
    </row>
    <row r="100" spans="1:8" x14ac:dyDescent="0.25">
      <c r="A100" t="s">
        <v>8</v>
      </c>
      <c r="B100" s="1">
        <v>45631</v>
      </c>
      <c r="C100">
        <v>72.180000000000007</v>
      </c>
      <c r="D100">
        <v>73.38</v>
      </c>
      <c r="E100">
        <v>71.42</v>
      </c>
      <c r="F100">
        <v>73.319999999999993</v>
      </c>
      <c r="G100" s="2">
        <v>317013681.73000002</v>
      </c>
      <c r="H100" s="3">
        <v>9715</v>
      </c>
    </row>
    <row r="101" spans="1:8" x14ac:dyDescent="0.25">
      <c r="A101" t="s">
        <v>8</v>
      </c>
      <c r="B101" s="1">
        <v>45632</v>
      </c>
      <c r="C101">
        <v>73.45</v>
      </c>
      <c r="D101">
        <v>75.099999999999994</v>
      </c>
      <c r="E101">
        <v>73.08</v>
      </c>
      <c r="F101">
        <v>74.95</v>
      </c>
      <c r="G101" s="2">
        <v>467716547.31999999</v>
      </c>
      <c r="H101" s="3">
        <v>13988</v>
      </c>
    </row>
    <row r="102" spans="1:8" x14ac:dyDescent="0.25">
      <c r="A102" t="s">
        <v>8</v>
      </c>
      <c r="B102" s="1">
        <v>45635</v>
      </c>
      <c r="C102">
        <v>75</v>
      </c>
      <c r="D102">
        <v>75.959999999999994</v>
      </c>
      <c r="E102">
        <v>74.42</v>
      </c>
      <c r="F102">
        <v>75.86</v>
      </c>
      <c r="G102" s="2">
        <v>303739003.79000002</v>
      </c>
      <c r="H102" s="3">
        <v>8944</v>
      </c>
    </row>
    <row r="103" spans="1:8" x14ac:dyDescent="0.25">
      <c r="A103" t="s">
        <v>8</v>
      </c>
      <c r="B103" s="1">
        <v>45636</v>
      </c>
      <c r="C103">
        <v>75.81</v>
      </c>
      <c r="D103">
        <v>77.040000000000006</v>
      </c>
      <c r="E103">
        <v>75.56</v>
      </c>
      <c r="F103">
        <v>76.86</v>
      </c>
      <c r="G103" s="2">
        <v>358002162.74000001</v>
      </c>
      <c r="H103" s="3">
        <v>10420</v>
      </c>
    </row>
    <row r="104" spans="1:8" x14ac:dyDescent="0.25">
      <c r="A104" t="s">
        <v>8</v>
      </c>
      <c r="B104" s="1">
        <v>45637</v>
      </c>
      <c r="C104">
        <v>76.86</v>
      </c>
      <c r="D104">
        <v>78.069999999999993</v>
      </c>
      <c r="E104">
        <v>75.72</v>
      </c>
      <c r="F104">
        <v>77.48</v>
      </c>
      <c r="G104" s="2">
        <v>360772877.19</v>
      </c>
      <c r="H104" s="3">
        <v>10404</v>
      </c>
    </row>
    <row r="105" spans="1:8" x14ac:dyDescent="0.25">
      <c r="A105" t="s">
        <v>8</v>
      </c>
      <c r="B105" s="1">
        <v>45638</v>
      </c>
      <c r="C105">
        <v>77.510000000000005</v>
      </c>
      <c r="D105">
        <v>77.510000000000005</v>
      </c>
      <c r="E105">
        <v>75.55</v>
      </c>
      <c r="F105">
        <v>76.209999999999994</v>
      </c>
      <c r="G105" s="2">
        <v>409910016.69</v>
      </c>
      <c r="H105" s="3">
        <v>11892</v>
      </c>
    </row>
    <row r="106" spans="1:8" x14ac:dyDescent="0.25">
      <c r="A106" t="s">
        <v>8</v>
      </c>
      <c r="B106" s="1">
        <v>45639</v>
      </c>
      <c r="C106">
        <v>76.069999999999993</v>
      </c>
      <c r="D106">
        <v>76.42</v>
      </c>
      <c r="E106">
        <v>75.3</v>
      </c>
      <c r="F106">
        <v>75.489999999999995</v>
      </c>
      <c r="G106" s="2">
        <v>332668875.81</v>
      </c>
      <c r="H106" s="3">
        <v>9775</v>
      </c>
    </row>
    <row r="107" spans="1:8" x14ac:dyDescent="0.25">
      <c r="A107" t="s">
        <v>8</v>
      </c>
      <c r="B107" s="1">
        <v>45642</v>
      </c>
      <c r="C107">
        <v>75.430000000000007</v>
      </c>
      <c r="D107">
        <v>75.5</v>
      </c>
      <c r="E107">
        <v>74.34</v>
      </c>
      <c r="F107">
        <v>75</v>
      </c>
      <c r="G107" s="2">
        <v>326972494.97000003</v>
      </c>
      <c r="H107" s="3">
        <v>9691</v>
      </c>
    </row>
    <row r="108" spans="1:8" x14ac:dyDescent="0.25">
      <c r="A108" t="s">
        <v>8</v>
      </c>
      <c r="B108" s="1">
        <v>45643</v>
      </c>
      <c r="C108">
        <v>74.81</v>
      </c>
      <c r="D108">
        <v>76.260000000000005</v>
      </c>
      <c r="E108">
        <v>74.760000000000005</v>
      </c>
      <c r="F108">
        <v>75.61</v>
      </c>
      <c r="G108" s="2">
        <v>285334343.22000003</v>
      </c>
      <c r="H108" s="3">
        <v>8387</v>
      </c>
    </row>
    <row r="109" spans="1:8" x14ac:dyDescent="0.25">
      <c r="A109" t="s">
        <v>8</v>
      </c>
      <c r="B109" s="1">
        <v>45644</v>
      </c>
      <c r="C109">
        <v>75.64</v>
      </c>
      <c r="D109">
        <v>75.8</v>
      </c>
      <c r="E109">
        <v>74.69</v>
      </c>
      <c r="F109">
        <v>75.790000000000006</v>
      </c>
      <c r="G109" s="2">
        <v>152670175.06999999</v>
      </c>
      <c r="H109" s="3">
        <v>4507</v>
      </c>
    </row>
    <row r="110" spans="1:8" x14ac:dyDescent="0.25">
      <c r="A110" t="s">
        <v>8</v>
      </c>
      <c r="B110" s="1">
        <v>45645</v>
      </c>
      <c r="C110">
        <v>76</v>
      </c>
      <c r="D110">
        <v>76.19</v>
      </c>
      <c r="E110">
        <v>74.790000000000006</v>
      </c>
      <c r="F110">
        <v>74.95</v>
      </c>
      <c r="G110" s="2">
        <v>162963186.65000001</v>
      </c>
      <c r="H110" s="3">
        <v>4803</v>
      </c>
    </row>
    <row r="111" spans="1:8" x14ac:dyDescent="0.25">
      <c r="A111" t="s">
        <v>8</v>
      </c>
      <c r="B111" s="1">
        <v>45646</v>
      </c>
      <c r="C111">
        <v>75</v>
      </c>
      <c r="D111">
        <v>75</v>
      </c>
      <c r="E111">
        <v>74.099999999999994</v>
      </c>
      <c r="F111">
        <v>74.34</v>
      </c>
      <c r="G111" s="2">
        <v>142704069.38</v>
      </c>
      <c r="H111" s="3">
        <v>4259</v>
      </c>
    </row>
    <row r="112" spans="1:8" x14ac:dyDescent="0.25">
      <c r="A112" t="s">
        <v>8</v>
      </c>
      <c r="B112" s="1">
        <v>45649</v>
      </c>
      <c r="C112">
        <v>74.209999999999994</v>
      </c>
      <c r="D112">
        <v>74.790000000000006</v>
      </c>
      <c r="E112">
        <v>74.19</v>
      </c>
      <c r="F112">
        <v>74.44</v>
      </c>
      <c r="G112" s="2">
        <v>107180759</v>
      </c>
      <c r="H112" s="3">
        <v>3195</v>
      </c>
    </row>
    <row r="113" spans="1:8" x14ac:dyDescent="0.25">
      <c r="A113" t="s">
        <v>8</v>
      </c>
      <c r="B113" s="1">
        <v>45652</v>
      </c>
      <c r="C113">
        <v>74.489999999999995</v>
      </c>
      <c r="D113">
        <v>74.7</v>
      </c>
      <c r="E113">
        <v>73.88</v>
      </c>
      <c r="F113">
        <v>74.19</v>
      </c>
      <c r="G113" s="2">
        <v>102810741.36</v>
      </c>
      <c r="H113" s="3">
        <v>3077</v>
      </c>
    </row>
    <row r="114" spans="1:8" x14ac:dyDescent="0.25">
      <c r="A114" t="s">
        <v>8</v>
      </c>
      <c r="B114" s="1">
        <v>45653</v>
      </c>
      <c r="C114">
        <v>74.16</v>
      </c>
      <c r="D114">
        <v>74.41</v>
      </c>
      <c r="E114">
        <v>73.88</v>
      </c>
      <c r="F114">
        <v>74.2</v>
      </c>
      <c r="G114" s="2">
        <v>105642577.37</v>
      </c>
      <c r="H114" s="3">
        <v>3168</v>
      </c>
    </row>
    <row r="115" spans="1:8" x14ac:dyDescent="0.25">
      <c r="A115" t="s">
        <v>8</v>
      </c>
      <c r="B115" s="1">
        <v>45656</v>
      </c>
      <c r="C115">
        <v>74.319999999999993</v>
      </c>
      <c r="D115">
        <v>75</v>
      </c>
      <c r="E115">
        <v>74.2</v>
      </c>
      <c r="F115">
        <v>74.69</v>
      </c>
      <c r="G115" s="2">
        <v>139378002.55000001</v>
      </c>
      <c r="H115" s="3">
        <v>4148</v>
      </c>
    </row>
    <row r="116" spans="1:8" x14ac:dyDescent="0.25">
      <c r="A116" t="s">
        <v>8</v>
      </c>
      <c r="B116" s="1">
        <v>45659</v>
      </c>
      <c r="C116">
        <v>74.94</v>
      </c>
      <c r="D116">
        <v>75.41</v>
      </c>
      <c r="E116">
        <v>74.14</v>
      </c>
      <c r="F116">
        <v>74.25</v>
      </c>
      <c r="G116" s="2">
        <v>156330102.75</v>
      </c>
      <c r="H116" s="3">
        <v>4653</v>
      </c>
    </row>
    <row r="117" spans="1:8" x14ac:dyDescent="0.25">
      <c r="A117" t="s">
        <v>8</v>
      </c>
      <c r="B117" s="1">
        <v>45660</v>
      </c>
      <c r="C117">
        <v>74.14</v>
      </c>
      <c r="D117">
        <v>74.56</v>
      </c>
      <c r="E117">
        <v>73.61</v>
      </c>
      <c r="F117">
        <v>73.73</v>
      </c>
      <c r="G117" s="2">
        <v>160183884.53</v>
      </c>
      <c r="H117" s="3">
        <v>4807</v>
      </c>
    </row>
    <row r="118" spans="1:8" x14ac:dyDescent="0.25">
      <c r="A118" t="s">
        <v>8</v>
      </c>
      <c r="B118" s="1">
        <v>45663</v>
      </c>
      <c r="C118">
        <v>73.72</v>
      </c>
      <c r="D118">
        <v>74.97</v>
      </c>
      <c r="E118">
        <v>73.66</v>
      </c>
      <c r="F118">
        <v>74.95</v>
      </c>
      <c r="G118" s="2">
        <v>302294109.82999998</v>
      </c>
      <c r="H118" s="3">
        <v>9032</v>
      </c>
    </row>
    <row r="119" spans="1:8" x14ac:dyDescent="0.25">
      <c r="A119" t="s">
        <v>8</v>
      </c>
      <c r="B119" s="1">
        <v>45664</v>
      </c>
      <c r="C119">
        <v>75</v>
      </c>
      <c r="D119">
        <v>75.19</v>
      </c>
      <c r="E119">
        <v>74.3</v>
      </c>
      <c r="F119">
        <v>74.59</v>
      </c>
      <c r="G119" s="2">
        <v>171946868.97</v>
      </c>
      <c r="H119" s="3">
        <v>5120</v>
      </c>
    </row>
    <row r="120" spans="1:8" x14ac:dyDescent="0.25">
      <c r="A120" t="s">
        <v>8</v>
      </c>
      <c r="B120" s="1">
        <v>45665</v>
      </c>
      <c r="C120">
        <v>74.62</v>
      </c>
      <c r="D120">
        <v>75.28</v>
      </c>
      <c r="E120">
        <v>74.62</v>
      </c>
      <c r="F120">
        <v>75.010000000000005</v>
      </c>
      <c r="G120" s="2">
        <v>157071752.25999999</v>
      </c>
      <c r="H120" s="3">
        <v>4651</v>
      </c>
    </row>
    <row r="121" spans="1:8" x14ac:dyDescent="0.25">
      <c r="A121" t="s">
        <v>8</v>
      </c>
      <c r="B121" s="1">
        <v>45666</v>
      </c>
      <c r="C121">
        <v>74.959999999999994</v>
      </c>
      <c r="D121">
        <v>75.84</v>
      </c>
      <c r="E121">
        <v>74.61</v>
      </c>
      <c r="F121">
        <v>75.709999999999994</v>
      </c>
      <c r="G121" s="2">
        <v>248039946.47</v>
      </c>
      <c r="H121" s="3">
        <v>7329</v>
      </c>
    </row>
    <row r="122" spans="1:8" x14ac:dyDescent="0.25">
      <c r="A122" t="s">
        <v>8</v>
      </c>
      <c r="B122" s="1">
        <v>45667</v>
      </c>
      <c r="C122">
        <v>75.77</v>
      </c>
      <c r="D122">
        <v>77.040000000000006</v>
      </c>
      <c r="E122">
        <v>75.459999999999994</v>
      </c>
      <c r="F122">
        <v>76.900000000000006</v>
      </c>
      <c r="G122" s="2">
        <v>306472956.75</v>
      </c>
      <c r="H122" s="3">
        <v>8918</v>
      </c>
    </row>
    <row r="123" spans="1:8" x14ac:dyDescent="0.25">
      <c r="A123" t="s">
        <v>8</v>
      </c>
      <c r="B123" s="1">
        <v>45670</v>
      </c>
      <c r="C123">
        <v>76.900000000000006</v>
      </c>
      <c r="D123">
        <v>79.13</v>
      </c>
      <c r="E123">
        <v>76.61</v>
      </c>
      <c r="F123">
        <v>78.84</v>
      </c>
      <c r="G123" s="2">
        <v>310788231.97000003</v>
      </c>
      <c r="H123" s="3">
        <v>8801</v>
      </c>
    </row>
    <row r="124" spans="1:8" x14ac:dyDescent="0.25">
      <c r="A124" t="s">
        <v>8</v>
      </c>
      <c r="B124" s="1">
        <v>45671</v>
      </c>
      <c r="C124">
        <v>78.819999999999993</v>
      </c>
      <c r="D124">
        <v>79.12</v>
      </c>
      <c r="E124">
        <v>77.650000000000006</v>
      </c>
      <c r="F124">
        <v>78.099999999999994</v>
      </c>
      <c r="G124" s="2">
        <v>327856753.5</v>
      </c>
      <c r="H124" s="3">
        <v>9288</v>
      </c>
    </row>
    <row r="125" spans="1:8" x14ac:dyDescent="0.25">
      <c r="A125" t="s">
        <v>8</v>
      </c>
      <c r="B125" s="1">
        <v>45672</v>
      </c>
      <c r="C125">
        <v>78.13</v>
      </c>
      <c r="D125">
        <v>78.2</v>
      </c>
      <c r="E125">
        <v>76.69</v>
      </c>
      <c r="F125">
        <v>76.95</v>
      </c>
      <c r="G125" s="2">
        <v>339130372.10000002</v>
      </c>
      <c r="H125" s="3">
        <v>9745</v>
      </c>
    </row>
    <row r="126" spans="1:8" x14ac:dyDescent="0.25">
      <c r="A126" t="s">
        <v>8</v>
      </c>
      <c r="B126" s="1">
        <v>45673</v>
      </c>
      <c r="C126">
        <v>76.92</v>
      </c>
      <c r="D126">
        <v>76.930000000000007</v>
      </c>
      <c r="E126">
        <v>75.09</v>
      </c>
      <c r="F126">
        <v>75.16</v>
      </c>
      <c r="G126" s="2">
        <v>336950091.01999998</v>
      </c>
      <c r="H126" s="3">
        <v>9863</v>
      </c>
    </row>
    <row r="127" spans="1:8" x14ac:dyDescent="0.25">
      <c r="A127" t="s">
        <v>8</v>
      </c>
      <c r="B127" s="1">
        <v>45674</v>
      </c>
      <c r="C127">
        <v>75.13</v>
      </c>
      <c r="D127">
        <v>76.63</v>
      </c>
      <c r="E127">
        <v>74.47</v>
      </c>
      <c r="F127">
        <v>75.67</v>
      </c>
      <c r="G127" s="2">
        <v>275962948.27999997</v>
      </c>
      <c r="H127" s="3">
        <v>8099</v>
      </c>
    </row>
    <row r="128" spans="1:8" x14ac:dyDescent="0.25">
      <c r="A128" t="s">
        <v>8</v>
      </c>
      <c r="B128" s="1">
        <v>45677</v>
      </c>
      <c r="C128">
        <v>75.52</v>
      </c>
      <c r="D128">
        <v>77.22</v>
      </c>
      <c r="E128">
        <v>75.09</v>
      </c>
      <c r="F128">
        <v>77.12</v>
      </c>
      <c r="G128" s="2">
        <v>224055460.63999999</v>
      </c>
      <c r="H128" s="3">
        <v>6501</v>
      </c>
    </row>
    <row r="129" spans="1:8" x14ac:dyDescent="0.25">
      <c r="A129" t="s">
        <v>8</v>
      </c>
      <c r="B129" s="1">
        <v>45678</v>
      </c>
      <c r="C129">
        <v>77.2</v>
      </c>
      <c r="D129">
        <v>77.239999999999995</v>
      </c>
      <c r="E129">
        <v>76.069999999999993</v>
      </c>
      <c r="F129">
        <v>76.42</v>
      </c>
      <c r="G129" s="2">
        <v>174621005.41</v>
      </c>
      <c r="H129" s="3">
        <v>5063</v>
      </c>
    </row>
    <row r="130" spans="1:8" x14ac:dyDescent="0.25">
      <c r="A130" t="s">
        <v>8</v>
      </c>
      <c r="B130" s="1">
        <v>45679</v>
      </c>
      <c r="C130">
        <v>76.42</v>
      </c>
      <c r="D130">
        <v>76.42</v>
      </c>
      <c r="E130">
        <v>74.88</v>
      </c>
      <c r="F130">
        <v>75.09</v>
      </c>
      <c r="G130" s="2">
        <v>264114592.71000001</v>
      </c>
      <c r="H130" s="3">
        <v>7782</v>
      </c>
    </row>
    <row r="131" spans="1:8" x14ac:dyDescent="0.25">
      <c r="A131" t="s">
        <v>8</v>
      </c>
      <c r="B131" s="1">
        <v>45680</v>
      </c>
      <c r="C131">
        <v>75.040000000000006</v>
      </c>
      <c r="D131">
        <v>75.959999999999994</v>
      </c>
      <c r="E131">
        <v>74.75</v>
      </c>
      <c r="F131">
        <v>75.400000000000006</v>
      </c>
      <c r="G131" s="2">
        <v>252520680.37</v>
      </c>
      <c r="H131" s="3">
        <v>7440</v>
      </c>
    </row>
    <row r="132" spans="1:8" x14ac:dyDescent="0.25">
      <c r="A132" t="s">
        <v>8</v>
      </c>
      <c r="B132" s="1">
        <v>45681</v>
      </c>
      <c r="C132">
        <v>75.3</v>
      </c>
      <c r="D132">
        <v>75.62</v>
      </c>
      <c r="E132">
        <v>73.760000000000005</v>
      </c>
      <c r="F132">
        <v>74.14</v>
      </c>
      <c r="G132" s="2">
        <v>311308181.55000001</v>
      </c>
      <c r="H132" s="3">
        <v>9308</v>
      </c>
    </row>
    <row r="133" spans="1:8" x14ac:dyDescent="0.25">
      <c r="A133" t="s">
        <v>8</v>
      </c>
      <c r="B133" s="1">
        <v>45684</v>
      </c>
      <c r="C133">
        <v>74.099999999999994</v>
      </c>
      <c r="D133">
        <v>74.319999999999993</v>
      </c>
      <c r="E133">
        <v>73.400000000000006</v>
      </c>
      <c r="F133">
        <v>74.040000000000006</v>
      </c>
      <c r="G133" s="2">
        <v>199941333.69999999</v>
      </c>
      <c r="H133" s="3">
        <v>6026</v>
      </c>
    </row>
    <row r="134" spans="1:8" x14ac:dyDescent="0.25">
      <c r="A134" t="s">
        <v>8</v>
      </c>
      <c r="B134" s="1">
        <v>45685</v>
      </c>
      <c r="C134">
        <v>73.87</v>
      </c>
      <c r="D134">
        <v>74.459999999999994</v>
      </c>
      <c r="E134">
        <v>73.599999999999994</v>
      </c>
      <c r="F134">
        <v>73.84</v>
      </c>
      <c r="G134" s="2">
        <v>136477669.13999999</v>
      </c>
      <c r="H134" s="3">
        <v>4105</v>
      </c>
    </row>
    <row r="135" spans="1:8" x14ac:dyDescent="0.25">
      <c r="A135" t="s">
        <v>8</v>
      </c>
      <c r="B135" s="1">
        <v>45686</v>
      </c>
      <c r="C135">
        <v>73.819999999999993</v>
      </c>
      <c r="D135">
        <v>74.790000000000006</v>
      </c>
      <c r="E135">
        <v>73.8</v>
      </c>
      <c r="F135">
        <v>74.7</v>
      </c>
      <c r="G135" s="2">
        <v>241804231.78</v>
      </c>
      <c r="H135" s="3">
        <v>7234</v>
      </c>
    </row>
    <row r="136" spans="1:8" x14ac:dyDescent="0.25">
      <c r="A136" t="s">
        <v>8</v>
      </c>
      <c r="B136" s="1">
        <v>45687</v>
      </c>
      <c r="C136">
        <v>74.83</v>
      </c>
      <c r="D136">
        <v>75.17</v>
      </c>
      <c r="E136">
        <v>74.489999999999995</v>
      </c>
      <c r="F136">
        <v>75.010000000000005</v>
      </c>
      <c r="G136" s="2">
        <v>153503465.30000001</v>
      </c>
      <c r="H136" s="3">
        <v>4556</v>
      </c>
    </row>
    <row r="137" spans="1:8" x14ac:dyDescent="0.25">
      <c r="A137" t="s">
        <v>8</v>
      </c>
      <c r="B137" s="1">
        <v>45688</v>
      </c>
      <c r="C137">
        <v>75.06</v>
      </c>
      <c r="D137">
        <v>75.239999999999995</v>
      </c>
      <c r="E137">
        <v>74.2</v>
      </c>
      <c r="F137">
        <v>74.48</v>
      </c>
      <c r="G137" s="2">
        <v>202244934.09999999</v>
      </c>
      <c r="H137" s="3">
        <v>6019</v>
      </c>
    </row>
    <row r="138" spans="1:8" x14ac:dyDescent="0.25">
      <c r="A138" t="s">
        <v>8</v>
      </c>
      <c r="B138" s="1">
        <v>45691</v>
      </c>
      <c r="C138">
        <v>74.489999999999995</v>
      </c>
      <c r="D138">
        <v>74.84</v>
      </c>
      <c r="E138">
        <v>73.790000000000006</v>
      </c>
      <c r="F138">
        <v>74.62</v>
      </c>
      <c r="G138" s="2">
        <v>176241506.06999999</v>
      </c>
      <c r="H138" s="3">
        <v>5259</v>
      </c>
    </row>
    <row r="139" spans="1:8" x14ac:dyDescent="0.25">
      <c r="A139" t="s">
        <v>8</v>
      </c>
      <c r="B139" s="1">
        <v>45692</v>
      </c>
      <c r="C139">
        <v>74.62</v>
      </c>
      <c r="D139">
        <v>75.69</v>
      </c>
      <c r="E139">
        <v>74.55</v>
      </c>
      <c r="F139">
        <v>75.650000000000006</v>
      </c>
      <c r="G139" s="2">
        <v>228831067.93000001</v>
      </c>
      <c r="H139" s="3">
        <v>6753</v>
      </c>
    </row>
    <row r="140" spans="1:8" x14ac:dyDescent="0.25">
      <c r="A140" t="s">
        <v>8</v>
      </c>
      <c r="B140" s="1">
        <v>45693</v>
      </c>
      <c r="C140">
        <v>75.67</v>
      </c>
      <c r="D140">
        <v>76.94</v>
      </c>
      <c r="E140">
        <v>75.58</v>
      </c>
      <c r="F140">
        <v>76.86</v>
      </c>
      <c r="G140" s="2">
        <v>220730717.78999999</v>
      </c>
      <c r="H140" s="3">
        <v>6416</v>
      </c>
    </row>
    <row r="141" spans="1:8" x14ac:dyDescent="0.25">
      <c r="A141" t="s">
        <v>8</v>
      </c>
      <c r="B141" s="1">
        <v>45694</v>
      </c>
      <c r="C141">
        <v>76.94</v>
      </c>
      <c r="D141">
        <v>77.400000000000006</v>
      </c>
      <c r="E141">
        <v>75.8</v>
      </c>
      <c r="F141">
        <v>77.02</v>
      </c>
      <c r="G141" s="2">
        <v>305037559.38999999</v>
      </c>
      <c r="H141" s="3">
        <v>8837</v>
      </c>
    </row>
    <row r="142" spans="1:8" x14ac:dyDescent="0.25">
      <c r="A142" t="s">
        <v>8</v>
      </c>
      <c r="B142" s="1">
        <v>45695</v>
      </c>
      <c r="C142">
        <v>77.150000000000006</v>
      </c>
      <c r="D142">
        <v>77.53</v>
      </c>
      <c r="E142">
        <v>76.83</v>
      </c>
      <c r="F142">
        <v>77.05</v>
      </c>
      <c r="G142" s="2">
        <v>168778045.33000001</v>
      </c>
      <c r="H142" s="3">
        <v>4857</v>
      </c>
    </row>
    <row r="143" spans="1:8" x14ac:dyDescent="0.25">
      <c r="A143" t="s">
        <v>8</v>
      </c>
      <c r="B143" s="1">
        <v>45698</v>
      </c>
      <c r="C143">
        <v>77.16</v>
      </c>
      <c r="D143">
        <v>78.37</v>
      </c>
      <c r="E143">
        <v>77.05</v>
      </c>
      <c r="F143">
        <v>78.09</v>
      </c>
      <c r="G143" s="2">
        <v>184606163.91</v>
      </c>
      <c r="H143" s="3">
        <v>5262</v>
      </c>
    </row>
    <row r="144" spans="1:8" x14ac:dyDescent="0.25">
      <c r="A144" t="s">
        <v>8</v>
      </c>
      <c r="B144" s="1">
        <v>45699</v>
      </c>
      <c r="C144">
        <v>78.180000000000007</v>
      </c>
      <c r="D144">
        <v>78.56</v>
      </c>
      <c r="E144">
        <v>77.25</v>
      </c>
      <c r="F144">
        <v>77.25</v>
      </c>
      <c r="G144" s="2">
        <v>235105814.34999999</v>
      </c>
      <c r="H144" s="3">
        <v>6698</v>
      </c>
    </row>
    <row r="145" spans="1:8" x14ac:dyDescent="0.25">
      <c r="A145" t="s">
        <v>8</v>
      </c>
      <c r="B145" s="1">
        <v>45700</v>
      </c>
      <c r="C145">
        <v>77.25</v>
      </c>
      <c r="D145">
        <v>77.91</v>
      </c>
      <c r="E145">
        <v>77.08</v>
      </c>
      <c r="F145">
        <v>77.45</v>
      </c>
      <c r="G145" s="2">
        <v>267762657.00999999</v>
      </c>
      <c r="H145" s="3">
        <v>7681</v>
      </c>
    </row>
    <row r="146" spans="1:8" x14ac:dyDescent="0.25">
      <c r="A146" t="s">
        <v>8</v>
      </c>
      <c r="B146" s="1">
        <v>45701</v>
      </c>
      <c r="C146">
        <v>77.599999999999994</v>
      </c>
      <c r="D146">
        <v>78.91</v>
      </c>
      <c r="E146">
        <v>77.48</v>
      </c>
      <c r="F146">
        <v>78.7</v>
      </c>
      <c r="G146" s="2">
        <v>260878199.56</v>
      </c>
      <c r="H146" s="3">
        <v>7382</v>
      </c>
    </row>
    <row r="147" spans="1:8" x14ac:dyDescent="0.25">
      <c r="A147" t="s">
        <v>8</v>
      </c>
      <c r="B147" s="1">
        <v>45702</v>
      </c>
      <c r="C147">
        <v>78.69</v>
      </c>
      <c r="D147">
        <v>79.709999999999994</v>
      </c>
      <c r="E147">
        <v>78.55</v>
      </c>
      <c r="F147">
        <v>79.59</v>
      </c>
      <c r="G147" s="2">
        <v>229934717.75</v>
      </c>
      <c r="H147" s="3">
        <v>6446</v>
      </c>
    </row>
    <row r="148" spans="1:8" x14ac:dyDescent="0.25">
      <c r="A148" t="s">
        <v>8</v>
      </c>
      <c r="B148" s="1">
        <v>45705</v>
      </c>
      <c r="C148">
        <v>79.53</v>
      </c>
      <c r="D148">
        <v>80.38</v>
      </c>
      <c r="E148">
        <v>79.3</v>
      </c>
      <c r="F148">
        <v>79.319999999999993</v>
      </c>
      <c r="G148" s="2">
        <v>177246053.81</v>
      </c>
      <c r="H148" s="3">
        <v>4931</v>
      </c>
    </row>
    <row r="149" spans="1:8" x14ac:dyDescent="0.25">
      <c r="A149" t="s">
        <v>8</v>
      </c>
      <c r="B149" s="1">
        <v>45706</v>
      </c>
      <c r="C149">
        <v>79.42</v>
      </c>
      <c r="D149">
        <v>80.11</v>
      </c>
      <c r="E149">
        <v>79.03</v>
      </c>
      <c r="F149">
        <v>79.66</v>
      </c>
      <c r="G149" s="2">
        <v>254704885.93000001</v>
      </c>
      <c r="H149" s="3">
        <v>7100</v>
      </c>
    </row>
    <row r="150" spans="1:8" x14ac:dyDescent="0.25">
      <c r="A150" t="s">
        <v>8</v>
      </c>
      <c r="B150" s="1">
        <v>45707</v>
      </c>
      <c r="C150">
        <v>79.760000000000005</v>
      </c>
      <c r="D150">
        <v>79.959999999999994</v>
      </c>
      <c r="E150">
        <v>78.92</v>
      </c>
      <c r="F150">
        <v>79.709999999999994</v>
      </c>
      <c r="G150" s="2">
        <v>254675350.19999999</v>
      </c>
      <c r="H150" s="3">
        <v>7123</v>
      </c>
    </row>
    <row r="151" spans="1:8" x14ac:dyDescent="0.25">
      <c r="A151" t="s">
        <v>8</v>
      </c>
      <c r="B151" s="1">
        <v>45708</v>
      </c>
      <c r="C151">
        <v>79.739999999999995</v>
      </c>
      <c r="D151">
        <v>81.739999999999995</v>
      </c>
      <c r="E151">
        <v>79.709999999999994</v>
      </c>
      <c r="F151">
        <v>81.69</v>
      </c>
      <c r="G151" s="2">
        <v>320844865.77999997</v>
      </c>
      <c r="H151" s="3">
        <v>8800</v>
      </c>
    </row>
    <row r="152" spans="1:8" x14ac:dyDescent="0.25">
      <c r="A152" t="s">
        <v>8</v>
      </c>
      <c r="B152" s="1">
        <v>45709</v>
      </c>
      <c r="C152">
        <v>81.55</v>
      </c>
      <c r="D152">
        <v>84.28</v>
      </c>
      <c r="E152">
        <v>81.55</v>
      </c>
      <c r="F152">
        <v>83.96</v>
      </c>
      <c r="G152" s="2">
        <v>474792450.24000001</v>
      </c>
      <c r="H152" s="3">
        <v>12647</v>
      </c>
    </row>
    <row r="153" spans="1:8" x14ac:dyDescent="0.25">
      <c r="A153" t="s">
        <v>8</v>
      </c>
      <c r="B153" s="1">
        <v>45712</v>
      </c>
      <c r="C153">
        <v>83.92</v>
      </c>
      <c r="D153">
        <v>84.22</v>
      </c>
      <c r="E153">
        <v>82.21</v>
      </c>
      <c r="F153">
        <v>82.57</v>
      </c>
      <c r="G153" s="2">
        <v>359071592.88</v>
      </c>
      <c r="H153" s="3">
        <v>9562</v>
      </c>
    </row>
    <row r="154" spans="1:8" x14ac:dyDescent="0.25">
      <c r="A154" t="s">
        <v>8</v>
      </c>
      <c r="B154" s="1">
        <v>45713</v>
      </c>
      <c r="C154">
        <v>82.53</v>
      </c>
      <c r="D154">
        <v>83.71</v>
      </c>
      <c r="E154">
        <v>82.39</v>
      </c>
      <c r="F154">
        <v>83.71</v>
      </c>
      <c r="G154" s="2">
        <v>373559154.27999997</v>
      </c>
      <c r="H154" s="3">
        <v>9996</v>
      </c>
    </row>
    <row r="155" spans="1:8" x14ac:dyDescent="0.25">
      <c r="A155" t="s">
        <v>8</v>
      </c>
      <c r="B155" s="1">
        <v>45714</v>
      </c>
      <c r="C155">
        <v>84.02</v>
      </c>
      <c r="D155">
        <v>85.73</v>
      </c>
      <c r="E155">
        <v>83.86</v>
      </c>
      <c r="F155">
        <v>85.24</v>
      </c>
      <c r="G155" s="2">
        <v>391163594.13</v>
      </c>
      <c r="H155" s="3">
        <v>10195</v>
      </c>
    </row>
    <row r="156" spans="1:8" x14ac:dyDescent="0.25">
      <c r="A156" t="s">
        <v>8</v>
      </c>
      <c r="B156" s="1">
        <v>45715</v>
      </c>
      <c r="C156">
        <v>85.38</v>
      </c>
      <c r="D156">
        <v>85.93</v>
      </c>
      <c r="E156">
        <v>84.35</v>
      </c>
      <c r="F156">
        <v>85.58</v>
      </c>
      <c r="G156" s="2">
        <v>379501420.64999998</v>
      </c>
      <c r="H156" s="3">
        <v>9901</v>
      </c>
    </row>
    <row r="157" spans="1:8" x14ac:dyDescent="0.25">
      <c r="A157" t="s">
        <v>8</v>
      </c>
      <c r="B157" s="1">
        <v>45716</v>
      </c>
      <c r="C157">
        <v>85.78</v>
      </c>
      <c r="D157">
        <v>86.08</v>
      </c>
      <c r="E157">
        <v>85.45</v>
      </c>
      <c r="F157">
        <v>85.48</v>
      </c>
      <c r="G157" s="2">
        <v>198892355.84</v>
      </c>
      <c r="H157" s="3">
        <v>5152</v>
      </c>
    </row>
    <row r="158" spans="1:8" x14ac:dyDescent="0.25">
      <c r="A158" t="s">
        <v>8</v>
      </c>
      <c r="B158" s="1">
        <v>45721</v>
      </c>
      <c r="C158">
        <v>85.71</v>
      </c>
      <c r="D158">
        <v>85.73</v>
      </c>
      <c r="E158">
        <v>84.82</v>
      </c>
      <c r="F158">
        <v>85.2</v>
      </c>
      <c r="G158" s="2">
        <v>183627715.75</v>
      </c>
      <c r="H158" s="3">
        <v>4787</v>
      </c>
    </row>
    <row r="159" spans="1:8" x14ac:dyDescent="0.25">
      <c r="A159" t="s">
        <v>8</v>
      </c>
      <c r="B159" s="1">
        <v>45722</v>
      </c>
      <c r="C159">
        <v>85.32</v>
      </c>
      <c r="D159">
        <v>86.16</v>
      </c>
      <c r="E159">
        <v>85.14</v>
      </c>
      <c r="F159">
        <v>85.51</v>
      </c>
      <c r="G159" s="2">
        <v>358608796.89999998</v>
      </c>
      <c r="H159" s="3">
        <v>9282</v>
      </c>
    </row>
    <row r="160" spans="1:8" x14ac:dyDescent="0.25">
      <c r="A160" t="s">
        <v>8</v>
      </c>
      <c r="B160" s="1">
        <v>45723</v>
      </c>
      <c r="C160">
        <v>85.5</v>
      </c>
      <c r="D160">
        <v>85.8</v>
      </c>
      <c r="E160">
        <v>84.36</v>
      </c>
      <c r="F160">
        <v>84.9</v>
      </c>
      <c r="G160" s="2">
        <v>447864708.81999999</v>
      </c>
      <c r="H160" s="3">
        <v>11695</v>
      </c>
    </row>
    <row r="161" spans="1:8" x14ac:dyDescent="0.25">
      <c r="A161" t="s">
        <v>8</v>
      </c>
      <c r="B161" s="1">
        <v>45726</v>
      </c>
      <c r="C161">
        <v>85.02</v>
      </c>
      <c r="D161">
        <v>86.9</v>
      </c>
      <c r="E161">
        <v>84.94</v>
      </c>
      <c r="F161">
        <v>86.72</v>
      </c>
      <c r="G161" s="2">
        <v>403032539.91000003</v>
      </c>
      <c r="H161" s="3">
        <v>10355</v>
      </c>
    </row>
    <row r="162" spans="1:8" x14ac:dyDescent="0.25">
      <c r="A162" t="s">
        <v>8</v>
      </c>
      <c r="B162" s="1">
        <v>45727</v>
      </c>
      <c r="C162">
        <v>86.83</v>
      </c>
      <c r="D162">
        <v>86.98</v>
      </c>
      <c r="E162">
        <v>86.17</v>
      </c>
      <c r="F162">
        <v>86.42</v>
      </c>
      <c r="G162" s="2">
        <v>359838261.01999998</v>
      </c>
      <c r="H162" s="3">
        <v>9237</v>
      </c>
    </row>
    <row r="163" spans="1:8" x14ac:dyDescent="0.25">
      <c r="A163" t="s">
        <v>8</v>
      </c>
      <c r="B163" s="1">
        <v>45728</v>
      </c>
      <c r="C163">
        <v>86.12</v>
      </c>
      <c r="D163">
        <v>87.85</v>
      </c>
      <c r="E163">
        <v>85.92</v>
      </c>
      <c r="F163">
        <v>86.18</v>
      </c>
      <c r="G163" s="2">
        <v>399518290.22000003</v>
      </c>
      <c r="H163" s="3">
        <v>10238</v>
      </c>
    </row>
    <row r="164" spans="1:8" x14ac:dyDescent="0.25">
      <c r="A164" t="s">
        <v>8</v>
      </c>
      <c r="B164" s="1">
        <v>45729</v>
      </c>
      <c r="C164">
        <v>86.29</v>
      </c>
      <c r="D164">
        <v>87.02</v>
      </c>
      <c r="E164">
        <v>85.46</v>
      </c>
      <c r="F164">
        <v>86.39</v>
      </c>
      <c r="G164" s="2">
        <v>325381204.60000002</v>
      </c>
      <c r="H164" s="3">
        <v>8384</v>
      </c>
    </row>
    <row r="165" spans="1:8" x14ac:dyDescent="0.25">
      <c r="A165" t="s">
        <v>8</v>
      </c>
      <c r="B165" s="1">
        <v>45730</v>
      </c>
      <c r="C165">
        <v>86.59</v>
      </c>
      <c r="D165">
        <v>87.21</v>
      </c>
      <c r="E165">
        <v>85.92</v>
      </c>
      <c r="F165">
        <v>86.54</v>
      </c>
      <c r="G165" s="2">
        <v>319945655.87</v>
      </c>
      <c r="H165" s="3">
        <v>8203</v>
      </c>
    </row>
    <row r="166" spans="1:8" x14ac:dyDescent="0.25">
      <c r="A166" t="s">
        <v>8</v>
      </c>
      <c r="B166" s="1">
        <v>45733</v>
      </c>
      <c r="C166">
        <v>86.31</v>
      </c>
      <c r="D166">
        <v>89.42</v>
      </c>
      <c r="E166">
        <v>86.18</v>
      </c>
      <c r="F166">
        <v>88.9</v>
      </c>
      <c r="G166" s="2">
        <v>463251686.19</v>
      </c>
      <c r="H166" s="3">
        <v>11751</v>
      </c>
    </row>
    <row r="167" spans="1:8" x14ac:dyDescent="0.25">
      <c r="A167" t="s">
        <v>8</v>
      </c>
      <c r="B167" s="1">
        <v>45734</v>
      </c>
      <c r="C167">
        <v>89.04</v>
      </c>
      <c r="D167">
        <v>91.69</v>
      </c>
      <c r="E167">
        <v>89.04</v>
      </c>
      <c r="F167">
        <v>91.58</v>
      </c>
      <c r="G167" s="2">
        <v>685105330.92999995</v>
      </c>
      <c r="H167" s="3">
        <v>16778</v>
      </c>
    </row>
    <row r="168" spans="1:8" x14ac:dyDescent="0.25">
      <c r="A168" t="s">
        <v>8</v>
      </c>
      <c r="B168" s="1">
        <v>45735</v>
      </c>
      <c r="C168">
        <v>91.53</v>
      </c>
      <c r="D168">
        <v>91.93</v>
      </c>
      <c r="E168">
        <v>89.87</v>
      </c>
      <c r="F168">
        <v>90.31</v>
      </c>
      <c r="G168" s="2">
        <v>622627063.5</v>
      </c>
      <c r="H168" s="3">
        <v>15212</v>
      </c>
    </row>
    <row r="169" spans="1:8" x14ac:dyDescent="0.25">
      <c r="A169" t="s">
        <v>8</v>
      </c>
      <c r="B169" s="1">
        <v>45736</v>
      </c>
      <c r="C169">
        <v>90.29</v>
      </c>
      <c r="D169">
        <v>90.78</v>
      </c>
      <c r="E169">
        <v>86.91</v>
      </c>
      <c r="F169">
        <v>87.12</v>
      </c>
      <c r="G169" s="2">
        <v>698541127.10000002</v>
      </c>
      <c r="H169" s="3">
        <v>17528</v>
      </c>
    </row>
    <row r="170" spans="1:8" x14ac:dyDescent="0.25">
      <c r="A170" t="s">
        <v>8</v>
      </c>
      <c r="B170" s="1">
        <v>45737</v>
      </c>
      <c r="C170">
        <v>87.1</v>
      </c>
      <c r="D170">
        <v>88.54</v>
      </c>
      <c r="E170">
        <v>85.54</v>
      </c>
      <c r="F170">
        <v>86.35</v>
      </c>
      <c r="G170" s="2">
        <v>488777106.61000001</v>
      </c>
      <c r="H170" s="3">
        <v>12480</v>
      </c>
    </row>
    <row r="171" spans="1:8" x14ac:dyDescent="0.25">
      <c r="A171" t="s">
        <v>8</v>
      </c>
      <c r="B171" s="1">
        <v>45740</v>
      </c>
      <c r="C171">
        <v>86.36</v>
      </c>
      <c r="D171">
        <v>86.8</v>
      </c>
      <c r="E171">
        <v>84.78</v>
      </c>
      <c r="F171">
        <v>86.15</v>
      </c>
      <c r="G171" s="2">
        <v>428512847.89999998</v>
      </c>
      <c r="H171" s="3">
        <v>11119</v>
      </c>
    </row>
    <row r="172" spans="1:8" x14ac:dyDescent="0.25">
      <c r="A172" t="s">
        <v>8</v>
      </c>
      <c r="B172" s="1">
        <v>45741</v>
      </c>
      <c r="C172">
        <v>86.41</v>
      </c>
      <c r="D172">
        <v>86.41</v>
      </c>
      <c r="E172">
        <v>84.09</v>
      </c>
      <c r="F172">
        <v>84.25</v>
      </c>
      <c r="G172" s="2">
        <v>337407728.25</v>
      </c>
      <c r="H172" s="3">
        <v>8794</v>
      </c>
    </row>
    <row r="173" spans="1:8" x14ac:dyDescent="0.25">
      <c r="A173" t="s">
        <v>8</v>
      </c>
      <c r="B173" s="1">
        <v>45742</v>
      </c>
      <c r="C173">
        <v>84.12</v>
      </c>
      <c r="D173">
        <v>84.76</v>
      </c>
      <c r="E173">
        <v>82.93</v>
      </c>
      <c r="F173">
        <v>83.56</v>
      </c>
      <c r="G173" s="2">
        <v>537778488.08000004</v>
      </c>
      <c r="H173" s="3">
        <v>14307</v>
      </c>
    </row>
    <row r="174" spans="1:8" x14ac:dyDescent="0.25">
      <c r="A174" t="s">
        <v>8</v>
      </c>
      <c r="B174" s="1">
        <v>45743</v>
      </c>
      <c r="C174">
        <v>83.58</v>
      </c>
      <c r="D174">
        <v>85.53</v>
      </c>
      <c r="E174">
        <v>83.2</v>
      </c>
      <c r="F174">
        <v>83.83</v>
      </c>
      <c r="G174" s="2">
        <v>402529625.01999998</v>
      </c>
      <c r="H174" s="3">
        <v>10559</v>
      </c>
    </row>
    <row r="175" spans="1:8" x14ac:dyDescent="0.25">
      <c r="A175" t="s">
        <v>8</v>
      </c>
      <c r="B175" s="1">
        <v>45744</v>
      </c>
      <c r="C175">
        <v>83.91</v>
      </c>
      <c r="D175">
        <v>84.34</v>
      </c>
      <c r="E175">
        <v>82.63</v>
      </c>
      <c r="F175">
        <v>83.68</v>
      </c>
      <c r="G175" s="2">
        <v>302045733.20999998</v>
      </c>
      <c r="H175" s="3">
        <v>8040</v>
      </c>
    </row>
    <row r="176" spans="1:8" x14ac:dyDescent="0.25">
      <c r="A176" t="s">
        <v>8</v>
      </c>
      <c r="B176" s="1">
        <v>45747</v>
      </c>
      <c r="C176">
        <v>83.64</v>
      </c>
      <c r="D176">
        <v>84.85</v>
      </c>
      <c r="E176">
        <v>83.42</v>
      </c>
      <c r="F176">
        <v>84.21</v>
      </c>
      <c r="G176" s="2">
        <v>383306068.08999997</v>
      </c>
      <c r="H176" s="3">
        <v>10125</v>
      </c>
    </row>
    <row r="177" spans="1:8" x14ac:dyDescent="0.25">
      <c r="A177" t="s">
        <v>8</v>
      </c>
      <c r="B177" s="1">
        <v>45748</v>
      </c>
      <c r="C177">
        <v>84.25</v>
      </c>
      <c r="D177">
        <v>85.41</v>
      </c>
      <c r="E177">
        <v>84.07</v>
      </c>
      <c r="F177">
        <v>85.21</v>
      </c>
      <c r="G177" s="2">
        <v>316789284.85000002</v>
      </c>
      <c r="H177" s="3">
        <v>8297</v>
      </c>
    </row>
    <row r="178" spans="1:8" x14ac:dyDescent="0.25">
      <c r="A178" t="s">
        <v>8</v>
      </c>
      <c r="B178" s="1">
        <v>45749</v>
      </c>
      <c r="C178">
        <v>85.26</v>
      </c>
      <c r="D178">
        <v>85.26</v>
      </c>
      <c r="E178">
        <v>83.56</v>
      </c>
      <c r="F178">
        <v>83.78</v>
      </c>
      <c r="G178" s="2">
        <v>296595808.18000001</v>
      </c>
      <c r="H178" s="3">
        <v>7838</v>
      </c>
    </row>
    <row r="179" spans="1:8" x14ac:dyDescent="0.25">
      <c r="A179" t="s">
        <v>8</v>
      </c>
      <c r="B179" s="1">
        <v>45750</v>
      </c>
      <c r="C179">
        <v>83.74</v>
      </c>
      <c r="D179">
        <v>84.99</v>
      </c>
      <c r="E179">
        <v>82.4</v>
      </c>
      <c r="F179">
        <v>83.06</v>
      </c>
      <c r="G179" s="2">
        <v>425914352.43000001</v>
      </c>
      <c r="H179" s="3">
        <v>11314</v>
      </c>
    </row>
    <row r="180" spans="1:8" x14ac:dyDescent="0.25">
      <c r="A180" t="s">
        <v>8</v>
      </c>
      <c r="B180" s="1">
        <v>45751</v>
      </c>
      <c r="C180">
        <v>83.04</v>
      </c>
      <c r="D180">
        <v>83.23</v>
      </c>
      <c r="E180">
        <v>81.66</v>
      </c>
      <c r="F180">
        <v>82.82</v>
      </c>
      <c r="G180" s="2">
        <v>349451481.99000001</v>
      </c>
      <c r="H180" s="3">
        <v>9410</v>
      </c>
    </row>
    <row r="181" spans="1:8" x14ac:dyDescent="0.25">
      <c r="A181" t="s">
        <v>8</v>
      </c>
      <c r="B181" s="1">
        <v>45754</v>
      </c>
      <c r="C181">
        <v>82.82</v>
      </c>
      <c r="D181">
        <v>85.3</v>
      </c>
      <c r="E181">
        <v>82.82</v>
      </c>
      <c r="F181">
        <v>85.06</v>
      </c>
      <c r="G181" s="2">
        <v>332325874.55000001</v>
      </c>
      <c r="H181" s="3">
        <v>8743</v>
      </c>
    </row>
    <row r="182" spans="1:8" x14ac:dyDescent="0.25">
      <c r="A182" t="s">
        <v>8</v>
      </c>
      <c r="B182" s="1">
        <v>45755</v>
      </c>
      <c r="C182">
        <v>85.08</v>
      </c>
      <c r="D182">
        <v>87.16</v>
      </c>
      <c r="E182">
        <v>84.83</v>
      </c>
      <c r="F182">
        <v>86.94</v>
      </c>
      <c r="G182" s="2">
        <v>375906249.45999998</v>
      </c>
      <c r="H182" s="3">
        <v>9670</v>
      </c>
    </row>
    <row r="183" spans="1:8" x14ac:dyDescent="0.25">
      <c r="A183" t="s">
        <v>8</v>
      </c>
      <c r="B183" s="1">
        <v>45756</v>
      </c>
      <c r="C183">
        <v>86.94</v>
      </c>
      <c r="D183">
        <v>88.33</v>
      </c>
      <c r="E183">
        <v>85.32</v>
      </c>
      <c r="F183">
        <v>86.29</v>
      </c>
      <c r="G183" s="2">
        <v>438537090.06999999</v>
      </c>
      <c r="H183" s="3">
        <v>11183</v>
      </c>
    </row>
    <row r="184" spans="1:8" x14ac:dyDescent="0.25">
      <c r="A184" t="s">
        <v>8</v>
      </c>
      <c r="B184" s="1">
        <v>45757</v>
      </c>
      <c r="C184">
        <v>86.5</v>
      </c>
      <c r="D184">
        <v>87.65</v>
      </c>
      <c r="E184">
        <v>86.02</v>
      </c>
      <c r="F184">
        <v>87.36</v>
      </c>
      <c r="G184" s="2">
        <v>301585955.04000002</v>
      </c>
      <c r="H184" s="3">
        <v>7710</v>
      </c>
    </row>
    <row r="185" spans="1:8" x14ac:dyDescent="0.25">
      <c r="A185" t="s">
        <v>8</v>
      </c>
      <c r="B185" s="1">
        <v>45758</v>
      </c>
      <c r="C185">
        <v>87.48</v>
      </c>
      <c r="D185">
        <v>87.58</v>
      </c>
      <c r="E185">
        <v>85.76</v>
      </c>
      <c r="F185">
        <v>86.01</v>
      </c>
      <c r="G185" s="2">
        <v>286353916.54000002</v>
      </c>
      <c r="H185" s="3">
        <v>7355</v>
      </c>
    </row>
    <row r="186" spans="1:8" x14ac:dyDescent="0.25">
      <c r="A186" t="s">
        <v>8</v>
      </c>
      <c r="B186" s="1">
        <v>45761</v>
      </c>
      <c r="C186">
        <v>86.36</v>
      </c>
      <c r="D186">
        <v>86.4</v>
      </c>
      <c r="E186">
        <v>84.86</v>
      </c>
      <c r="F186">
        <v>85.51</v>
      </c>
      <c r="G186" s="2">
        <v>158444313.09999999</v>
      </c>
      <c r="H186" s="3">
        <v>4123</v>
      </c>
    </row>
    <row r="187" spans="1:8" x14ac:dyDescent="0.25">
      <c r="A187" t="s">
        <v>8</v>
      </c>
      <c r="B187" s="1">
        <v>45762</v>
      </c>
      <c r="C187">
        <v>85.62</v>
      </c>
      <c r="D187">
        <v>86.39</v>
      </c>
      <c r="E187">
        <v>84.68</v>
      </c>
      <c r="F187">
        <v>84.88</v>
      </c>
      <c r="G187" s="2">
        <v>271620643.44999999</v>
      </c>
      <c r="H187" s="3">
        <v>7047</v>
      </c>
    </row>
    <row r="188" spans="1:8" x14ac:dyDescent="0.25">
      <c r="A188" t="s">
        <v>8</v>
      </c>
      <c r="B188" s="1">
        <v>45763</v>
      </c>
      <c r="C188">
        <v>84.68</v>
      </c>
      <c r="D188">
        <v>84.77</v>
      </c>
      <c r="E188">
        <v>83.35</v>
      </c>
      <c r="F188">
        <v>83.44</v>
      </c>
      <c r="G188" s="2">
        <v>277578685.55000001</v>
      </c>
      <c r="H188" s="3">
        <v>7343</v>
      </c>
    </row>
    <row r="189" spans="1:8" x14ac:dyDescent="0.25">
      <c r="A189" t="s">
        <v>8</v>
      </c>
      <c r="B189" s="1">
        <v>45764</v>
      </c>
      <c r="C189">
        <v>83.46</v>
      </c>
      <c r="D189">
        <v>84.25</v>
      </c>
      <c r="E189">
        <v>82.83</v>
      </c>
      <c r="F189">
        <v>83.2</v>
      </c>
      <c r="G189" s="2">
        <v>205036398.43000001</v>
      </c>
      <c r="H189" s="3">
        <v>5454</v>
      </c>
    </row>
    <row r="190" spans="1:8" x14ac:dyDescent="0.25">
      <c r="A190" t="s">
        <v>8</v>
      </c>
      <c r="B190" s="1">
        <v>45769</v>
      </c>
      <c r="C190">
        <v>82.94</v>
      </c>
      <c r="D190">
        <v>83.99</v>
      </c>
      <c r="E190">
        <v>82.63</v>
      </c>
      <c r="F190">
        <v>83.99</v>
      </c>
      <c r="G190" s="2">
        <v>156642690.03</v>
      </c>
      <c r="H190" s="3">
        <v>4182</v>
      </c>
    </row>
    <row r="191" spans="1:8" x14ac:dyDescent="0.25">
      <c r="A191" t="s">
        <v>8</v>
      </c>
      <c r="B191" s="1">
        <v>45770</v>
      </c>
      <c r="C191">
        <v>84</v>
      </c>
      <c r="D191">
        <v>84.11</v>
      </c>
      <c r="E191">
        <v>82.79</v>
      </c>
      <c r="F191">
        <v>82.93</v>
      </c>
      <c r="G191" s="2">
        <v>360746165.63</v>
      </c>
      <c r="H191" s="3">
        <v>9632</v>
      </c>
    </row>
    <row r="192" spans="1:8" x14ac:dyDescent="0.25">
      <c r="A192" t="s">
        <v>8</v>
      </c>
      <c r="B192" s="1">
        <v>45771</v>
      </c>
      <c r="C192">
        <v>82.93</v>
      </c>
      <c r="D192">
        <v>83.64</v>
      </c>
      <c r="E192">
        <v>82.44</v>
      </c>
      <c r="F192">
        <v>83.56</v>
      </c>
      <c r="G192" s="2">
        <v>285401104.94999999</v>
      </c>
      <c r="H192" s="3">
        <v>7647</v>
      </c>
    </row>
    <row r="193" spans="1:8" x14ac:dyDescent="0.25">
      <c r="A193" t="s">
        <v>8</v>
      </c>
      <c r="B193" s="1">
        <v>45772</v>
      </c>
      <c r="C193">
        <v>83.38</v>
      </c>
      <c r="D193">
        <v>83.9</v>
      </c>
      <c r="E193">
        <v>83.16</v>
      </c>
      <c r="F193">
        <v>83.66</v>
      </c>
      <c r="G193" s="2">
        <v>181032085.18000001</v>
      </c>
      <c r="H193" s="3">
        <v>4815</v>
      </c>
    </row>
    <row r="194" spans="1:8" x14ac:dyDescent="0.25">
      <c r="A194" t="s">
        <v>8</v>
      </c>
      <c r="B194" s="1">
        <v>45775</v>
      </c>
      <c r="C194">
        <v>83.53</v>
      </c>
      <c r="D194">
        <v>83.75</v>
      </c>
      <c r="E194">
        <v>81.760000000000005</v>
      </c>
      <c r="F194">
        <v>81.94</v>
      </c>
      <c r="G194" s="2">
        <v>390433200.44999999</v>
      </c>
      <c r="H194" s="3">
        <v>10556</v>
      </c>
    </row>
    <row r="195" spans="1:8" x14ac:dyDescent="0.25">
      <c r="A195" t="s">
        <v>8</v>
      </c>
      <c r="B195" s="1">
        <v>45776</v>
      </c>
      <c r="C195">
        <v>82.05</v>
      </c>
      <c r="D195">
        <v>82.93</v>
      </c>
      <c r="E195">
        <v>81.63</v>
      </c>
      <c r="F195">
        <v>82.82</v>
      </c>
      <c r="G195" s="2">
        <v>351364071.36000001</v>
      </c>
      <c r="H195" s="3">
        <v>9495</v>
      </c>
    </row>
    <row r="196" spans="1:8" x14ac:dyDescent="0.25">
      <c r="A196" t="s">
        <v>8</v>
      </c>
      <c r="B196" s="1">
        <v>45777</v>
      </c>
      <c r="C196">
        <v>82.85</v>
      </c>
      <c r="D196">
        <v>83.56</v>
      </c>
      <c r="E196">
        <v>82.39</v>
      </c>
      <c r="F196">
        <v>82.39</v>
      </c>
      <c r="G196" s="2">
        <v>259514115.96000001</v>
      </c>
      <c r="H196" s="3">
        <v>6933</v>
      </c>
    </row>
    <row r="197" spans="1:8" x14ac:dyDescent="0.25">
      <c r="A197" t="s">
        <v>8</v>
      </c>
      <c r="B197" s="1">
        <v>45779</v>
      </c>
      <c r="C197">
        <v>82.39</v>
      </c>
      <c r="D197">
        <v>83.13</v>
      </c>
      <c r="E197">
        <v>82.39</v>
      </c>
      <c r="F197">
        <v>83.12</v>
      </c>
      <c r="G197" s="2">
        <v>157262905.16999999</v>
      </c>
      <c r="H197" s="3">
        <v>4227</v>
      </c>
    </row>
    <row r="198" spans="1:8" x14ac:dyDescent="0.25">
      <c r="A198" t="s">
        <v>8</v>
      </c>
      <c r="B198" s="1">
        <v>45782</v>
      </c>
      <c r="C198">
        <v>83.1</v>
      </c>
      <c r="D198">
        <v>83.26</v>
      </c>
      <c r="E198">
        <v>81.09</v>
      </c>
      <c r="F198">
        <v>81.62</v>
      </c>
      <c r="G198" s="2">
        <v>326446450.86000001</v>
      </c>
      <c r="H198" s="3">
        <v>8879</v>
      </c>
    </row>
    <row r="199" spans="1:8" x14ac:dyDescent="0.25">
      <c r="A199" t="s">
        <v>8</v>
      </c>
      <c r="B199" s="1">
        <v>45783</v>
      </c>
      <c r="C199">
        <v>81.84</v>
      </c>
      <c r="D199">
        <v>82.11</v>
      </c>
      <c r="E199">
        <v>80.89</v>
      </c>
      <c r="F199">
        <v>81.19</v>
      </c>
      <c r="G199" s="2">
        <v>242158259.24000001</v>
      </c>
      <c r="H199" s="3">
        <v>6609</v>
      </c>
    </row>
    <row r="200" spans="1:8" x14ac:dyDescent="0.25">
      <c r="A200" t="s">
        <v>8</v>
      </c>
      <c r="B200" s="1">
        <v>45784</v>
      </c>
      <c r="C200">
        <v>81.290000000000006</v>
      </c>
      <c r="D200">
        <v>81.290000000000006</v>
      </c>
      <c r="E200">
        <v>79.959999999999994</v>
      </c>
      <c r="F200">
        <v>80.89</v>
      </c>
      <c r="G200" s="2">
        <v>395046430.68000001</v>
      </c>
      <c r="H200" s="3">
        <v>10924</v>
      </c>
    </row>
    <row r="201" spans="1:8" x14ac:dyDescent="0.25">
      <c r="A201" t="s">
        <v>8</v>
      </c>
      <c r="B201" s="1">
        <v>45785</v>
      </c>
      <c r="C201">
        <v>80.739999999999995</v>
      </c>
      <c r="D201">
        <v>81.12</v>
      </c>
      <c r="E201">
        <v>80.13</v>
      </c>
      <c r="F201">
        <v>80.430000000000007</v>
      </c>
      <c r="G201" s="2">
        <v>239496647.37</v>
      </c>
      <c r="H201" s="3">
        <v>6627</v>
      </c>
    </row>
    <row r="202" spans="1:8" x14ac:dyDescent="0.25">
      <c r="A202" t="s">
        <v>8</v>
      </c>
      <c r="B202" s="1">
        <v>45786</v>
      </c>
      <c r="C202">
        <v>80.319999999999993</v>
      </c>
      <c r="D202">
        <v>80.319999999999993</v>
      </c>
      <c r="E202">
        <v>79.430000000000007</v>
      </c>
      <c r="F202">
        <v>79.8</v>
      </c>
      <c r="G202" s="2">
        <v>244494780.13</v>
      </c>
      <c r="H202" s="3">
        <v>6806</v>
      </c>
    </row>
    <row r="203" spans="1:8" x14ac:dyDescent="0.25">
      <c r="A203" t="s">
        <v>8</v>
      </c>
      <c r="B203" s="1">
        <v>45789</v>
      </c>
      <c r="C203">
        <v>79.58</v>
      </c>
      <c r="D203">
        <v>79.819999999999993</v>
      </c>
      <c r="E203">
        <v>78.819999999999993</v>
      </c>
      <c r="F203">
        <v>78.89</v>
      </c>
      <c r="G203" s="2">
        <v>241106149.12</v>
      </c>
      <c r="H203" s="3">
        <v>6754</v>
      </c>
    </row>
    <row r="204" spans="1:8" x14ac:dyDescent="0.25">
      <c r="A204" t="s">
        <v>8</v>
      </c>
      <c r="B204" s="1">
        <v>45790</v>
      </c>
      <c r="C204">
        <v>78.989999999999995</v>
      </c>
      <c r="D204">
        <v>79.069999999999993</v>
      </c>
      <c r="E204">
        <v>77.97</v>
      </c>
      <c r="F204">
        <v>78.06</v>
      </c>
      <c r="G204" s="2">
        <v>339764025.49000001</v>
      </c>
      <c r="H204" s="3">
        <v>9635</v>
      </c>
    </row>
    <row r="205" spans="1:8" x14ac:dyDescent="0.25">
      <c r="A205" t="s">
        <v>8</v>
      </c>
      <c r="B205" s="1">
        <v>45791</v>
      </c>
      <c r="C205">
        <v>78.010000000000005</v>
      </c>
      <c r="D205">
        <v>79.81</v>
      </c>
      <c r="E205">
        <v>77.7</v>
      </c>
      <c r="F205">
        <v>79.150000000000006</v>
      </c>
      <c r="G205" s="2">
        <v>386012980.54000002</v>
      </c>
      <c r="H205" s="3">
        <v>10879</v>
      </c>
    </row>
    <row r="206" spans="1:8" x14ac:dyDescent="0.25">
      <c r="A206" t="s">
        <v>8</v>
      </c>
      <c r="B206" s="1">
        <v>45792</v>
      </c>
      <c r="C206">
        <v>79.27</v>
      </c>
      <c r="D206">
        <v>79.819999999999993</v>
      </c>
      <c r="E206">
        <v>77.94</v>
      </c>
      <c r="F206">
        <v>78.77</v>
      </c>
      <c r="G206" s="2">
        <v>279089205.64999998</v>
      </c>
      <c r="H206" s="3">
        <v>7911</v>
      </c>
    </row>
    <row r="207" spans="1:8" x14ac:dyDescent="0.25">
      <c r="A207" t="s">
        <v>8</v>
      </c>
      <c r="B207" s="1">
        <v>45793</v>
      </c>
      <c r="C207">
        <v>78.89</v>
      </c>
      <c r="D207">
        <v>79.03</v>
      </c>
      <c r="E207">
        <v>77.31</v>
      </c>
      <c r="F207">
        <v>78.290000000000006</v>
      </c>
      <c r="G207" s="2">
        <v>254427585.34</v>
      </c>
      <c r="H207" s="3">
        <v>7248</v>
      </c>
    </row>
    <row r="208" spans="1:8" x14ac:dyDescent="0.25">
      <c r="A208" t="s">
        <v>8</v>
      </c>
      <c r="B208" s="1">
        <v>45796</v>
      </c>
      <c r="C208">
        <v>77.92</v>
      </c>
      <c r="D208">
        <v>78.63</v>
      </c>
      <c r="E208">
        <v>77.08</v>
      </c>
      <c r="F208">
        <v>77.42</v>
      </c>
      <c r="G208" s="2">
        <v>353163680.62</v>
      </c>
      <c r="H208" s="3">
        <v>10120</v>
      </c>
    </row>
    <row r="209" spans="1:8" x14ac:dyDescent="0.25">
      <c r="A209" t="s">
        <v>8</v>
      </c>
      <c r="B209" s="1">
        <v>45797</v>
      </c>
      <c r="C209">
        <v>77.55</v>
      </c>
      <c r="D209">
        <v>78.900000000000006</v>
      </c>
      <c r="E209">
        <v>77.33</v>
      </c>
      <c r="F209">
        <v>78.650000000000006</v>
      </c>
      <c r="G209" s="2">
        <v>350910355.05000001</v>
      </c>
      <c r="H209" s="3">
        <v>9958</v>
      </c>
    </row>
    <row r="210" spans="1:8" x14ac:dyDescent="0.25">
      <c r="A210" t="s">
        <v>8</v>
      </c>
      <c r="B210" s="1">
        <v>45798</v>
      </c>
      <c r="C210">
        <v>78.72</v>
      </c>
      <c r="D210">
        <v>81.150000000000006</v>
      </c>
      <c r="E210">
        <v>78.41</v>
      </c>
      <c r="F210">
        <v>81.11</v>
      </c>
      <c r="G210" s="2">
        <v>565629763.00999999</v>
      </c>
      <c r="H210" s="3">
        <v>15666</v>
      </c>
    </row>
    <row r="211" spans="1:8" x14ac:dyDescent="0.25">
      <c r="A211" t="s">
        <v>8</v>
      </c>
      <c r="B211" s="1">
        <v>45799</v>
      </c>
      <c r="C211">
        <v>81.11</v>
      </c>
      <c r="D211">
        <v>81.11</v>
      </c>
      <c r="E211">
        <v>78.540000000000006</v>
      </c>
      <c r="F211">
        <v>78.900000000000006</v>
      </c>
      <c r="G211" s="2">
        <v>448621176.51999998</v>
      </c>
      <c r="H211" s="3">
        <v>12453</v>
      </c>
    </row>
    <row r="212" spans="1:8" x14ac:dyDescent="0.25">
      <c r="A212" t="s">
        <v>8</v>
      </c>
      <c r="B212" s="1">
        <v>45800</v>
      </c>
      <c r="C212">
        <v>78.900000000000006</v>
      </c>
      <c r="D212">
        <v>79.69</v>
      </c>
      <c r="E212">
        <v>78.180000000000007</v>
      </c>
      <c r="F212">
        <v>78.66</v>
      </c>
      <c r="G212" s="2">
        <v>263178161.44999999</v>
      </c>
      <c r="H212" s="3">
        <v>7413</v>
      </c>
    </row>
    <row r="213" spans="1:8" x14ac:dyDescent="0.25">
      <c r="A213" t="s">
        <v>8</v>
      </c>
      <c r="B213" s="1">
        <v>45803</v>
      </c>
      <c r="C213">
        <v>78.900000000000006</v>
      </c>
      <c r="D213">
        <v>79.56</v>
      </c>
      <c r="E213">
        <v>78.39</v>
      </c>
      <c r="F213">
        <v>79.47</v>
      </c>
      <c r="G213" s="2">
        <v>210076362.28999999</v>
      </c>
      <c r="H213" s="3">
        <v>5911</v>
      </c>
    </row>
    <row r="214" spans="1:8" x14ac:dyDescent="0.25">
      <c r="A214" t="s">
        <v>8</v>
      </c>
      <c r="B214" s="1">
        <v>45804</v>
      </c>
      <c r="C214">
        <v>79.53</v>
      </c>
      <c r="D214">
        <v>80.87</v>
      </c>
      <c r="E214">
        <v>78.989999999999995</v>
      </c>
      <c r="F214">
        <v>80.760000000000005</v>
      </c>
      <c r="G214" s="2">
        <v>394327608.31</v>
      </c>
      <c r="H214" s="3">
        <v>10956</v>
      </c>
    </row>
    <row r="215" spans="1:8" x14ac:dyDescent="0.25">
      <c r="A215" t="s">
        <v>8</v>
      </c>
      <c r="B215" s="1">
        <v>45805</v>
      </c>
      <c r="C215">
        <v>80.739999999999995</v>
      </c>
      <c r="D215">
        <v>81.010000000000005</v>
      </c>
      <c r="E215">
        <v>78.739999999999995</v>
      </c>
      <c r="F215">
        <v>78.98</v>
      </c>
      <c r="G215" s="2">
        <v>355213661.24000001</v>
      </c>
      <c r="H215" s="3">
        <v>9934</v>
      </c>
    </row>
    <row r="216" spans="1:8" x14ac:dyDescent="0.25">
      <c r="A216" t="s">
        <v>8</v>
      </c>
      <c r="B216" s="1">
        <v>45806</v>
      </c>
      <c r="C216">
        <v>79.05</v>
      </c>
      <c r="D216">
        <v>79.14</v>
      </c>
      <c r="E216">
        <v>77.81</v>
      </c>
      <c r="F216">
        <v>77.95</v>
      </c>
      <c r="G216" s="2">
        <v>292996345.12</v>
      </c>
      <c r="H216" s="3">
        <v>8341</v>
      </c>
    </row>
    <row r="217" spans="1:8" x14ac:dyDescent="0.25">
      <c r="A217" t="s">
        <v>8</v>
      </c>
      <c r="B217" s="1">
        <v>45807</v>
      </c>
      <c r="C217">
        <v>77.8</v>
      </c>
      <c r="D217">
        <v>78.900000000000006</v>
      </c>
      <c r="E217">
        <v>77.8</v>
      </c>
      <c r="F217">
        <v>78.77</v>
      </c>
      <c r="G217" s="2">
        <v>245266752.16999999</v>
      </c>
      <c r="H217" s="3">
        <v>6951</v>
      </c>
    </row>
    <row r="218" spans="1:8" x14ac:dyDescent="0.25">
      <c r="A218" t="s">
        <v>8</v>
      </c>
      <c r="B218" s="1">
        <v>45810</v>
      </c>
      <c r="C218">
        <v>78.83</v>
      </c>
      <c r="D218">
        <v>78.849999999999994</v>
      </c>
      <c r="E218">
        <v>78</v>
      </c>
      <c r="F218">
        <v>78.22</v>
      </c>
      <c r="G218" s="2">
        <v>112716064.37</v>
      </c>
      <c r="H218" s="3">
        <v>3200</v>
      </c>
    </row>
    <row r="219" spans="1:8" x14ac:dyDescent="0.25">
      <c r="A219" t="s">
        <v>8</v>
      </c>
      <c r="B219" s="1">
        <v>45811</v>
      </c>
      <c r="C219">
        <v>78.27</v>
      </c>
      <c r="D219">
        <v>79.39</v>
      </c>
      <c r="E219">
        <v>77.900000000000006</v>
      </c>
      <c r="F219">
        <v>79.27</v>
      </c>
      <c r="G219" s="2">
        <v>257870863.34999999</v>
      </c>
      <c r="H219" s="3">
        <v>7280</v>
      </c>
    </row>
    <row r="220" spans="1:8" x14ac:dyDescent="0.25">
      <c r="A220" t="s">
        <v>8</v>
      </c>
      <c r="B220" s="1">
        <v>45812</v>
      </c>
      <c r="C220">
        <v>79.37</v>
      </c>
      <c r="D220">
        <v>80.099999999999994</v>
      </c>
      <c r="E220">
        <v>79.28</v>
      </c>
      <c r="F220">
        <v>80.069999999999993</v>
      </c>
      <c r="G220" s="2">
        <v>313127687.33999997</v>
      </c>
      <c r="H220" s="3">
        <v>8720</v>
      </c>
    </row>
    <row r="221" spans="1:8" x14ac:dyDescent="0.25">
      <c r="A221" t="s">
        <v>8</v>
      </c>
      <c r="B221" s="1">
        <v>45813</v>
      </c>
      <c r="C221">
        <v>80.05</v>
      </c>
      <c r="D221">
        <v>80.53</v>
      </c>
      <c r="E221">
        <v>79.42</v>
      </c>
      <c r="F221">
        <v>79.989999999999995</v>
      </c>
      <c r="G221" s="2">
        <v>269121741.69</v>
      </c>
      <c r="H221" s="3">
        <v>7491</v>
      </c>
    </row>
    <row r="222" spans="1:8" x14ac:dyDescent="0.25">
      <c r="A222" t="s">
        <v>8</v>
      </c>
      <c r="B222" s="1">
        <v>45814</v>
      </c>
      <c r="C222">
        <v>79.98</v>
      </c>
      <c r="D222">
        <v>80.47</v>
      </c>
      <c r="E222">
        <v>79.319999999999993</v>
      </c>
      <c r="F222">
        <v>80.16</v>
      </c>
      <c r="G222" s="2">
        <v>302933036.76999998</v>
      </c>
      <c r="H222" s="3">
        <v>8425</v>
      </c>
    </row>
    <row r="223" spans="1:8" x14ac:dyDescent="0.25">
      <c r="A223" t="s">
        <v>8</v>
      </c>
      <c r="B223" s="1">
        <v>45817</v>
      </c>
      <c r="C223">
        <v>80.14</v>
      </c>
      <c r="D223">
        <v>80.739999999999995</v>
      </c>
      <c r="E223">
        <v>79.150000000000006</v>
      </c>
      <c r="F223">
        <v>79.55</v>
      </c>
      <c r="G223" s="2">
        <v>319694800.38999999</v>
      </c>
      <c r="H223" s="3">
        <v>8921</v>
      </c>
    </row>
    <row r="224" spans="1:8" x14ac:dyDescent="0.25">
      <c r="A224" t="s">
        <v>8</v>
      </c>
      <c r="B224" s="1">
        <v>45818</v>
      </c>
      <c r="C224">
        <v>79.55</v>
      </c>
      <c r="D224">
        <v>80</v>
      </c>
      <c r="E224">
        <v>78.78</v>
      </c>
      <c r="F224">
        <v>79.989999999999995</v>
      </c>
      <c r="G224" s="2">
        <v>425973199.07999998</v>
      </c>
      <c r="H224" s="3">
        <v>11923</v>
      </c>
    </row>
    <row r="225" spans="1:8" x14ac:dyDescent="0.25">
      <c r="A225" t="s">
        <v>8</v>
      </c>
      <c r="B225" s="1">
        <v>45819</v>
      </c>
      <c r="C225">
        <v>79.88</v>
      </c>
      <c r="D225">
        <v>79.94</v>
      </c>
      <c r="E225">
        <v>79.040000000000006</v>
      </c>
      <c r="F225">
        <v>79.069999999999993</v>
      </c>
      <c r="G225" s="2">
        <v>296719034.56999999</v>
      </c>
      <c r="H225" s="3">
        <v>8312</v>
      </c>
    </row>
    <row r="226" spans="1:8" x14ac:dyDescent="0.25">
      <c r="A226" t="s">
        <v>8</v>
      </c>
      <c r="B226" s="1">
        <v>45820</v>
      </c>
      <c r="C226">
        <v>78.959999999999994</v>
      </c>
      <c r="D226">
        <v>79.430000000000007</v>
      </c>
      <c r="E226">
        <v>77.989999999999995</v>
      </c>
      <c r="F226">
        <v>78.08</v>
      </c>
      <c r="G226" s="2">
        <v>344235170.11000001</v>
      </c>
      <c r="H226" s="3">
        <v>9756</v>
      </c>
    </row>
    <row r="227" spans="1:8" x14ac:dyDescent="0.25">
      <c r="A227" t="s">
        <v>8</v>
      </c>
      <c r="B227" s="1">
        <v>45821</v>
      </c>
      <c r="C227">
        <v>78.08</v>
      </c>
      <c r="D227">
        <v>78.66</v>
      </c>
      <c r="E227">
        <v>77.59</v>
      </c>
      <c r="F227">
        <v>78.400000000000006</v>
      </c>
      <c r="G227" s="2">
        <v>267755594.38999999</v>
      </c>
      <c r="H227" s="3">
        <v>7602</v>
      </c>
    </row>
    <row r="228" spans="1:8" x14ac:dyDescent="0.25">
      <c r="A228" t="s">
        <v>8</v>
      </c>
      <c r="B228" s="1">
        <v>45824</v>
      </c>
      <c r="C228">
        <v>78.41</v>
      </c>
      <c r="D228">
        <v>78.540000000000006</v>
      </c>
      <c r="E228">
        <v>77.13</v>
      </c>
      <c r="F228">
        <v>77.52</v>
      </c>
      <c r="G228" s="2">
        <v>276637247.31999999</v>
      </c>
      <c r="H228" s="3">
        <v>7917</v>
      </c>
    </row>
    <row r="229" spans="1:8" x14ac:dyDescent="0.25">
      <c r="A229" t="s">
        <v>8</v>
      </c>
      <c r="B229" s="1">
        <v>45825</v>
      </c>
      <c r="C229">
        <v>77.52</v>
      </c>
      <c r="D229">
        <v>78.290000000000006</v>
      </c>
      <c r="E229">
        <v>77.19</v>
      </c>
      <c r="F229">
        <v>78.17</v>
      </c>
      <c r="G229" s="2">
        <v>258563592.56</v>
      </c>
      <c r="H229" s="3">
        <v>7398</v>
      </c>
    </row>
    <row r="230" spans="1:8" x14ac:dyDescent="0.25">
      <c r="A230" t="s">
        <v>8</v>
      </c>
      <c r="B230" s="1">
        <v>45826</v>
      </c>
      <c r="C230">
        <v>78.12</v>
      </c>
      <c r="D230">
        <v>79.03</v>
      </c>
      <c r="E230">
        <v>77.680000000000007</v>
      </c>
      <c r="F230">
        <v>77.86</v>
      </c>
      <c r="G230" s="2">
        <v>177207481.49000001</v>
      </c>
      <c r="H230" s="3">
        <v>5025</v>
      </c>
    </row>
    <row r="231" spans="1:8" x14ac:dyDescent="0.25">
      <c r="A231" t="s">
        <v>8</v>
      </c>
      <c r="B231" s="1">
        <v>45828</v>
      </c>
      <c r="C231">
        <v>77.86</v>
      </c>
      <c r="D231">
        <v>78.23</v>
      </c>
      <c r="E231">
        <v>77.44</v>
      </c>
      <c r="F231">
        <v>77.73</v>
      </c>
      <c r="G231" s="2">
        <v>172831307.15000001</v>
      </c>
      <c r="H231" s="3">
        <v>4940</v>
      </c>
    </row>
    <row r="232" spans="1:8" x14ac:dyDescent="0.25">
      <c r="A232" t="s">
        <v>8</v>
      </c>
      <c r="B232" s="1">
        <v>45831</v>
      </c>
      <c r="C232">
        <v>77.64</v>
      </c>
      <c r="D232">
        <v>78.52</v>
      </c>
      <c r="E232">
        <v>77.56</v>
      </c>
      <c r="F232">
        <v>78</v>
      </c>
      <c r="G232" s="2">
        <v>188103663.58000001</v>
      </c>
      <c r="H232" s="3">
        <v>5354</v>
      </c>
    </row>
    <row r="233" spans="1:8" x14ac:dyDescent="0.25">
      <c r="A233" t="s">
        <v>8</v>
      </c>
      <c r="B233" s="1">
        <v>45832</v>
      </c>
      <c r="C233">
        <v>78.08</v>
      </c>
      <c r="D233">
        <v>78.87</v>
      </c>
      <c r="E233">
        <v>77.83</v>
      </c>
      <c r="F233">
        <v>78.77</v>
      </c>
      <c r="G233" s="2">
        <v>253059637.94</v>
      </c>
      <c r="H233" s="3">
        <v>7179</v>
      </c>
    </row>
    <row r="234" spans="1:8" x14ac:dyDescent="0.25">
      <c r="A234" t="s">
        <v>8</v>
      </c>
      <c r="B234" s="1">
        <v>45833</v>
      </c>
      <c r="C234">
        <v>78.599999999999994</v>
      </c>
      <c r="D234">
        <v>79.58</v>
      </c>
      <c r="E234">
        <v>76.930000000000007</v>
      </c>
      <c r="F234">
        <v>77.03</v>
      </c>
      <c r="G234" s="2">
        <v>454232355.29000002</v>
      </c>
      <c r="H234" s="3">
        <v>12925</v>
      </c>
    </row>
    <row r="235" spans="1:8" x14ac:dyDescent="0.25">
      <c r="A235" t="s">
        <v>8</v>
      </c>
      <c r="B235" s="1">
        <v>45834</v>
      </c>
      <c r="C235">
        <v>77.08</v>
      </c>
      <c r="D235">
        <v>77.64</v>
      </c>
      <c r="E235">
        <v>76.11</v>
      </c>
      <c r="F235">
        <v>76.150000000000006</v>
      </c>
      <c r="G235" s="2">
        <v>449155304.5</v>
      </c>
      <c r="H235" s="3">
        <v>12963</v>
      </c>
    </row>
    <row r="236" spans="1:8" x14ac:dyDescent="0.25">
      <c r="A236" t="s">
        <v>8</v>
      </c>
      <c r="B236" s="1">
        <v>45835</v>
      </c>
      <c r="C236">
        <v>76.099999999999994</v>
      </c>
      <c r="D236">
        <v>76.44</v>
      </c>
      <c r="E236">
        <v>75.42</v>
      </c>
      <c r="F236">
        <v>76.13</v>
      </c>
      <c r="G236" s="2">
        <v>286510627.30000001</v>
      </c>
      <c r="H236" s="3">
        <v>8377</v>
      </c>
    </row>
    <row r="237" spans="1:8" x14ac:dyDescent="0.25">
      <c r="A237" t="s">
        <v>8</v>
      </c>
      <c r="B237" s="1">
        <v>45838</v>
      </c>
      <c r="C237">
        <v>76.19</v>
      </c>
      <c r="D237">
        <v>76.819999999999993</v>
      </c>
      <c r="E237">
        <v>75.599999999999994</v>
      </c>
      <c r="F237">
        <v>75.81</v>
      </c>
      <c r="G237" s="2">
        <v>320179065.12</v>
      </c>
      <c r="H237" s="3">
        <v>9339</v>
      </c>
    </row>
    <row r="238" spans="1:8" x14ac:dyDescent="0.25">
      <c r="A238" t="s">
        <v>8</v>
      </c>
      <c r="B238" s="1">
        <v>45839</v>
      </c>
      <c r="C238">
        <v>75.849999999999994</v>
      </c>
      <c r="D238">
        <v>75.849999999999994</v>
      </c>
      <c r="E238">
        <v>75.11</v>
      </c>
      <c r="F238">
        <v>75.33</v>
      </c>
      <c r="G238" s="2">
        <v>213271936.99000001</v>
      </c>
      <c r="H238" s="3">
        <v>6289</v>
      </c>
    </row>
    <row r="239" spans="1:8" x14ac:dyDescent="0.25">
      <c r="A239" t="s">
        <v>8</v>
      </c>
      <c r="B239" s="1">
        <v>45840</v>
      </c>
      <c r="C239">
        <v>75.33</v>
      </c>
      <c r="D239">
        <v>75.849999999999994</v>
      </c>
      <c r="E239">
        <v>74.78</v>
      </c>
      <c r="F239">
        <v>75.61</v>
      </c>
      <c r="G239" s="2">
        <v>285863946.44999999</v>
      </c>
      <c r="H239" s="3">
        <v>8429</v>
      </c>
    </row>
    <row r="240" spans="1:8" x14ac:dyDescent="0.25">
      <c r="A240" t="s">
        <v>8</v>
      </c>
      <c r="B240" s="1">
        <v>45841</v>
      </c>
      <c r="C240">
        <v>75.61</v>
      </c>
      <c r="D240">
        <v>77.069999999999993</v>
      </c>
      <c r="E240">
        <v>75.44</v>
      </c>
      <c r="F240">
        <v>76.64</v>
      </c>
      <c r="G240" s="2">
        <v>368969796.19999999</v>
      </c>
      <c r="H240" s="3">
        <v>10725</v>
      </c>
    </row>
    <row r="241" spans="1:8" x14ac:dyDescent="0.25">
      <c r="A241" t="s">
        <v>8</v>
      </c>
      <c r="B241" s="1">
        <v>45842</v>
      </c>
      <c r="C241">
        <v>76.64</v>
      </c>
      <c r="D241">
        <v>76.95</v>
      </c>
      <c r="E241">
        <v>75.86</v>
      </c>
      <c r="F241">
        <v>75.930000000000007</v>
      </c>
      <c r="G241" s="2">
        <v>198146979.36000001</v>
      </c>
      <c r="H241" s="3">
        <v>5769</v>
      </c>
    </row>
    <row r="242" spans="1:8" x14ac:dyDescent="0.25">
      <c r="A242" t="s">
        <v>8</v>
      </c>
      <c r="B242" s="1">
        <v>45845</v>
      </c>
      <c r="C242">
        <v>75.86</v>
      </c>
      <c r="D242">
        <v>76.3</v>
      </c>
      <c r="E242">
        <v>75.38</v>
      </c>
      <c r="F242">
        <v>75.849999999999994</v>
      </c>
      <c r="G242" s="2">
        <v>212524825.02000001</v>
      </c>
      <c r="H242" s="3">
        <v>6228</v>
      </c>
    </row>
    <row r="243" spans="1:8" x14ac:dyDescent="0.25">
      <c r="A243" t="s">
        <v>8</v>
      </c>
      <c r="B243" s="1">
        <v>45846</v>
      </c>
      <c r="C243">
        <v>75.67</v>
      </c>
      <c r="D243">
        <v>76.84</v>
      </c>
      <c r="E243">
        <v>75.56</v>
      </c>
      <c r="F243">
        <v>76.33</v>
      </c>
      <c r="G243" s="2">
        <v>261721084.47</v>
      </c>
      <c r="H243" s="3">
        <v>7634</v>
      </c>
    </row>
    <row r="244" spans="1:8" x14ac:dyDescent="0.25">
      <c r="A244" t="s">
        <v>8</v>
      </c>
      <c r="B244" s="1">
        <v>45847</v>
      </c>
      <c r="C244">
        <v>76.430000000000007</v>
      </c>
      <c r="D244">
        <v>78.23</v>
      </c>
      <c r="E244">
        <v>76.3</v>
      </c>
      <c r="F244">
        <v>78.03</v>
      </c>
      <c r="G244" s="2">
        <v>350243994.24000001</v>
      </c>
      <c r="H244" s="3">
        <v>10079</v>
      </c>
    </row>
    <row r="245" spans="1:8" x14ac:dyDescent="0.25">
      <c r="A245" t="s">
        <v>8</v>
      </c>
      <c r="B245" s="1">
        <v>45848</v>
      </c>
      <c r="C245">
        <v>78.13</v>
      </c>
      <c r="D245">
        <v>78.48</v>
      </c>
      <c r="E245">
        <v>76.760000000000005</v>
      </c>
      <c r="F245">
        <v>76.819999999999993</v>
      </c>
      <c r="G245" s="2">
        <v>358183998.06</v>
      </c>
      <c r="H245" s="3">
        <v>10267</v>
      </c>
    </row>
    <row r="246" spans="1:8" x14ac:dyDescent="0.25">
      <c r="A246" t="s">
        <v>8</v>
      </c>
      <c r="B246" s="1">
        <v>45849</v>
      </c>
      <c r="C246">
        <v>76.819999999999993</v>
      </c>
      <c r="D246">
        <v>78.900000000000006</v>
      </c>
      <c r="E246">
        <v>76.47</v>
      </c>
      <c r="F246">
        <v>78.17</v>
      </c>
      <c r="G246" s="2">
        <v>458192756.69</v>
      </c>
      <c r="H246" s="3">
        <v>13075</v>
      </c>
    </row>
    <row r="247" spans="1:8" x14ac:dyDescent="0.25">
      <c r="A247" t="s">
        <v>8</v>
      </c>
      <c r="B247" s="1">
        <v>45852</v>
      </c>
      <c r="C247">
        <v>78.14</v>
      </c>
      <c r="D247">
        <v>78.540000000000006</v>
      </c>
      <c r="E247">
        <v>77.19</v>
      </c>
      <c r="F247">
        <v>78.400000000000006</v>
      </c>
      <c r="G247" s="2">
        <v>410228699.67000002</v>
      </c>
      <c r="H247" s="3">
        <v>11709</v>
      </c>
    </row>
    <row r="248" spans="1:8" x14ac:dyDescent="0.25">
      <c r="A248" t="s">
        <v>8</v>
      </c>
      <c r="B248" s="1">
        <v>45853</v>
      </c>
      <c r="C248">
        <v>78.400000000000006</v>
      </c>
      <c r="D248">
        <v>78.83</v>
      </c>
      <c r="E248">
        <v>77.5</v>
      </c>
      <c r="F248">
        <v>77.56</v>
      </c>
      <c r="G248" s="2">
        <v>261097771.84999999</v>
      </c>
      <c r="H248" s="3">
        <v>7422</v>
      </c>
    </row>
    <row r="249" spans="1:8" x14ac:dyDescent="0.25">
      <c r="A249" t="s">
        <v>8</v>
      </c>
      <c r="B249" s="1">
        <v>45854</v>
      </c>
      <c r="C249">
        <v>77.44</v>
      </c>
      <c r="D249">
        <v>78.52</v>
      </c>
      <c r="E249">
        <v>77.28</v>
      </c>
      <c r="F249">
        <v>78.45</v>
      </c>
      <c r="G249" s="2">
        <v>149237017.97</v>
      </c>
      <c r="H249" s="3">
        <v>4240</v>
      </c>
    </row>
    <row r="250" spans="1:8" x14ac:dyDescent="0.25">
      <c r="A250" t="s">
        <v>8</v>
      </c>
      <c r="B250" s="1">
        <v>45855</v>
      </c>
      <c r="C250">
        <v>78.319999999999993</v>
      </c>
      <c r="D250">
        <v>79.209999999999994</v>
      </c>
      <c r="E250">
        <v>78.069999999999993</v>
      </c>
      <c r="F250">
        <v>79.03</v>
      </c>
      <c r="G250" s="2">
        <v>232046148.91999999</v>
      </c>
      <c r="H250" s="3">
        <v>6564</v>
      </c>
    </row>
    <row r="251" spans="1:8" x14ac:dyDescent="0.25">
      <c r="A251" t="s">
        <v>8</v>
      </c>
      <c r="B251" s="1">
        <v>45856</v>
      </c>
      <c r="C251">
        <v>79.03</v>
      </c>
      <c r="D251">
        <v>80.37</v>
      </c>
      <c r="E251">
        <v>78.45</v>
      </c>
      <c r="F251">
        <v>80.069999999999993</v>
      </c>
      <c r="G251" s="2">
        <v>420224585.36000001</v>
      </c>
      <c r="H251" s="3">
        <v>11703</v>
      </c>
    </row>
    <row r="252" spans="1:8" x14ac:dyDescent="0.25">
      <c r="A252" t="s">
        <v>8</v>
      </c>
      <c r="B252" s="1">
        <v>45859</v>
      </c>
      <c r="C252">
        <v>80.099999999999994</v>
      </c>
      <c r="D252">
        <v>80.680000000000007</v>
      </c>
      <c r="E252">
        <v>79.05</v>
      </c>
      <c r="F252">
        <v>79.599999999999994</v>
      </c>
      <c r="G252" s="2">
        <v>383909822.74000001</v>
      </c>
      <c r="H252" s="3">
        <v>10685</v>
      </c>
    </row>
    <row r="253" spans="1:8" x14ac:dyDescent="0.25">
      <c r="A253" t="s">
        <v>8</v>
      </c>
      <c r="B253" s="1">
        <v>45860</v>
      </c>
      <c r="C253">
        <v>79.61</v>
      </c>
      <c r="D253">
        <v>80.19</v>
      </c>
      <c r="E253">
        <v>79.09</v>
      </c>
      <c r="F253">
        <v>79.88</v>
      </c>
      <c r="G253" s="2">
        <v>188206781.09</v>
      </c>
      <c r="H253" s="3">
        <v>5246</v>
      </c>
    </row>
    <row r="254" spans="1:8" x14ac:dyDescent="0.25">
      <c r="A254" t="s">
        <v>8</v>
      </c>
      <c r="B254" s="1">
        <v>45861</v>
      </c>
      <c r="C254">
        <v>79.739999999999995</v>
      </c>
      <c r="D254">
        <v>80.489999999999995</v>
      </c>
      <c r="E254">
        <v>79.28</v>
      </c>
      <c r="F254">
        <v>79.66</v>
      </c>
      <c r="G254" s="2">
        <v>218610089.97999999</v>
      </c>
      <c r="H254" s="3">
        <v>6078</v>
      </c>
    </row>
    <row r="255" spans="1:8" x14ac:dyDescent="0.25">
      <c r="A255" t="s">
        <v>8</v>
      </c>
      <c r="B255" s="1">
        <v>45862</v>
      </c>
      <c r="C255">
        <v>79.69</v>
      </c>
      <c r="D255">
        <v>80.62</v>
      </c>
      <c r="E255">
        <v>79.28</v>
      </c>
      <c r="F255">
        <v>80.37</v>
      </c>
      <c r="G255" s="2">
        <v>197434471.09</v>
      </c>
      <c r="H255" s="3">
        <v>5487</v>
      </c>
    </row>
    <row r="256" spans="1:8" x14ac:dyDescent="0.25">
      <c r="A256" t="s">
        <v>8</v>
      </c>
      <c r="B256" s="1">
        <v>45863</v>
      </c>
      <c r="C256">
        <v>80.37</v>
      </c>
      <c r="D256">
        <v>80.680000000000007</v>
      </c>
      <c r="E256">
        <v>80</v>
      </c>
      <c r="F256">
        <v>80.31</v>
      </c>
      <c r="G256" s="2">
        <v>141099515.38</v>
      </c>
      <c r="H256" s="3">
        <v>3902</v>
      </c>
    </row>
    <row r="257" spans="1:8" x14ac:dyDescent="0.25">
      <c r="A257" t="s">
        <v>8</v>
      </c>
      <c r="B257" s="1">
        <v>45866</v>
      </c>
      <c r="C257">
        <v>80.25</v>
      </c>
      <c r="D257">
        <v>80.42</v>
      </c>
      <c r="E257">
        <v>79.45</v>
      </c>
      <c r="F257">
        <v>79.53</v>
      </c>
      <c r="G257" s="2">
        <v>246511869.06</v>
      </c>
      <c r="H257" s="3">
        <v>6868</v>
      </c>
    </row>
    <row r="258" spans="1:8" x14ac:dyDescent="0.25">
      <c r="A258" t="s">
        <v>8</v>
      </c>
      <c r="B258" s="1">
        <v>45867</v>
      </c>
      <c r="C258">
        <v>79.44</v>
      </c>
      <c r="D258">
        <v>79.88</v>
      </c>
      <c r="E258">
        <v>78.900000000000006</v>
      </c>
      <c r="F258">
        <v>79.7</v>
      </c>
      <c r="G258" s="2">
        <v>227092550.68000001</v>
      </c>
      <c r="H258" s="3">
        <v>6350</v>
      </c>
    </row>
    <row r="259" spans="1:8" x14ac:dyDescent="0.25">
      <c r="A259" t="s">
        <v>8</v>
      </c>
      <c r="B259" s="1">
        <v>45868</v>
      </c>
      <c r="C259">
        <v>79.7</v>
      </c>
      <c r="D259">
        <v>82.26</v>
      </c>
      <c r="E259">
        <v>79.53</v>
      </c>
      <c r="F259">
        <v>81.73</v>
      </c>
      <c r="G259" s="2">
        <v>503630908.25</v>
      </c>
      <c r="H259" s="3">
        <v>13856</v>
      </c>
    </row>
    <row r="260" spans="1:8" x14ac:dyDescent="0.25">
      <c r="A260" t="s">
        <v>8</v>
      </c>
      <c r="B260" s="1">
        <v>45869</v>
      </c>
      <c r="C260">
        <v>81.739999999999995</v>
      </c>
      <c r="D260">
        <v>81.96</v>
      </c>
      <c r="E260">
        <v>80.91</v>
      </c>
      <c r="F260">
        <v>81.64</v>
      </c>
      <c r="G260" s="2">
        <v>339191357.81</v>
      </c>
      <c r="H260" s="3">
        <v>9240</v>
      </c>
    </row>
    <row r="261" spans="1:8" x14ac:dyDescent="0.25">
      <c r="A261" t="s">
        <v>8</v>
      </c>
      <c r="B261" s="1">
        <v>45870</v>
      </c>
      <c r="C261">
        <v>81.81</v>
      </c>
      <c r="D261">
        <v>82.21</v>
      </c>
      <c r="E261">
        <v>81.180000000000007</v>
      </c>
      <c r="F261">
        <v>81.91</v>
      </c>
      <c r="G261" s="2">
        <v>325259281.20999998</v>
      </c>
      <c r="H261" s="3">
        <v>8845</v>
      </c>
    </row>
    <row r="262" spans="1:8" x14ac:dyDescent="0.25">
      <c r="A262" t="s">
        <v>8</v>
      </c>
      <c r="B262" s="1">
        <v>45873</v>
      </c>
      <c r="C262">
        <v>82.02</v>
      </c>
      <c r="D262">
        <v>82.45</v>
      </c>
      <c r="E262">
        <v>81.349999999999994</v>
      </c>
      <c r="F262">
        <v>81.47</v>
      </c>
      <c r="G262" s="2">
        <v>260913479.31</v>
      </c>
      <c r="H262" s="3">
        <v>7081</v>
      </c>
    </row>
    <row r="263" spans="1:8" x14ac:dyDescent="0.25">
      <c r="A263" t="s">
        <v>8</v>
      </c>
      <c r="B263" s="1">
        <v>45874</v>
      </c>
      <c r="C263">
        <v>81.47</v>
      </c>
      <c r="D263">
        <v>81.849999999999994</v>
      </c>
      <c r="E263">
        <v>80.290000000000006</v>
      </c>
      <c r="F263">
        <v>80.400000000000006</v>
      </c>
      <c r="G263" s="2">
        <v>367272342.91000003</v>
      </c>
      <c r="H263" s="3">
        <v>10075</v>
      </c>
    </row>
    <row r="264" spans="1:8" x14ac:dyDescent="0.25">
      <c r="A264" t="s">
        <v>8</v>
      </c>
      <c r="B264" s="1">
        <v>45875</v>
      </c>
      <c r="C264">
        <v>80.36</v>
      </c>
      <c r="D264">
        <v>80.849999999999994</v>
      </c>
      <c r="E264">
        <v>79.650000000000006</v>
      </c>
      <c r="F264">
        <v>80.13</v>
      </c>
      <c r="G264" s="2">
        <v>333513355.24000001</v>
      </c>
      <c r="H264" s="3">
        <v>9233</v>
      </c>
    </row>
    <row r="265" spans="1:8" x14ac:dyDescent="0.25">
      <c r="A265" t="s">
        <v>8</v>
      </c>
      <c r="B265" s="1">
        <v>45876</v>
      </c>
      <c r="C265">
        <v>79.94</v>
      </c>
      <c r="D265">
        <v>81.02</v>
      </c>
      <c r="E265">
        <v>79.760000000000005</v>
      </c>
      <c r="F265">
        <v>80.47</v>
      </c>
      <c r="G265" s="2">
        <v>266322491.18000001</v>
      </c>
      <c r="H265" s="3">
        <v>7356</v>
      </c>
    </row>
    <row r="266" spans="1:8" x14ac:dyDescent="0.25">
      <c r="A266" t="s">
        <v>8</v>
      </c>
      <c r="B266" s="1">
        <v>45877</v>
      </c>
      <c r="C266">
        <v>80.260000000000005</v>
      </c>
      <c r="D266">
        <v>80.58</v>
      </c>
      <c r="E266">
        <v>79.59</v>
      </c>
      <c r="F266">
        <v>79.75</v>
      </c>
      <c r="G266" s="2">
        <v>250507198.94999999</v>
      </c>
      <c r="H266" s="3">
        <v>6968</v>
      </c>
    </row>
    <row r="267" spans="1:8" x14ac:dyDescent="0.25">
      <c r="A267" t="s">
        <v>8</v>
      </c>
      <c r="B267" s="1">
        <v>45880</v>
      </c>
      <c r="C267">
        <v>79.78</v>
      </c>
      <c r="D267">
        <v>80.25</v>
      </c>
      <c r="E267">
        <v>79.66</v>
      </c>
      <c r="F267">
        <v>79.88</v>
      </c>
      <c r="G267" s="2">
        <v>155296360.43000001</v>
      </c>
      <c r="H267" s="3">
        <v>4318</v>
      </c>
    </row>
    <row r="268" spans="1:8" x14ac:dyDescent="0.25">
      <c r="A268" t="s">
        <v>8</v>
      </c>
      <c r="B268" s="1">
        <v>45881</v>
      </c>
      <c r="C268">
        <v>79.89</v>
      </c>
      <c r="D268">
        <v>79.930000000000007</v>
      </c>
      <c r="E268">
        <v>79.03</v>
      </c>
      <c r="F268">
        <v>79.209999999999994</v>
      </c>
      <c r="G268" s="2">
        <v>354742690.81</v>
      </c>
      <c r="H268" s="3">
        <v>9939</v>
      </c>
    </row>
    <row r="269" spans="1:8" x14ac:dyDescent="0.25">
      <c r="A269" t="s">
        <v>8</v>
      </c>
      <c r="B269" s="1">
        <v>45882</v>
      </c>
      <c r="C269">
        <v>79.2</v>
      </c>
      <c r="D269">
        <v>79.7</v>
      </c>
      <c r="E269">
        <v>79.040000000000006</v>
      </c>
      <c r="F269">
        <v>79.319999999999993</v>
      </c>
      <c r="G269" s="2">
        <v>129338774.59</v>
      </c>
      <c r="H269" s="3">
        <v>3624</v>
      </c>
    </row>
    <row r="270" spans="1:8" x14ac:dyDescent="0.25">
      <c r="A270" t="s">
        <v>8</v>
      </c>
      <c r="B270" s="1">
        <v>45883</v>
      </c>
      <c r="C270">
        <v>79.33</v>
      </c>
      <c r="D270">
        <v>79.45</v>
      </c>
      <c r="E270">
        <v>78.67</v>
      </c>
      <c r="F270">
        <v>78.95</v>
      </c>
      <c r="G270" s="2">
        <v>161250047.63</v>
      </c>
      <c r="H270" s="3">
        <v>4540</v>
      </c>
    </row>
    <row r="271" spans="1:8" x14ac:dyDescent="0.25">
      <c r="A271" t="s">
        <v>8</v>
      </c>
      <c r="B271" s="1">
        <v>45884</v>
      </c>
      <c r="C271">
        <v>78.930000000000007</v>
      </c>
      <c r="D271">
        <v>79.52</v>
      </c>
      <c r="E271">
        <v>78.67</v>
      </c>
      <c r="F271">
        <v>79.28</v>
      </c>
      <c r="G271" s="2">
        <v>158072061.03999999</v>
      </c>
      <c r="H271" s="3">
        <v>4436</v>
      </c>
    </row>
    <row r="272" spans="1:8" x14ac:dyDescent="0.25">
      <c r="A272" t="s">
        <v>8</v>
      </c>
      <c r="B272" s="1">
        <v>45887</v>
      </c>
      <c r="C272">
        <v>79.27</v>
      </c>
      <c r="D272">
        <v>80.739999999999995</v>
      </c>
      <c r="E272">
        <v>78.84</v>
      </c>
      <c r="F272">
        <v>80.62</v>
      </c>
      <c r="G272" s="2">
        <v>257243923.00999999</v>
      </c>
      <c r="H272" s="3">
        <v>7176</v>
      </c>
    </row>
    <row r="273" spans="1:8" x14ac:dyDescent="0.25">
      <c r="A273" t="s">
        <v>8</v>
      </c>
      <c r="B273" s="1">
        <v>45888</v>
      </c>
      <c r="C273">
        <v>80.62</v>
      </c>
      <c r="D273">
        <v>81.34</v>
      </c>
      <c r="E273">
        <v>79.92</v>
      </c>
      <c r="F273">
        <v>81</v>
      </c>
      <c r="G273" s="2">
        <v>311725163.75999999</v>
      </c>
      <c r="H273" s="3">
        <v>8594</v>
      </c>
    </row>
    <row r="274" spans="1:8" x14ac:dyDescent="0.25">
      <c r="A274" t="s">
        <v>8</v>
      </c>
      <c r="B274" s="1">
        <v>45889</v>
      </c>
      <c r="C274">
        <v>81</v>
      </c>
      <c r="D274">
        <v>81.23</v>
      </c>
      <c r="E274">
        <v>79.67</v>
      </c>
      <c r="F274">
        <v>79.819999999999993</v>
      </c>
      <c r="G274" s="2">
        <v>253204889.84</v>
      </c>
      <c r="H274" s="3">
        <v>6994</v>
      </c>
    </row>
    <row r="275" spans="1:8" x14ac:dyDescent="0.25">
      <c r="A275" t="s">
        <v>8</v>
      </c>
      <c r="B275" s="1">
        <v>45890</v>
      </c>
      <c r="C275">
        <v>79.88</v>
      </c>
      <c r="D275">
        <v>81.349999999999994</v>
      </c>
      <c r="E275">
        <v>79.819999999999993</v>
      </c>
      <c r="F275">
        <v>81.14</v>
      </c>
      <c r="G275" s="2">
        <v>343099110.48000002</v>
      </c>
      <c r="H275" s="3">
        <v>9443</v>
      </c>
    </row>
    <row r="276" spans="1:8" x14ac:dyDescent="0.25">
      <c r="A276" t="s">
        <v>8</v>
      </c>
      <c r="B276" s="1">
        <v>45891</v>
      </c>
      <c r="C276">
        <v>81.239999999999995</v>
      </c>
      <c r="D276">
        <v>81.34</v>
      </c>
      <c r="E276">
        <v>80.489999999999995</v>
      </c>
      <c r="F276">
        <v>80.86</v>
      </c>
      <c r="G276" s="2">
        <v>226894556.47999999</v>
      </c>
      <c r="H276" s="3">
        <v>6242</v>
      </c>
    </row>
    <row r="277" spans="1:8" x14ac:dyDescent="0.25">
      <c r="A277" t="s">
        <v>8</v>
      </c>
      <c r="B277" s="1">
        <v>45894</v>
      </c>
      <c r="C277">
        <v>80.930000000000007</v>
      </c>
      <c r="D277">
        <v>81.040000000000006</v>
      </c>
      <c r="E277">
        <v>80.31</v>
      </c>
      <c r="F277">
        <v>80.849999999999994</v>
      </c>
      <c r="G277" s="2">
        <v>114563982.69</v>
      </c>
      <c r="H277" s="3">
        <v>3155</v>
      </c>
    </row>
    <row r="278" spans="1:8" x14ac:dyDescent="0.25">
      <c r="A278" t="s">
        <v>8</v>
      </c>
      <c r="B278" s="1">
        <v>45895</v>
      </c>
      <c r="C278">
        <v>80.739999999999995</v>
      </c>
      <c r="D278">
        <v>81.260000000000005</v>
      </c>
      <c r="E278">
        <v>80.59</v>
      </c>
      <c r="F278">
        <v>80.89</v>
      </c>
      <c r="G278" s="2">
        <v>216643530.38999999</v>
      </c>
      <c r="H278" s="3">
        <v>5945</v>
      </c>
    </row>
    <row r="279" spans="1:8" x14ac:dyDescent="0.25">
      <c r="A279" t="s">
        <v>8</v>
      </c>
      <c r="B279" s="1">
        <v>45896</v>
      </c>
      <c r="C279">
        <v>80.89</v>
      </c>
      <c r="D279">
        <v>80.95</v>
      </c>
      <c r="E279">
        <v>80.37</v>
      </c>
      <c r="F279">
        <v>80.400000000000006</v>
      </c>
      <c r="G279" s="2">
        <v>212523960.75</v>
      </c>
      <c r="H279" s="3">
        <v>5861</v>
      </c>
    </row>
    <row r="280" spans="1:8" x14ac:dyDescent="0.25">
      <c r="A280" t="s">
        <v>8</v>
      </c>
      <c r="B280" s="1">
        <v>45897</v>
      </c>
      <c r="C280">
        <v>80.260000000000005</v>
      </c>
      <c r="D280">
        <v>80.489999999999995</v>
      </c>
      <c r="E280">
        <v>79.53</v>
      </c>
      <c r="F280">
        <v>79.63</v>
      </c>
      <c r="G280" s="2">
        <v>370523472.91000003</v>
      </c>
      <c r="H280" s="3">
        <v>10284</v>
      </c>
    </row>
    <row r="281" spans="1:8" x14ac:dyDescent="0.25">
      <c r="A281" t="s">
        <v>8</v>
      </c>
      <c r="B281" s="1">
        <v>45898</v>
      </c>
      <c r="C281">
        <v>79.53</v>
      </c>
      <c r="D281">
        <v>80.25</v>
      </c>
      <c r="E281">
        <v>79.28</v>
      </c>
      <c r="F281">
        <v>80.069999999999993</v>
      </c>
      <c r="G281" s="2">
        <v>270381319.92000002</v>
      </c>
      <c r="H281" s="3">
        <v>7529</v>
      </c>
    </row>
    <row r="282" spans="1:8" x14ac:dyDescent="0.25">
      <c r="A282" t="s">
        <v>8</v>
      </c>
      <c r="B282" s="1">
        <v>45901</v>
      </c>
      <c r="C282">
        <v>80.09</v>
      </c>
      <c r="D282">
        <v>80.42</v>
      </c>
      <c r="E282">
        <v>79.39</v>
      </c>
      <c r="F282">
        <v>79.48</v>
      </c>
      <c r="G282" s="2">
        <v>126915226.98</v>
      </c>
      <c r="H282" s="3">
        <v>3536</v>
      </c>
    </row>
    <row r="283" spans="1:8" x14ac:dyDescent="0.25">
      <c r="A283" t="s">
        <v>8</v>
      </c>
      <c r="B283" s="1">
        <v>45902</v>
      </c>
      <c r="C283">
        <v>79.45</v>
      </c>
      <c r="D283">
        <v>79.739999999999995</v>
      </c>
      <c r="E283">
        <v>79.33</v>
      </c>
      <c r="F283">
        <v>79.5</v>
      </c>
      <c r="G283" s="2">
        <v>181367743.24000001</v>
      </c>
      <c r="H283" s="3">
        <v>5070</v>
      </c>
    </row>
    <row r="284" spans="1:8" x14ac:dyDescent="0.25">
      <c r="A284" t="s">
        <v>8</v>
      </c>
      <c r="B284" s="1">
        <v>45903</v>
      </c>
      <c r="C284">
        <v>79.56</v>
      </c>
      <c r="D284">
        <v>80</v>
      </c>
      <c r="E284">
        <v>79.33</v>
      </c>
      <c r="F284">
        <v>79.819999999999993</v>
      </c>
      <c r="G284" s="2">
        <v>233955578.81999999</v>
      </c>
      <c r="H284" s="3">
        <v>6524</v>
      </c>
    </row>
    <row r="285" spans="1:8" x14ac:dyDescent="0.25">
      <c r="A285" t="s">
        <v>8</v>
      </c>
      <c r="B285" s="1">
        <v>45904</v>
      </c>
      <c r="C285">
        <v>79.930000000000007</v>
      </c>
      <c r="D285">
        <v>80.069999999999993</v>
      </c>
      <c r="E285">
        <v>79.53</v>
      </c>
      <c r="F285">
        <v>79.94</v>
      </c>
      <c r="G285" s="2">
        <v>141695666.88999999</v>
      </c>
      <c r="H285" s="3">
        <v>3945</v>
      </c>
    </row>
    <row r="286" spans="1:8" x14ac:dyDescent="0.25">
      <c r="A286" t="s">
        <v>8</v>
      </c>
      <c r="B286" s="1">
        <v>45905</v>
      </c>
      <c r="C286">
        <v>79.91</v>
      </c>
      <c r="D286">
        <v>80.209999999999994</v>
      </c>
      <c r="E286">
        <v>79.16</v>
      </c>
      <c r="F286">
        <v>79.260000000000005</v>
      </c>
      <c r="G286" s="2">
        <v>171461366.66999999</v>
      </c>
      <c r="H286" s="3">
        <v>4797</v>
      </c>
    </row>
    <row r="287" spans="1:8" x14ac:dyDescent="0.25">
      <c r="A287" t="s">
        <v>8</v>
      </c>
      <c r="B287" s="1">
        <v>45908</v>
      </c>
      <c r="C287">
        <v>79.17</v>
      </c>
      <c r="D287">
        <v>79.72</v>
      </c>
      <c r="E287">
        <v>79</v>
      </c>
      <c r="F287">
        <v>79.45</v>
      </c>
      <c r="G287" s="2">
        <v>135670116.08000001</v>
      </c>
      <c r="H287" s="3">
        <v>3795</v>
      </c>
    </row>
    <row r="288" spans="1:8" x14ac:dyDescent="0.25">
      <c r="A288" t="s">
        <v>8</v>
      </c>
      <c r="B288" s="1">
        <v>45909</v>
      </c>
      <c r="C288">
        <v>79.45</v>
      </c>
      <c r="D288">
        <v>79.680000000000007</v>
      </c>
      <c r="E288">
        <v>79.16</v>
      </c>
      <c r="F288">
        <v>79.430000000000007</v>
      </c>
      <c r="G288" s="2">
        <v>133628134.06</v>
      </c>
      <c r="H288" s="3">
        <v>3743</v>
      </c>
    </row>
    <row r="289" spans="1:8" x14ac:dyDescent="0.25">
      <c r="A289" t="s">
        <v>8</v>
      </c>
      <c r="B289" s="1">
        <v>45910</v>
      </c>
      <c r="C289">
        <v>79.349999999999994</v>
      </c>
      <c r="D289">
        <v>79.84</v>
      </c>
      <c r="E289">
        <v>79.16</v>
      </c>
      <c r="F289">
        <v>79.23</v>
      </c>
      <c r="G289" s="2">
        <v>188851456.22999999</v>
      </c>
      <c r="H289" s="3">
        <v>5282</v>
      </c>
    </row>
    <row r="290" spans="1:8" x14ac:dyDescent="0.25">
      <c r="A290" t="s">
        <v>8</v>
      </c>
      <c r="B290" s="1">
        <v>45911</v>
      </c>
      <c r="C290">
        <v>79.36</v>
      </c>
      <c r="D290">
        <v>79.36</v>
      </c>
      <c r="E290">
        <v>78.73</v>
      </c>
      <c r="F290">
        <v>79.06</v>
      </c>
      <c r="G290" s="2">
        <v>207406452.84</v>
      </c>
      <c r="H290" s="3">
        <v>5835</v>
      </c>
    </row>
    <row r="291" spans="1:8" x14ac:dyDescent="0.25">
      <c r="A291" t="s">
        <v>8</v>
      </c>
      <c r="B291" s="1">
        <v>45912</v>
      </c>
      <c r="C291">
        <v>79.13</v>
      </c>
      <c r="D291">
        <v>79.510000000000005</v>
      </c>
      <c r="E291">
        <v>78.64</v>
      </c>
      <c r="F291">
        <v>79.400000000000006</v>
      </c>
      <c r="G291" s="2">
        <v>246255571.30000001</v>
      </c>
      <c r="H291" s="3">
        <v>6916</v>
      </c>
    </row>
    <row r="292" spans="1:8" x14ac:dyDescent="0.25">
      <c r="A292" t="s">
        <v>8</v>
      </c>
      <c r="B292" s="1">
        <v>45915</v>
      </c>
      <c r="C292">
        <v>79.400000000000006</v>
      </c>
      <c r="D292">
        <v>79.63</v>
      </c>
      <c r="E292">
        <v>78.290000000000006</v>
      </c>
      <c r="F292">
        <v>78.42</v>
      </c>
      <c r="G292" s="2">
        <v>302077330.38</v>
      </c>
      <c r="H292" s="3">
        <v>8535</v>
      </c>
    </row>
    <row r="293" spans="1:8" x14ac:dyDescent="0.25">
      <c r="A293" t="s">
        <v>8</v>
      </c>
      <c r="B293" s="1">
        <v>45916</v>
      </c>
      <c r="C293">
        <v>78.42</v>
      </c>
      <c r="D293">
        <v>78.77</v>
      </c>
      <c r="E293">
        <v>78</v>
      </c>
      <c r="F293">
        <v>78.55</v>
      </c>
      <c r="G293" s="2">
        <v>315758392.49000001</v>
      </c>
      <c r="H293" s="3">
        <v>8958</v>
      </c>
    </row>
    <row r="294" spans="1:8" x14ac:dyDescent="0.25">
      <c r="A294" t="s">
        <v>8</v>
      </c>
      <c r="B294" s="1">
        <v>45917</v>
      </c>
      <c r="C294">
        <v>78.58</v>
      </c>
      <c r="D294">
        <v>78.8</v>
      </c>
      <c r="E294">
        <v>78.069999999999993</v>
      </c>
      <c r="F294">
        <v>78.290000000000006</v>
      </c>
      <c r="G294" s="2">
        <v>148767247.34999999</v>
      </c>
      <c r="H294" s="3">
        <v>4226</v>
      </c>
    </row>
    <row r="295" spans="1:8" x14ac:dyDescent="0.25">
      <c r="A295" t="s">
        <v>8</v>
      </c>
      <c r="B295" s="1">
        <v>45918</v>
      </c>
      <c r="C295">
        <v>78.28</v>
      </c>
      <c r="D295">
        <v>78.52</v>
      </c>
      <c r="E295">
        <v>78</v>
      </c>
      <c r="F295">
        <v>78.290000000000006</v>
      </c>
      <c r="G295" s="2">
        <v>102568167.09999999</v>
      </c>
      <c r="H295" s="3">
        <v>2918</v>
      </c>
    </row>
    <row r="296" spans="1:8" x14ac:dyDescent="0.25">
      <c r="A296" t="s">
        <v>8</v>
      </c>
      <c r="B296" s="1">
        <v>45919</v>
      </c>
      <c r="C296">
        <v>78.42</v>
      </c>
      <c r="D296">
        <v>78.81</v>
      </c>
      <c r="E296">
        <v>78.27</v>
      </c>
      <c r="F296">
        <v>78.41</v>
      </c>
      <c r="G296" s="2">
        <v>161175856.34</v>
      </c>
      <c r="H296" s="3">
        <v>4559</v>
      </c>
    </row>
    <row r="297" spans="1:8" x14ac:dyDescent="0.25">
      <c r="A297" t="s">
        <v>8</v>
      </c>
      <c r="B297" s="1">
        <v>45922</v>
      </c>
      <c r="C297">
        <v>78.41</v>
      </c>
      <c r="D297">
        <v>78.41</v>
      </c>
      <c r="E297">
        <v>77</v>
      </c>
      <c r="F297">
        <v>77.489999999999995</v>
      </c>
      <c r="G297" s="2">
        <v>307789295.52999997</v>
      </c>
      <c r="H297" s="3">
        <v>8791</v>
      </c>
    </row>
    <row r="298" spans="1:8" x14ac:dyDescent="0.25">
      <c r="A298" t="s">
        <v>8</v>
      </c>
      <c r="B298" s="1">
        <v>45923</v>
      </c>
      <c r="C298">
        <v>77.53</v>
      </c>
      <c r="D298">
        <v>77.63</v>
      </c>
      <c r="E298">
        <v>76.900000000000006</v>
      </c>
      <c r="F298">
        <v>77.3</v>
      </c>
      <c r="G298" s="2">
        <v>262335069.72999999</v>
      </c>
      <c r="H298" s="3">
        <v>7555</v>
      </c>
    </row>
    <row r="299" spans="1:8" x14ac:dyDescent="0.25">
      <c r="A299" t="s">
        <v>8</v>
      </c>
      <c r="B299" s="1">
        <v>45924</v>
      </c>
      <c r="C299">
        <v>77.14</v>
      </c>
      <c r="D299">
        <v>77.3</v>
      </c>
      <c r="E299">
        <v>76.61</v>
      </c>
      <c r="F299">
        <v>77.040000000000006</v>
      </c>
      <c r="G299" s="2">
        <v>258487399.03</v>
      </c>
      <c r="H299" s="3">
        <v>7472</v>
      </c>
    </row>
    <row r="300" spans="1:8" x14ac:dyDescent="0.25">
      <c r="A300" t="s">
        <v>8</v>
      </c>
      <c r="B300" s="1">
        <v>45925</v>
      </c>
      <c r="C300">
        <v>76.959999999999994</v>
      </c>
      <c r="D300">
        <v>77.53</v>
      </c>
      <c r="E300">
        <v>76.739999999999995</v>
      </c>
      <c r="F300">
        <v>77.37</v>
      </c>
      <c r="G300" s="2">
        <v>155144752.41999999</v>
      </c>
      <c r="H300" s="3">
        <v>4465</v>
      </c>
    </row>
    <row r="301" spans="1:8" x14ac:dyDescent="0.25">
      <c r="A301" t="s">
        <v>8</v>
      </c>
      <c r="B301" s="1">
        <v>45926</v>
      </c>
      <c r="C301">
        <v>77.44</v>
      </c>
      <c r="D301">
        <v>77.59</v>
      </c>
      <c r="E301">
        <v>76.95</v>
      </c>
      <c r="F301">
        <v>77.069999999999993</v>
      </c>
      <c r="G301" s="2">
        <v>64793372.630000003</v>
      </c>
      <c r="H301" s="3">
        <v>1866</v>
      </c>
    </row>
    <row r="302" spans="1:8" x14ac:dyDescent="0.25">
      <c r="A302" t="s">
        <v>8</v>
      </c>
      <c r="B302" s="1">
        <v>45929</v>
      </c>
      <c r="C302">
        <v>77.09</v>
      </c>
      <c r="D302">
        <v>77.09</v>
      </c>
      <c r="E302">
        <v>76.73</v>
      </c>
      <c r="F302">
        <v>76.959999999999994</v>
      </c>
      <c r="G302" s="2">
        <v>65757253.520000003</v>
      </c>
      <c r="H302" s="3">
        <v>1899</v>
      </c>
    </row>
    <row r="303" spans="1:8" x14ac:dyDescent="0.25">
      <c r="A303" t="s">
        <v>8</v>
      </c>
      <c r="B303" s="1">
        <v>45930</v>
      </c>
      <c r="C303">
        <v>76.959999999999994</v>
      </c>
      <c r="D303">
        <v>77.040000000000006</v>
      </c>
      <c r="E303">
        <v>75.900000000000006</v>
      </c>
      <c r="F303">
        <v>76</v>
      </c>
      <c r="G303" s="2">
        <v>319121149.75</v>
      </c>
      <c r="H303" s="3">
        <v>9274</v>
      </c>
    </row>
    <row r="304" spans="1:8" x14ac:dyDescent="0.25">
      <c r="A304" t="s">
        <v>8</v>
      </c>
      <c r="B304" s="1">
        <v>45931</v>
      </c>
      <c r="C304">
        <v>76.08</v>
      </c>
      <c r="D304">
        <v>76.37</v>
      </c>
      <c r="E304">
        <v>75.81</v>
      </c>
      <c r="F304">
        <v>76.319999999999993</v>
      </c>
      <c r="G304" s="2">
        <v>195057298.30000001</v>
      </c>
      <c r="H304" s="3">
        <v>5700</v>
      </c>
    </row>
    <row r="305" spans="1:8" x14ac:dyDescent="0.25">
      <c r="A305" t="s">
        <v>8</v>
      </c>
      <c r="B305" s="1">
        <v>45932</v>
      </c>
      <c r="C305">
        <v>76.42</v>
      </c>
      <c r="D305">
        <v>76.58</v>
      </c>
      <c r="E305">
        <v>76.09</v>
      </c>
      <c r="F305">
        <v>76.459999999999994</v>
      </c>
      <c r="G305" s="2">
        <v>120164532.03</v>
      </c>
      <c r="H305" s="3">
        <v>3497</v>
      </c>
    </row>
    <row r="306" spans="1:8" x14ac:dyDescent="0.25">
      <c r="A306" t="s">
        <v>8</v>
      </c>
      <c r="B306" s="1">
        <v>45933</v>
      </c>
      <c r="C306">
        <v>76.540000000000006</v>
      </c>
      <c r="D306">
        <v>76.89</v>
      </c>
      <c r="E306">
        <v>76.5</v>
      </c>
      <c r="F306">
        <v>76.83</v>
      </c>
      <c r="G306" s="2">
        <v>142919876.5</v>
      </c>
      <c r="H306" s="3">
        <v>4139</v>
      </c>
    </row>
    <row r="307" spans="1:8" x14ac:dyDescent="0.25">
      <c r="A307" t="s">
        <v>8</v>
      </c>
      <c r="B307" s="1">
        <v>45936</v>
      </c>
      <c r="C307">
        <v>76.83</v>
      </c>
      <c r="D307">
        <v>77.599999999999994</v>
      </c>
      <c r="E307">
        <v>76.72</v>
      </c>
      <c r="F307">
        <v>77.28</v>
      </c>
      <c r="G307" s="2">
        <v>233598006.94</v>
      </c>
      <c r="H307" s="3">
        <v>6727</v>
      </c>
    </row>
    <row r="308" spans="1:8" x14ac:dyDescent="0.25">
      <c r="A308" t="s">
        <v>8</v>
      </c>
      <c r="B308" s="1">
        <v>45937</v>
      </c>
      <c r="C308">
        <v>77.349999999999994</v>
      </c>
      <c r="D308">
        <v>77.510000000000005</v>
      </c>
      <c r="E308">
        <v>77.069999999999993</v>
      </c>
      <c r="F308">
        <v>77.239999999999995</v>
      </c>
      <c r="G308" s="2">
        <v>140491610.80000001</v>
      </c>
      <c r="H308" s="3">
        <v>4039</v>
      </c>
    </row>
    <row r="309" spans="1:8" x14ac:dyDescent="0.25">
      <c r="A309" t="s">
        <v>8</v>
      </c>
      <c r="B309" s="1">
        <v>45938</v>
      </c>
      <c r="C309">
        <v>77.27</v>
      </c>
      <c r="D309">
        <v>77.88</v>
      </c>
      <c r="E309">
        <v>77.16</v>
      </c>
      <c r="F309">
        <v>77.53</v>
      </c>
      <c r="G309" s="2">
        <v>131518525.16</v>
      </c>
      <c r="H309" s="3">
        <v>3768</v>
      </c>
    </row>
    <row r="310" spans="1:8" x14ac:dyDescent="0.25">
      <c r="A310" t="s">
        <v>8</v>
      </c>
      <c r="B310" s="1">
        <v>45939</v>
      </c>
      <c r="C310">
        <v>77.56</v>
      </c>
      <c r="D310">
        <v>78.349999999999994</v>
      </c>
      <c r="E310">
        <v>77.53</v>
      </c>
      <c r="F310">
        <v>78.31</v>
      </c>
      <c r="G310" s="2">
        <v>263059404.02000001</v>
      </c>
      <c r="H310" s="3">
        <v>7486</v>
      </c>
    </row>
    <row r="311" spans="1:8" x14ac:dyDescent="0.25">
      <c r="A311" t="s">
        <v>8</v>
      </c>
      <c r="B311" s="1">
        <v>45940</v>
      </c>
      <c r="C311">
        <v>78.28</v>
      </c>
      <c r="D311">
        <v>79.13</v>
      </c>
      <c r="E311">
        <v>78.06</v>
      </c>
      <c r="F311">
        <v>79.02</v>
      </c>
      <c r="G311" s="2">
        <v>304349397.82999998</v>
      </c>
      <c r="H311" s="3">
        <v>8593</v>
      </c>
    </row>
    <row r="312" spans="1:8" x14ac:dyDescent="0.25">
      <c r="A312" t="s">
        <v>8</v>
      </c>
      <c r="B312" s="1">
        <v>45943</v>
      </c>
      <c r="C312">
        <v>78.989999999999995</v>
      </c>
      <c r="D312">
        <v>79.13</v>
      </c>
      <c r="E312">
        <v>78.23</v>
      </c>
      <c r="F312">
        <v>78.23</v>
      </c>
      <c r="G312" s="2">
        <v>183529436.65000001</v>
      </c>
      <c r="H312" s="3">
        <v>5195</v>
      </c>
    </row>
    <row r="313" spans="1:8" x14ac:dyDescent="0.25">
      <c r="A313" t="s">
        <v>8</v>
      </c>
      <c r="B313" s="1">
        <v>45944</v>
      </c>
      <c r="C313">
        <v>78.290000000000006</v>
      </c>
      <c r="D313">
        <v>79.05</v>
      </c>
      <c r="E313">
        <v>77.88</v>
      </c>
      <c r="F313">
        <v>78.989999999999995</v>
      </c>
      <c r="G313" s="2">
        <v>288274467.58999997</v>
      </c>
      <c r="H313" s="3">
        <v>8168</v>
      </c>
    </row>
    <row r="314" spans="1:8" x14ac:dyDescent="0.25">
      <c r="A314" t="s">
        <v>8</v>
      </c>
      <c r="B314" s="1">
        <v>45945</v>
      </c>
      <c r="C314">
        <v>78.97</v>
      </c>
      <c r="D314">
        <v>78.989999999999995</v>
      </c>
      <c r="E314">
        <v>78.23</v>
      </c>
      <c r="F314">
        <v>78.64</v>
      </c>
      <c r="G314" s="2">
        <v>223933088.15000001</v>
      </c>
      <c r="H314" s="3">
        <v>6331</v>
      </c>
    </row>
    <row r="315" spans="1:8" x14ac:dyDescent="0.25">
      <c r="A315" t="s">
        <v>8</v>
      </c>
      <c r="B315" s="1">
        <v>45946</v>
      </c>
      <c r="C315">
        <v>78.790000000000006</v>
      </c>
      <c r="D315">
        <v>79.36</v>
      </c>
      <c r="E315">
        <v>78.34</v>
      </c>
      <c r="F315">
        <v>79.069999999999993</v>
      </c>
      <c r="G315" s="2">
        <v>191332245.53999999</v>
      </c>
      <c r="H315" s="3">
        <v>5388</v>
      </c>
    </row>
    <row r="316" spans="1:8" x14ac:dyDescent="0.25">
      <c r="A316" t="s">
        <v>8</v>
      </c>
      <c r="B316" s="1">
        <v>45947</v>
      </c>
      <c r="C316">
        <v>79.069999999999993</v>
      </c>
      <c r="D316">
        <v>79.98</v>
      </c>
      <c r="E316">
        <v>79</v>
      </c>
      <c r="F316">
        <v>79.709999999999994</v>
      </c>
      <c r="G316" s="2">
        <v>224071050.34999999</v>
      </c>
      <c r="H316" s="3">
        <v>6252</v>
      </c>
    </row>
    <row r="317" spans="1:8" x14ac:dyDescent="0.25">
      <c r="A317" t="s">
        <v>8</v>
      </c>
      <c r="B317" s="1">
        <v>45950</v>
      </c>
      <c r="C317">
        <v>79.63</v>
      </c>
      <c r="D317">
        <v>80.33</v>
      </c>
      <c r="E317">
        <v>79.62</v>
      </c>
      <c r="F317">
        <v>80.319999999999993</v>
      </c>
      <c r="G317" s="2">
        <v>206517952.16999999</v>
      </c>
      <c r="H317" s="3">
        <v>5723</v>
      </c>
    </row>
    <row r="318" spans="1:8" x14ac:dyDescent="0.25">
      <c r="A318" t="s">
        <v>8</v>
      </c>
      <c r="B318" s="1">
        <v>45951</v>
      </c>
      <c r="C318">
        <v>80.28</v>
      </c>
      <c r="D318">
        <v>80.3</v>
      </c>
      <c r="E318">
        <v>79.540000000000006</v>
      </c>
      <c r="F318">
        <v>79.73</v>
      </c>
      <c r="G318" s="2">
        <v>153616355.46000001</v>
      </c>
      <c r="H318" s="3">
        <v>4278</v>
      </c>
    </row>
    <row r="319" spans="1:8" x14ac:dyDescent="0.25">
      <c r="A319" t="s">
        <v>8</v>
      </c>
      <c r="B319" s="1">
        <v>45952</v>
      </c>
      <c r="C319">
        <v>79.75</v>
      </c>
      <c r="D319">
        <v>80.27</v>
      </c>
      <c r="E319">
        <v>79.61</v>
      </c>
      <c r="F319">
        <v>79.849999999999994</v>
      </c>
      <c r="G319" s="2">
        <v>160576539.31999999</v>
      </c>
      <c r="H319" s="3">
        <v>4465</v>
      </c>
    </row>
    <row r="320" spans="1:8" x14ac:dyDescent="0.25">
      <c r="A320" t="s">
        <v>8</v>
      </c>
      <c r="B320" s="1">
        <v>45953</v>
      </c>
      <c r="C320">
        <v>79.849999999999994</v>
      </c>
      <c r="D320">
        <v>79.849999999999994</v>
      </c>
      <c r="E320">
        <v>78.19</v>
      </c>
      <c r="F320">
        <v>78.23</v>
      </c>
      <c r="G320" s="2">
        <v>397859239.76999998</v>
      </c>
      <c r="H320" s="3">
        <v>11209</v>
      </c>
    </row>
    <row r="321" spans="1:8" x14ac:dyDescent="0.25">
      <c r="A321" t="s">
        <v>8</v>
      </c>
      <c r="B321" s="1">
        <v>45954</v>
      </c>
      <c r="C321">
        <v>78.239999999999995</v>
      </c>
      <c r="D321">
        <v>78.66</v>
      </c>
      <c r="E321">
        <v>77.89</v>
      </c>
      <c r="F321">
        <v>78.23</v>
      </c>
      <c r="G321" s="2">
        <v>178459426.61000001</v>
      </c>
      <c r="H321" s="3">
        <v>5076</v>
      </c>
    </row>
    <row r="322" spans="1:8" x14ac:dyDescent="0.25">
      <c r="A322" t="s">
        <v>8</v>
      </c>
      <c r="B322" s="1">
        <v>45957</v>
      </c>
      <c r="C322">
        <v>78.12</v>
      </c>
      <c r="D322">
        <v>79.150000000000006</v>
      </c>
      <c r="E322">
        <v>78.12</v>
      </c>
      <c r="F322">
        <v>79.05</v>
      </c>
      <c r="G322" s="2">
        <v>203876862.68000001</v>
      </c>
      <c r="H322" s="3">
        <v>5745</v>
      </c>
    </row>
    <row r="323" spans="1:8" x14ac:dyDescent="0.25">
      <c r="A323" t="s">
        <v>8</v>
      </c>
      <c r="B323" s="1">
        <v>45958</v>
      </c>
      <c r="C323">
        <v>79.040000000000006</v>
      </c>
      <c r="D323">
        <v>79.08</v>
      </c>
      <c r="E323">
        <v>78.459999999999994</v>
      </c>
      <c r="F323">
        <v>78.63</v>
      </c>
      <c r="G323" s="2">
        <v>141095365.03</v>
      </c>
      <c r="H323" s="3">
        <v>3980</v>
      </c>
    </row>
    <row r="324" spans="1:8" x14ac:dyDescent="0.25">
      <c r="A324" t="s">
        <v>8</v>
      </c>
      <c r="B324" s="1">
        <v>45959</v>
      </c>
      <c r="C324">
        <v>78.599999999999994</v>
      </c>
      <c r="D324">
        <v>79.709999999999994</v>
      </c>
      <c r="E324">
        <v>78.239999999999995</v>
      </c>
      <c r="F324">
        <v>79.709999999999994</v>
      </c>
      <c r="G324" s="2">
        <v>253256695.91</v>
      </c>
      <c r="H324" s="3">
        <v>7111</v>
      </c>
    </row>
    <row r="325" spans="1:8" x14ac:dyDescent="0.25">
      <c r="A325" t="s">
        <v>8</v>
      </c>
      <c r="B325" s="1">
        <v>45960</v>
      </c>
      <c r="C325">
        <v>79.73</v>
      </c>
      <c r="D325">
        <v>80.05</v>
      </c>
      <c r="E325">
        <v>78.44</v>
      </c>
      <c r="F325">
        <v>78.77</v>
      </c>
      <c r="G325" s="2">
        <v>273417051.80000001</v>
      </c>
      <c r="H325" s="3">
        <v>7662</v>
      </c>
    </row>
    <row r="326" spans="1:8" x14ac:dyDescent="0.25">
      <c r="A326" t="s">
        <v>8</v>
      </c>
      <c r="B326" s="1">
        <v>45961</v>
      </c>
      <c r="C326">
        <v>78.7</v>
      </c>
      <c r="D326">
        <v>79.33</v>
      </c>
      <c r="E326">
        <v>78.5</v>
      </c>
      <c r="F326">
        <v>79.209999999999994</v>
      </c>
      <c r="G326" s="2">
        <v>127884610.75</v>
      </c>
      <c r="H326" s="3">
        <v>3595</v>
      </c>
    </row>
    <row r="327" spans="1:8" x14ac:dyDescent="0.25">
      <c r="A327" t="s">
        <v>8</v>
      </c>
      <c r="B327" s="1">
        <v>45964</v>
      </c>
      <c r="C327">
        <v>79.19</v>
      </c>
      <c r="D327">
        <v>79.75</v>
      </c>
      <c r="E327">
        <v>78.650000000000006</v>
      </c>
      <c r="F327">
        <v>79.64</v>
      </c>
      <c r="G327" s="2">
        <v>169715027.66999999</v>
      </c>
      <c r="H327" s="3">
        <v>4765</v>
      </c>
    </row>
    <row r="328" spans="1:8" x14ac:dyDescent="0.25">
      <c r="A328" t="s">
        <v>8</v>
      </c>
      <c r="B328" s="1">
        <v>45965</v>
      </c>
      <c r="C328">
        <v>79.64</v>
      </c>
      <c r="D328">
        <v>79.930000000000007</v>
      </c>
      <c r="E328">
        <v>79.12</v>
      </c>
      <c r="F328">
        <v>79.31</v>
      </c>
      <c r="G328" s="2">
        <v>169688650.62</v>
      </c>
      <c r="H328" s="3">
        <v>4755</v>
      </c>
    </row>
    <row r="329" spans="1:8" x14ac:dyDescent="0.25">
      <c r="A329" t="s">
        <v>8</v>
      </c>
      <c r="B329" s="1">
        <v>45966</v>
      </c>
      <c r="C329">
        <v>79.38</v>
      </c>
      <c r="D329">
        <v>79.92</v>
      </c>
      <c r="E329">
        <v>79.28</v>
      </c>
      <c r="F329">
        <v>79.680000000000007</v>
      </c>
      <c r="G329" s="2">
        <v>168157980.03999999</v>
      </c>
      <c r="H329" s="3">
        <v>4694</v>
      </c>
    </row>
    <row r="330" spans="1:8" x14ac:dyDescent="0.25">
      <c r="A330" t="s">
        <v>8</v>
      </c>
      <c r="B330" s="1">
        <v>45967</v>
      </c>
      <c r="C330">
        <v>79.680000000000007</v>
      </c>
      <c r="D330">
        <v>79.680000000000007</v>
      </c>
      <c r="E330">
        <v>79.099999999999994</v>
      </c>
      <c r="F330">
        <v>79.400000000000006</v>
      </c>
      <c r="G330" s="2">
        <v>217186959.16999999</v>
      </c>
      <c r="H330" s="3">
        <v>6082</v>
      </c>
    </row>
    <row r="331" spans="1:8" x14ac:dyDescent="0.25">
      <c r="A331" t="s">
        <v>8</v>
      </c>
      <c r="B331" s="1">
        <v>45968</v>
      </c>
      <c r="C331">
        <v>79.400000000000006</v>
      </c>
      <c r="D331">
        <v>79.430000000000007</v>
      </c>
      <c r="E331">
        <v>78.790000000000006</v>
      </c>
      <c r="F331">
        <v>78.84</v>
      </c>
      <c r="G331" s="2">
        <v>108105236.94</v>
      </c>
      <c r="H331" s="3">
        <v>3042</v>
      </c>
    </row>
    <row r="332" spans="1:8" x14ac:dyDescent="0.25">
      <c r="A332" t="s">
        <v>8</v>
      </c>
      <c r="B332" s="1">
        <v>45971</v>
      </c>
      <c r="C332">
        <v>78.87</v>
      </c>
      <c r="D332">
        <v>79.16</v>
      </c>
      <c r="E332">
        <v>78.650000000000006</v>
      </c>
      <c r="F332">
        <v>78.930000000000007</v>
      </c>
      <c r="G332" s="2">
        <v>64291632.369999997</v>
      </c>
      <c r="H332" s="3">
        <v>1810</v>
      </c>
    </row>
    <row r="333" spans="1:8" x14ac:dyDescent="0.25">
      <c r="A333" t="s">
        <v>8</v>
      </c>
      <c r="B333" s="1">
        <v>45972</v>
      </c>
      <c r="C333">
        <v>79.06</v>
      </c>
      <c r="D333">
        <v>79.12</v>
      </c>
      <c r="E333">
        <v>78.81</v>
      </c>
      <c r="F333">
        <v>78.900000000000006</v>
      </c>
      <c r="G333" s="2">
        <v>85241125.760000005</v>
      </c>
      <c r="H333" s="3">
        <v>2399</v>
      </c>
    </row>
    <row r="334" spans="1:8" x14ac:dyDescent="0.25">
      <c r="A334" t="s">
        <v>8</v>
      </c>
      <c r="B334" s="1">
        <v>45973</v>
      </c>
      <c r="C334">
        <v>78.84</v>
      </c>
      <c r="D334">
        <v>79.290000000000006</v>
      </c>
      <c r="E334">
        <v>78.45</v>
      </c>
      <c r="F334">
        <v>79.23</v>
      </c>
      <c r="G334" s="2">
        <v>190971006.36000001</v>
      </c>
      <c r="H334" s="3">
        <v>5380</v>
      </c>
    </row>
    <row r="335" spans="1:8" x14ac:dyDescent="0.25">
      <c r="A335" t="s">
        <v>8</v>
      </c>
      <c r="B335" s="1">
        <v>45974</v>
      </c>
      <c r="C335">
        <v>79.23</v>
      </c>
      <c r="D335">
        <v>79.739999999999995</v>
      </c>
      <c r="E335">
        <v>78.94</v>
      </c>
      <c r="F335">
        <v>79.510000000000005</v>
      </c>
      <c r="G335" s="2">
        <v>160432670.41999999</v>
      </c>
      <c r="H335" s="3">
        <v>4489</v>
      </c>
    </row>
    <row r="336" spans="1:8" x14ac:dyDescent="0.25">
      <c r="A336" t="s">
        <v>8</v>
      </c>
      <c r="B336" s="1">
        <v>45975</v>
      </c>
      <c r="C336">
        <v>79.48</v>
      </c>
      <c r="D336">
        <v>79.94</v>
      </c>
      <c r="E336">
        <v>78.84</v>
      </c>
      <c r="F336">
        <v>79.459999999999994</v>
      </c>
      <c r="G336" s="2">
        <v>174005773.16</v>
      </c>
      <c r="H336" s="3">
        <v>4875</v>
      </c>
    </row>
    <row r="337" spans="1:8" x14ac:dyDescent="0.25">
      <c r="A337" t="s">
        <v>8</v>
      </c>
      <c r="B337" s="1">
        <v>45978</v>
      </c>
      <c r="C337">
        <v>79.239999999999995</v>
      </c>
      <c r="D337">
        <v>80.28</v>
      </c>
      <c r="E337">
        <v>79.180000000000007</v>
      </c>
      <c r="F337">
        <v>80.040000000000006</v>
      </c>
      <c r="G337" s="2">
        <v>182696413.28</v>
      </c>
      <c r="H337" s="3">
        <v>5085</v>
      </c>
    </row>
    <row r="338" spans="1:8" x14ac:dyDescent="0.25">
      <c r="A338" t="s">
        <v>8</v>
      </c>
      <c r="B338" s="1">
        <v>45979</v>
      </c>
      <c r="C338">
        <v>80.05</v>
      </c>
      <c r="D338">
        <v>80.3</v>
      </c>
      <c r="E338">
        <v>79.72</v>
      </c>
      <c r="F338">
        <v>79.849999999999994</v>
      </c>
      <c r="G338" s="2">
        <v>104763113.43000001</v>
      </c>
      <c r="H338" s="3">
        <v>2911</v>
      </c>
    </row>
    <row r="339" spans="1:8" x14ac:dyDescent="0.25">
      <c r="A339" t="s">
        <v>8</v>
      </c>
      <c r="B339" s="1">
        <v>45980</v>
      </c>
      <c r="C339">
        <v>79.86</v>
      </c>
      <c r="D339">
        <v>80.069999999999993</v>
      </c>
      <c r="E339">
        <v>79.31</v>
      </c>
      <c r="F339">
        <v>79.400000000000006</v>
      </c>
      <c r="G339" s="2">
        <v>215585955.75999999</v>
      </c>
      <c r="H339" s="3">
        <v>6017</v>
      </c>
    </row>
    <row r="340" spans="1:8" x14ac:dyDescent="0.25">
      <c r="A340" t="s">
        <v>8</v>
      </c>
      <c r="B340" s="1">
        <v>45982</v>
      </c>
      <c r="C340">
        <v>79.430000000000007</v>
      </c>
      <c r="D340">
        <v>79.739999999999995</v>
      </c>
      <c r="E340">
        <v>78.91</v>
      </c>
      <c r="F340">
        <v>79.739999999999995</v>
      </c>
      <c r="G340" s="2">
        <v>137314407.91999999</v>
      </c>
      <c r="H340" s="3">
        <v>3849</v>
      </c>
    </row>
    <row r="341" spans="1:8" x14ac:dyDescent="0.25">
      <c r="A341" t="s">
        <v>8</v>
      </c>
      <c r="B341" s="1">
        <v>45985</v>
      </c>
      <c r="C341">
        <v>79.72</v>
      </c>
      <c r="D341">
        <v>80.09</v>
      </c>
      <c r="E341">
        <v>79.62</v>
      </c>
      <c r="F341">
        <v>79.75</v>
      </c>
      <c r="G341" s="2">
        <v>113325207.22</v>
      </c>
      <c r="H341" s="3">
        <v>3155</v>
      </c>
    </row>
    <row r="342" spans="1:8" x14ac:dyDescent="0.25">
      <c r="A342" t="s">
        <v>8</v>
      </c>
      <c r="B342" s="1">
        <v>45986</v>
      </c>
      <c r="C342">
        <v>79.89</v>
      </c>
      <c r="D342">
        <v>80.63</v>
      </c>
      <c r="E342">
        <v>79.66</v>
      </c>
      <c r="F342">
        <v>80.59</v>
      </c>
      <c r="G342" s="2">
        <v>215556081.88999999</v>
      </c>
      <c r="H342" s="3">
        <v>5977</v>
      </c>
    </row>
    <row r="343" spans="1:8" x14ac:dyDescent="0.25">
      <c r="A343" t="s">
        <v>8</v>
      </c>
      <c r="B343" s="1">
        <v>45987</v>
      </c>
      <c r="C343">
        <v>80.53</v>
      </c>
      <c r="D343">
        <v>82.06</v>
      </c>
      <c r="E343">
        <v>80.52</v>
      </c>
      <c r="F343">
        <v>82.06</v>
      </c>
      <c r="G343" s="2">
        <v>238285490.22999999</v>
      </c>
      <c r="H343" s="3">
        <v>6524</v>
      </c>
    </row>
    <row r="344" spans="1:8" x14ac:dyDescent="0.25">
      <c r="A344" t="s">
        <v>8</v>
      </c>
      <c r="B344" s="1">
        <v>45988</v>
      </c>
      <c r="C344">
        <v>81.86</v>
      </c>
      <c r="D344">
        <v>82.76</v>
      </c>
      <c r="E344">
        <v>81.430000000000007</v>
      </c>
      <c r="F344">
        <v>82.3</v>
      </c>
      <c r="G344" s="2">
        <v>180818451.56</v>
      </c>
      <c r="H344" s="3">
        <v>4886</v>
      </c>
    </row>
    <row r="345" spans="1:8" x14ac:dyDescent="0.25">
      <c r="A345" t="s">
        <v>8</v>
      </c>
      <c r="B345" s="1">
        <v>45989</v>
      </c>
      <c r="C345">
        <v>82.3</v>
      </c>
      <c r="D345">
        <v>82.79</v>
      </c>
      <c r="E345">
        <v>81.92</v>
      </c>
      <c r="F345">
        <v>81.99</v>
      </c>
      <c r="G345" s="2">
        <v>147167851.09999999</v>
      </c>
      <c r="H345" s="3">
        <v>3973</v>
      </c>
    </row>
    <row r="346" spans="1:8" x14ac:dyDescent="0.25">
      <c r="A346" t="s">
        <v>8</v>
      </c>
      <c r="B346" s="1">
        <v>45992</v>
      </c>
      <c r="C346">
        <v>81.99</v>
      </c>
      <c r="D346">
        <v>84.26</v>
      </c>
      <c r="E346">
        <v>81.81</v>
      </c>
      <c r="F346">
        <v>83.12</v>
      </c>
      <c r="G346" s="2">
        <v>283705281.41000003</v>
      </c>
      <c r="H346" s="3">
        <v>7576</v>
      </c>
    </row>
    <row r="347" spans="1:8" x14ac:dyDescent="0.25">
      <c r="A347" t="s">
        <v>8</v>
      </c>
      <c r="B347" s="1">
        <v>45993</v>
      </c>
      <c r="C347">
        <v>83.09</v>
      </c>
      <c r="D347">
        <v>86.06</v>
      </c>
      <c r="E347">
        <v>82.96</v>
      </c>
      <c r="F347">
        <v>85.11</v>
      </c>
      <c r="G347" s="2">
        <v>393045013.13</v>
      </c>
      <c r="H347" s="3">
        <v>10338</v>
      </c>
    </row>
    <row r="348" spans="1:8" x14ac:dyDescent="0.25">
      <c r="A348" t="s">
        <v>8</v>
      </c>
      <c r="B348" s="1">
        <v>45994</v>
      </c>
      <c r="C348">
        <v>85.29</v>
      </c>
      <c r="D348">
        <v>85.31</v>
      </c>
      <c r="E348">
        <v>83.71</v>
      </c>
      <c r="F348">
        <v>83.99</v>
      </c>
      <c r="G348" s="2">
        <v>326374403.82999998</v>
      </c>
      <c r="H348" s="3">
        <v>8615</v>
      </c>
    </row>
    <row r="349" spans="1:8" x14ac:dyDescent="0.25">
      <c r="A349" t="s">
        <v>8</v>
      </c>
      <c r="B349" s="1">
        <v>45995</v>
      </c>
      <c r="C349">
        <v>84</v>
      </c>
      <c r="D349">
        <v>84.65</v>
      </c>
      <c r="E349">
        <v>83.04</v>
      </c>
      <c r="F349">
        <v>83.27</v>
      </c>
      <c r="G349" s="2">
        <v>212873309.66999999</v>
      </c>
      <c r="H349" s="3">
        <v>5661</v>
      </c>
    </row>
    <row r="350" spans="1:8" x14ac:dyDescent="0.25">
      <c r="A350" t="s">
        <v>8</v>
      </c>
      <c r="B350" s="1">
        <v>45996</v>
      </c>
      <c r="C350">
        <v>83.21</v>
      </c>
      <c r="D350">
        <v>84.17</v>
      </c>
      <c r="E350">
        <v>82.54</v>
      </c>
      <c r="F350">
        <v>82.93</v>
      </c>
      <c r="G350" s="2">
        <v>402502869.44999999</v>
      </c>
      <c r="H350" s="3">
        <v>10762</v>
      </c>
    </row>
    <row r="351" spans="1:8" x14ac:dyDescent="0.25">
      <c r="A351" t="s">
        <v>8</v>
      </c>
      <c r="B351" s="1">
        <v>45999</v>
      </c>
      <c r="C351">
        <v>82.96</v>
      </c>
      <c r="D351">
        <v>84.33</v>
      </c>
      <c r="E351">
        <v>82.88</v>
      </c>
      <c r="F351">
        <v>83.43</v>
      </c>
      <c r="G351" s="2">
        <v>217094077.16999999</v>
      </c>
      <c r="H351" s="3">
        <v>5770</v>
      </c>
    </row>
    <row r="352" spans="1:8" x14ac:dyDescent="0.25">
      <c r="A352" t="s">
        <v>8</v>
      </c>
      <c r="B352" s="1">
        <v>46000</v>
      </c>
      <c r="C352">
        <v>83.59</v>
      </c>
      <c r="D352">
        <v>83.77</v>
      </c>
      <c r="E352">
        <v>82.66</v>
      </c>
      <c r="F352">
        <v>83.51</v>
      </c>
      <c r="G352" s="2">
        <v>281964004.73000002</v>
      </c>
      <c r="H352" s="3">
        <v>7520</v>
      </c>
    </row>
    <row r="353" spans="1:8" x14ac:dyDescent="0.25">
      <c r="A353" t="s">
        <v>8</v>
      </c>
      <c r="B353" s="1">
        <v>46001</v>
      </c>
      <c r="C353">
        <v>83.37</v>
      </c>
      <c r="D353">
        <v>83.52</v>
      </c>
      <c r="E353">
        <v>81.56</v>
      </c>
      <c r="F353">
        <v>81.64</v>
      </c>
      <c r="G353" s="2">
        <v>263983951.97</v>
      </c>
      <c r="H353" s="3">
        <v>7125</v>
      </c>
    </row>
    <row r="354" spans="1:8" x14ac:dyDescent="0.25">
      <c r="A354" t="s">
        <v>8</v>
      </c>
      <c r="B354" s="1">
        <v>46002</v>
      </c>
      <c r="C354">
        <v>81.650000000000006</v>
      </c>
      <c r="D354">
        <v>81.86</v>
      </c>
      <c r="E354">
        <v>80.900000000000006</v>
      </c>
      <c r="F354">
        <v>80.97</v>
      </c>
      <c r="G354" s="2">
        <v>177430922.11000001</v>
      </c>
      <c r="H354" s="3">
        <v>4857</v>
      </c>
    </row>
    <row r="355" spans="1:8" x14ac:dyDescent="0.25">
      <c r="A355" t="s">
        <v>8</v>
      </c>
      <c r="B355" s="1">
        <v>46003</v>
      </c>
      <c r="C355">
        <v>80.94</v>
      </c>
      <c r="D355">
        <v>81.08</v>
      </c>
      <c r="E355">
        <v>80.430000000000007</v>
      </c>
      <c r="F355">
        <v>80.63</v>
      </c>
      <c r="G355" s="2">
        <v>184641898.61000001</v>
      </c>
      <c r="H355" s="3">
        <v>5085</v>
      </c>
    </row>
    <row r="356" spans="1:8" x14ac:dyDescent="0.25">
      <c r="A356" t="s">
        <v>8</v>
      </c>
      <c r="B356" s="1">
        <v>46006</v>
      </c>
      <c r="C356">
        <v>80.55</v>
      </c>
      <c r="D356">
        <v>80.69</v>
      </c>
      <c r="E356">
        <v>79.989999999999995</v>
      </c>
      <c r="F356">
        <v>80.069999999999993</v>
      </c>
      <c r="G356" s="2">
        <v>122244396.55</v>
      </c>
      <c r="H356" s="3">
        <v>3386</v>
      </c>
    </row>
    <row r="357" spans="1:8" x14ac:dyDescent="0.25">
      <c r="A357" t="s">
        <v>8</v>
      </c>
      <c r="B357" s="1">
        <v>46007</v>
      </c>
      <c r="C357">
        <v>80.06</v>
      </c>
      <c r="D357">
        <v>80.930000000000007</v>
      </c>
      <c r="E357">
        <v>79.98</v>
      </c>
      <c r="F357">
        <v>80.459999999999994</v>
      </c>
      <c r="G357" s="2">
        <v>125844177.63</v>
      </c>
      <c r="H357" s="3">
        <v>3479</v>
      </c>
    </row>
    <row r="358" spans="1:8" x14ac:dyDescent="0.25">
      <c r="A358" t="s">
        <v>8</v>
      </c>
      <c r="B358" s="1">
        <v>46008</v>
      </c>
      <c r="C358">
        <v>80.41</v>
      </c>
      <c r="D358">
        <v>80.739999999999995</v>
      </c>
      <c r="E358">
        <v>80.27</v>
      </c>
      <c r="F358">
        <v>80.52</v>
      </c>
      <c r="G358" s="2">
        <v>167608133.91</v>
      </c>
      <c r="H358" s="3">
        <v>4626</v>
      </c>
    </row>
    <row r="359" spans="1:8" x14ac:dyDescent="0.25">
      <c r="A359" t="s">
        <v>8</v>
      </c>
      <c r="B359" s="1">
        <v>46009</v>
      </c>
      <c r="C359">
        <v>80.58</v>
      </c>
      <c r="D359">
        <v>80.58</v>
      </c>
      <c r="E359">
        <v>79.569999999999993</v>
      </c>
      <c r="F359">
        <v>79.7</v>
      </c>
      <c r="G359" s="2">
        <v>145212427.97</v>
      </c>
      <c r="H359" s="3">
        <v>4045</v>
      </c>
    </row>
    <row r="360" spans="1:8" x14ac:dyDescent="0.25">
      <c r="A360" t="s">
        <v>8</v>
      </c>
      <c r="B360" s="1">
        <v>46010</v>
      </c>
      <c r="C360">
        <v>79.739999999999995</v>
      </c>
      <c r="D360">
        <v>79.739999999999995</v>
      </c>
      <c r="E360">
        <v>79.22</v>
      </c>
      <c r="F360">
        <v>79.459999999999994</v>
      </c>
      <c r="G360" s="2">
        <v>125701238.62</v>
      </c>
      <c r="H360" s="3">
        <v>3514</v>
      </c>
    </row>
    <row r="361" spans="1:8" x14ac:dyDescent="0.25">
      <c r="A361" t="s">
        <v>8</v>
      </c>
      <c r="B361" s="1">
        <v>46013</v>
      </c>
      <c r="C361">
        <v>79.489999999999995</v>
      </c>
      <c r="D361">
        <v>79.739999999999995</v>
      </c>
      <c r="E361">
        <v>79.23</v>
      </c>
      <c r="F361">
        <v>79.510000000000005</v>
      </c>
      <c r="G361" s="2">
        <v>85790424.760000005</v>
      </c>
      <c r="H361" s="3">
        <v>2398</v>
      </c>
    </row>
    <row r="362" spans="1:8" x14ac:dyDescent="0.25">
      <c r="A362" t="s">
        <v>8</v>
      </c>
      <c r="B362" s="1">
        <v>46014</v>
      </c>
      <c r="C362">
        <v>79.56</v>
      </c>
      <c r="D362">
        <v>79.97</v>
      </c>
      <c r="E362">
        <v>79.180000000000007</v>
      </c>
      <c r="F362">
        <v>79.319999999999993</v>
      </c>
      <c r="G362" s="2">
        <v>109897578.86</v>
      </c>
      <c r="H362" s="3">
        <v>3071</v>
      </c>
    </row>
    <row r="363" spans="1:8" x14ac:dyDescent="0.25">
      <c r="A363" t="s">
        <v>8</v>
      </c>
      <c r="B363" s="1">
        <v>46017</v>
      </c>
      <c r="C363">
        <v>79.23</v>
      </c>
      <c r="D363">
        <v>79.59</v>
      </c>
      <c r="E363">
        <v>78.400000000000006</v>
      </c>
      <c r="F363">
        <v>78.489999999999995</v>
      </c>
      <c r="G363" s="2">
        <v>138244181.69999999</v>
      </c>
      <c r="H363" s="3">
        <v>3902</v>
      </c>
    </row>
    <row r="364" spans="1:8" x14ac:dyDescent="0.25">
      <c r="A364" t="s">
        <v>8</v>
      </c>
      <c r="B364" s="1">
        <v>46020</v>
      </c>
      <c r="C364">
        <v>78.67</v>
      </c>
      <c r="D364">
        <v>78.930000000000007</v>
      </c>
      <c r="E364">
        <v>78.36</v>
      </c>
      <c r="F364">
        <v>78.66</v>
      </c>
      <c r="G364" s="2">
        <v>71289947.019999996</v>
      </c>
      <c r="H364" s="3">
        <v>2014</v>
      </c>
    </row>
    <row r="365" spans="1:8" x14ac:dyDescent="0.25">
      <c r="A365" t="s">
        <v>8</v>
      </c>
      <c r="B365" s="1">
        <v>46021</v>
      </c>
      <c r="C365">
        <v>78.540000000000006</v>
      </c>
      <c r="D365">
        <v>79.19</v>
      </c>
      <c r="E365">
        <v>78.540000000000006</v>
      </c>
      <c r="F365">
        <v>78.66</v>
      </c>
      <c r="G365" s="2">
        <v>112440788.5</v>
      </c>
      <c r="H365" s="3">
        <v>3173</v>
      </c>
    </row>
    <row r="366" spans="1:8" x14ac:dyDescent="0.25">
      <c r="A366" t="s">
        <v>8</v>
      </c>
      <c r="B366" s="1">
        <v>46024</v>
      </c>
      <c r="C366">
        <v>78.680000000000007</v>
      </c>
      <c r="D366">
        <v>78.72</v>
      </c>
      <c r="E366">
        <v>78.22</v>
      </c>
      <c r="F366">
        <v>78.34</v>
      </c>
      <c r="G366" s="2">
        <v>77635644.640000001</v>
      </c>
      <c r="H366" s="3">
        <v>2200</v>
      </c>
    </row>
    <row r="367" spans="1:8" x14ac:dyDescent="0.25">
      <c r="A367" t="s">
        <v>8</v>
      </c>
      <c r="B367" s="1">
        <v>46027</v>
      </c>
      <c r="C367">
        <v>78.47</v>
      </c>
      <c r="D367">
        <v>78.540000000000006</v>
      </c>
      <c r="E367">
        <v>77.83</v>
      </c>
      <c r="F367">
        <v>77.94</v>
      </c>
      <c r="G367" s="2">
        <v>129196808.87</v>
      </c>
      <c r="H367" s="3">
        <v>3674</v>
      </c>
    </row>
    <row r="368" spans="1:8" x14ac:dyDescent="0.25">
      <c r="A368" t="s">
        <v>8</v>
      </c>
      <c r="B368" s="1">
        <v>46028</v>
      </c>
      <c r="C368">
        <v>77.849999999999994</v>
      </c>
      <c r="D368">
        <v>78.319999999999993</v>
      </c>
      <c r="E368">
        <v>77.7</v>
      </c>
      <c r="F368">
        <v>77.8</v>
      </c>
      <c r="G368" s="2">
        <v>75577038.739999995</v>
      </c>
      <c r="H368" s="3">
        <v>2156</v>
      </c>
    </row>
    <row r="369" spans="1:8" x14ac:dyDescent="0.25">
      <c r="A369" t="s">
        <v>8</v>
      </c>
      <c r="B369" s="1">
        <v>46029</v>
      </c>
      <c r="C369">
        <v>77.8</v>
      </c>
      <c r="D369">
        <v>77.8</v>
      </c>
      <c r="E369">
        <v>76.69</v>
      </c>
      <c r="F369">
        <v>76.92</v>
      </c>
      <c r="G369" s="2">
        <v>218285660.66999999</v>
      </c>
      <c r="H369" s="3">
        <v>6299</v>
      </c>
    </row>
    <row r="370" spans="1:8" x14ac:dyDescent="0.25">
      <c r="A370" t="s">
        <v>8</v>
      </c>
      <c r="B370" s="1">
        <v>46030</v>
      </c>
      <c r="C370">
        <v>77.08</v>
      </c>
      <c r="D370">
        <v>77.08</v>
      </c>
      <c r="E370">
        <v>76.319999999999993</v>
      </c>
      <c r="F370">
        <v>76.5</v>
      </c>
      <c r="G370" s="2">
        <v>167031964.84999999</v>
      </c>
      <c r="H370" s="3">
        <v>4850</v>
      </c>
    </row>
    <row r="371" spans="1:8" x14ac:dyDescent="0.25">
      <c r="A371" t="s">
        <v>8</v>
      </c>
      <c r="B371" s="1">
        <v>46031</v>
      </c>
      <c r="C371">
        <v>76.44</v>
      </c>
      <c r="D371">
        <v>77.08</v>
      </c>
      <c r="E371">
        <v>76.319999999999993</v>
      </c>
      <c r="F371">
        <v>76.73</v>
      </c>
      <c r="G371" s="2">
        <v>113030464.42</v>
      </c>
      <c r="H371" s="3">
        <v>3276</v>
      </c>
    </row>
    <row r="372" spans="1:8" x14ac:dyDescent="0.25">
      <c r="A372" t="s">
        <v>8</v>
      </c>
      <c r="B372" s="1">
        <v>46034</v>
      </c>
      <c r="C372">
        <v>76.790000000000006</v>
      </c>
      <c r="D372">
        <v>77.06</v>
      </c>
      <c r="E372">
        <v>75.92</v>
      </c>
      <c r="F372">
        <v>76.010000000000005</v>
      </c>
      <c r="G372" s="2">
        <v>206417945.88</v>
      </c>
      <c r="H372" s="3">
        <v>5997</v>
      </c>
    </row>
    <row r="373" spans="1:8" x14ac:dyDescent="0.25">
      <c r="A373" t="s">
        <v>8</v>
      </c>
      <c r="B373" s="1">
        <v>46035</v>
      </c>
      <c r="C373">
        <v>76.13</v>
      </c>
      <c r="D373">
        <v>76.13</v>
      </c>
      <c r="E373">
        <v>74.989999999999995</v>
      </c>
      <c r="F373">
        <v>75.58</v>
      </c>
      <c r="G373" s="2">
        <v>187220241.33000001</v>
      </c>
      <c r="H373" s="3">
        <v>5515</v>
      </c>
    </row>
    <row r="374" spans="1:8" x14ac:dyDescent="0.25">
      <c r="A374" t="s">
        <v>8</v>
      </c>
      <c r="B374" s="1">
        <v>46036</v>
      </c>
      <c r="C374">
        <v>75.59</v>
      </c>
      <c r="D374">
        <v>75.959999999999994</v>
      </c>
      <c r="E374">
        <v>75.27</v>
      </c>
      <c r="F374">
        <v>75.56</v>
      </c>
      <c r="G374" s="2">
        <v>202082283.33000001</v>
      </c>
      <c r="H374" s="3">
        <v>5942</v>
      </c>
    </row>
    <row r="375" spans="1:8" x14ac:dyDescent="0.25">
      <c r="A375" t="s">
        <v>8</v>
      </c>
      <c r="B375" s="1">
        <v>46037</v>
      </c>
      <c r="C375">
        <v>75.489999999999995</v>
      </c>
      <c r="D375">
        <v>75.569999999999993</v>
      </c>
      <c r="E375">
        <v>74.819999999999993</v>
      </c>
      <c r="F375">
        <v>75.02</v>
      </c>
      <c r="G375" s="2">
        <v>153843512.74000001</v>
      </c>
      <c r="H375" s="3">
        <v>4556</v>
      </c>
    </row>
    <row r="376" spans="1:8" x14ac:dyDescent="0.25">
      <c r="A376" t="s">
        <v>8</v>
      </c>
      <c r="B376" s="1">
        <v>46038</v>
      </c>
      <c r="C376">
        <v>75.180000000000007</v>
      </c>
      <c r="D376">
        <v>75.38</v>
      </c>
      <c r="E376">
        <v>74.83</v>
      </c>
      <c r="F376">
        <v>74.959999999999994</v>
      </c>
      <c r="G376" s="2">
        <v>95453779.319999993</v>
      </c>
      <c r="H376" s="3">
        <v>2825</v>
      </c>
    </row>
    <row r="377" spans="1:8" x14ac:dyDescent="0.25">
      <c r="A377" t="s">
        <v>8</v>
      </c>
      <c r="B377" s="1">
        <v>46041</v>
      </c>
      <c r="C377">
        <v>75.03</v>
      </c>
      <c r="D377">
        <v>75.239999999999995</v>
      </c>
      <c r="E377">
        <v>74.739999999999995</v>
      </c>
      <c r="F377">
        <v>74.849999999999994</v>
      </c>
      <c r="G377" s="2">
        <v>84133622.489999995</v>
      </c>
      <c r="H377" s="3">
        <v>2497</v>
      </c>
    </row>
    <row r="378" spans="1:8" x14ac:dyDescent="0.25">
      <c r="A378" t="s">
        <v>8</v>
      </c>
      <c r="B378" s="1">
        <v>46042</v>
      </c>
      <c r="C378">
        <v>74.89</v>
      </c>
      <c r="D378">
        <v>74.959999999999994</v>
      </c>
      <c r="E378">
        <v>74.510000000000005</v>
      </c>
      <c r="F378">
        <v>74.63</v>
      </c>
      <c r="G378" s="2">
        <v>204822484.47999999</v>
      </c>
      <c r="H378" s="3">
        <v>6095</v>
      </c>
    </row>
    <row r="379" spans="1:8" x14ac:dyDescent="0.25">
      <c r="A379" t="s">
        <v>8</v>
      </c>
      <c r="B379" s="1">
        <v>46043</v>
      </c>
      <c r="C379">
        <v>74.69</v>
      </c>
      <c r="D379">
        <v>74.69</v>
      </c>
      <c r="E379">
        <v>73.22</v>
      </c>
      <c r="F379">
        <v>73.430000000000007</v>
      </c>
      <c r="G379" s="2">
        <v>251561535.66</v>
      </c>
      <c r="H379" s="3">
        <v>7571</v>
      </c>
    </row>
    <row r="380" spans="1:8" x14ac:dyDescent="0.25">
      <c r="A380" t="s">
        <v>8</v>
      </c>
      <c r="B380" s="1">
        <v>46044</v>
      </c>
      <c r="C380">
        <v>73.38</v>
      </c>
      <c r="D380">
        <v>73.45</v>
      </c>
      <c r="E380">
        <v>72.459999999999994</v>
      </c>
      <c r="F380">
        <v>72.900000000000006</v>
      </c>
      <c r="G380" s="2">
        <v>221705113.58000001</v>
      </c>
      <c r="H380" s="3">
        <v>6763</v>
      </c>
    </row>
    <row r="381" spans="1:8" x14ac:dyDescent="0.25">
      <c r="A381" t="s">
        <v>8</v>
      </c>
      <c r="B381" s="1">
        <v>46045</v>
      </c>
      <c r="C381">
        <v>72.69</v>
      </c>
      <c r="D381">
        <v>73.03</v>
      </c>
      <c r="E381">
        <v>72.11</v>
      </c>
      <c r="F381">
        <v>72.47</v>
      </c>
      <c r="G381" s="2">
        <v>153568944.99000001</v>
      </c>
      <c r="H381" s="3">
        <v>4715</v>
      </c>
    </row>
    <row r="382" spans="1:8" x14ac:dyDescent="0.25">
      <c r="A382" t="s">
        <v>8</v>
      </c>
      <c r="B382" s="1">
        <v>46048</v>
      </c>
      <c r="C382">
        <v>72.430000000000007</v>
      </c>
      <c r="D382">
        <v>73.34</v>
      </c>
      <c r="E382">
        <v>72.430000000000007</v>
      </c>
      <c r="F382">
        <v>72.63</v>
      </c>
      <c r="G382" s="2">
        <v>121337425.15000001</v>
      </c>
      <c r="H382" s="3">
        <v>3711</v>
      </c>
    </row>
    <row r="383" spans="1:8" x14ac:dyDescent="0.25">
      <c r="A383" t="s">
        <v>8</v>
      </c>
      <c r="B383" s="1">
        <v>46049</v>
      </c>
      <c r="C383">
        <v>72.569999999999993</v>
      </c>
      <c r="D383">
        <v>73.17</v>
      </c>
      <c r="E383">
        <v>71.81</v>
      </c>
      <c r="F383">
        <v>72.569999999999993</v>
      </c>
      <c r="G383" s="2">
        <v>249655242.03999999</v>
      </c>
      <c r="H383" s="3">
        <v>7658</v>
      </c>
    </row>
    <row r="384" spans="1:8" x14ac:dyDescent="0.25">
      <c r="A384" t="s">
        <v>8</v>
      </c>
      <c r="B384" s="1">
        <v>46050</v>
      </c>
      <c r="C384">
        <v>72.489999999999995</v>
      </c>
      <c r="D384">
        <v>72.62</v>
      </c>
      <c r="E384">
        <v>71.38</v>
      </c>
      <c r="F384">
        <v>71.540000000000006</v>
      </c>
      <c r="G384" s="2">
        <v>202927423.13</v>
      </c>
      <c r="H384" s="3">
        <v>6294</v>
      </c>
    </row>
    <row r="385" spans="1:8" x14ac:dyDescent="0.25">
      <c r="A385" t="s">
        <v>8</v>
      </c>
      <c r="B385" s="1">
        <v>46051</v>
      </c>
      <c r="C385">
        <v>71.39</v>
      </c>
      <c r="D385">
        <v>72.11</v>
      </c>
      <c r="E385">
        <v>71.08</v>
      </c>
      <c r="F385">
        <v>72.099999999999994</v>
      </c>
      <c r="G385" s="2">
        <v>189089299.31999999</v>
      </c>
      <c r="H385" s="3">
        <v>5866</v>
      </c>
    </row>
    <row r="386" spans="1:8" x14ac:dyDescent="0.25">
      <c r="A386" t="s">
        <v>8</v>
      </c>
      <c r="B386" s="1">
        <v>46052</v>
      </c>
      <c r="C386">
        <v>72.040000000000006</v>
      </c>
      <c r="D386">
        <v>74</v>
      </c>
      <c r="E386">
        <v>71.819999999999993</v>
      </c>
      <c r="F386">
        <v>72.81</v>
      </c>
      <c r="G386" s="2">
        <v>304121472.48000002</v>
      </c>
      <c r="H386" s="3">
        <v>9260</v>
      </c>
    </row>
    <row r="387" spans="1:8" x14ac:dyDescent="0.25">
      <c r="A387" t="s">
        <v>8</v>
      </c>
      <c r="B387" s="1">
        <v>46055</v>
      </c>
      <c r="C387">
        <v>72.81</v>
      </c>
      <c r="D387">
        <v>73.44</v>
      </c>
      <c r="E387">
        <v>72.48</v>
      </c>
      <c r="F387">
        <v>72.94</v>
      </c>
      <c r="G387" s="2">
        <v>130528083.04000001</v>
      </c>
      <c r="H387" s="3">
        <v>3978</v>
      </c>
    </row>
    <row r="388" spans="1:8" x14ac:dyDescent="0.25">
      <c r="A388" t="s">
        <v>8</v>
      </c>
      <c r="B388" s="1">
        <v>46056</v>
      </c>
      <c r="C388">
        <v>73</v>
      </c>
      <c r="D388">
        <v>73.98</v>
      </c>
      <c r="E388">
        <v>72.989999999999995</v>
      </c>
      <c r="F388">
        <v>73.900000000000006</v>
      </c>
      <c r="G388" s="2">
        <v>251133022.74000001</v>
      </c>
      <c r="H388" s="3">
        <v>7601</v>
      </c>
    </row>
    <row r="389" spans="1:8" x14ac:dyDescent="0.25">
      <c r="A389" t="s">
        <v>8</v>
      </c>
      <c r="B389" s="1">
        <v>46057</v>
      </c>
      <c r="C389">
        <v>73.900000000000006</v>
      </c>
      <c r="D389">
        <v>74.16</v>
      </c>
      <c r="E389">
        <v>72.48</v>
      </c>
      <c r="F389">
        <v>73.47</v>
      </c>
      <c r="G389" s="2">
        <v>268715307.41000003</v>
      </c>
      <c r="H389" s="3">
        <v>8126</v>
      </c>
    </row>
    <row r="390" spans="1:8" x14ac:dyDescent="0.25">
      <c r="A390" t="s">
        <v>8</v>
      </c>
      <c r="B390" s="1">
        <v>46058</v>
      </c>
      <c r="C390">
        <v>73.41</v>
      </c>
      <c r="D390">
        <v>74.11</v>
      </c>
      <c r="E390">
        <v>73.209999999999994</v>
      </c>
      <c r="F390">
        <v>73.8</v>
      </c>
      <c r="G390" s="2">
        <v>116721803.73999999</v>
      </c>
      <c r="H390" s="3">
        <v>3517</v>
      </c>
    </row>
    <row r="391" spans="1:8" x14ac:dyDescent="0.25">
      <c r="A391" t="s">
        <v>8</v>
      </c>
      <c r="B391" s="1">
        <v>46059</v>
      </c>
      <c r="C391">
        <v>73.8</v>
      </c>
      <c r="D391">
        <v>73.900000000000006</v>
      </c>
      <c r="E391">
        <v>72.430000000000007</v>
      </c>
      <c r="F391">
        <v>72.62</v>
      </c>
      <c r="G391" s="2">
        <v>287952028.82999998</v>
      </c>
      <c r="H391" s="3">
        <v>8779</v>
      </c>
    </row>
    <row r="392" spans="1:8" x14ac:dyDescent="0.25">
      <c r="A392" t="s">
        <v>8</v>
      </c>
      <c r="B392" s="1">
        <v>46062</v>
      </c>
      <c r="C392">
        <v>72.540000000000006</v>
      </c>
      <c r="D392">
        <v>72.959999999999994</v>
      </c>
      <c r="E392">
        <v>71.98</v>
      </c>
      <c r="F392">
        <v>72.48</v>
      </c>
      <c r="G392" s="2">
        <v>161924856.83000001</v>
      </c>
      <c r="H392" s="3">
        <v>4954</v>
      </c>
    </row>
    <row r="393" spans="1:8" x14ac:dyDescent="0.25">
      <c r="A393" t="s">
        <v>8</v>
      </c>
      <c r="B393" s="1">
        <v>46063</v>
      </c>
      <c r="C393">
        <v>72.47</v>
      </c>
      <c r="D393">
        <v>73.64</v>
      </c>
      <c r="E393">
        <v>72.319999999999993</v>
      </c>
      <c r="F393">
        <v>73.59</v>
      </c>
      <c r="G393" s="2">
        <v>183930426.19999999</v>
      </c>
      <c r="H393" s="3">
        <v>5582</v>
      </c>
    </row>
    <row r="394" spans="1:8" x14ac:dyDescent="0.25">
      <c r="A394" t="s">
        <v>8</v>
      </c>
      <c r="B394" s="1">
        <v>46064</v>
      </c>
      <c r="C394">
        <v>73.59</v>
      </c>
      <c r="D394">
        <v>74.09</v>
      </c>
      <c r="E394">
        <v>73.28</v>
      </c>
      <c r="F394">
        <v>73.66</v>
      </c>
      <c r="G394" s="2">
        <v>220410043.27000001</v>
      </c>
      <c r="H394" s="3">
        <v>6645</v>
      </c>
    </row>
    <row r="395" spans="1:8" x14ac:dyDescent="0.25">
      <c r="A395" t="s">
        <v>8</v>
      </c>
      <c r="B395" s="1">
        <v>46065</v>
      </c>
      <c r="C395">
        <v>73.650000000000006</v>
      </c>
      <c r="D395">
        <v>74.61</v>
      </c>
      <c r="E395">
        <v>73.61</v>
      </c>
      <c r="F395">
        <v>74.48</v>
      </c>
      <c r="G395" s="2">
        <v>185004579.33000001</v>
      </c>
      <c r="H395" s="3">
        <v>5533</v>
      </c>
    </row>
    <row r="396" spans="1:8" x14ac:dyDescent="0.25">
      <c r="A396" t="s">
        <v>8</v>
      </c>
      <c r="B396" s="1">
        <v>46066</v>
      </c>
      <c r="C396">
        <v>74.5</v>
      </c>
      <c r="D396">
        <v>74.959999999999994</v>
      </c>
      <c r="E396">
        <v>74.430000000000007</v>
      </c>
      <c r="F396">
        <v>74.86</v>
      </c>
      <c r="G396" s="2">
        <v>156781261.69</v>
      </c>
      <c r="H396" s="3">
        <v>4655</v>
      </c>
    </row>
    <row r="397" spans="1:8" x14ac:dyDescent="0.25">
      <c r="A397" t="s">
        <v>8</v>
      </c>
      <c r="B397" s="1">
        <v>46071</v>
      </c>
      <c r="C397">
        <v>74.73</v>
      </c>
      <c r="D397">
        <v>75.17</v>
      </c>
      <c r="E397">
        <v>74.62</v>
      </c>
      <c r="F397">
        <v>74.69</v>
      </c>
      <c r="G397" s="2">
        <v>97936993.040000007</v>
      </c>
      <c r="H397" s="3">
        <v>2905</v>
      </c>
    </row>
    <row r="398" spans="1:8" x14ac:dyDescent="0.25">
      <c r="A398" t="s">
        <v>8</v>
      </c>
      <c r="B398" s="1">
        <v>46072</v>
      </c>
      <c r="C398">
        <v>74.73</v>
      </c>
      <c r="D398">
        <v>75.12</v>
      </c>
      <c r="E398">
        <v>74.36</v>
      </c>
      <c r="F398">
        <v>75.05</v>
      </c>
      <c r="G398" s="2">
        <v>136504425.05000001</v>
      </c>
      <c r="H398" s="3">
        <v>4056</v>
      </c>
    </row>
    <row r="399" spans="1:8" x14ac:dyDescent="0.25">
      <c r="A399" t="s">
        <v>8</v>
      </c>
      <c r="B399" s="1">
        <v>46073</v>
      </c>
      <c r="C399">
        <v>75.05</v>
      </c>
      <c r="D399">
        <v>75.84</v>
      </c>
      <c r="E399">
        <v>75.05</v>
      </c>
      <c r="F399">
        <v>75.8</v>
      </c>
      <c r="G399" s="2">
        <v>238141853.13999999</v>
      </c>
      <c r="H399" s="3">
        <v>7003</v>
      </c>
    </row>
    <row r="400" spans="1:8" x14ac:dyDescent="0.25">
      <c r="A400" t="s">
        <v>8</v>
      </c>
      <c r="B400" s="1">
        <v>46076</v>
      </c>
      <c r="C400">
        <v>75.84</v>
      </c>
      <c r="D400">
        <v>75.84</v>
      </c>
      <c r="E400">
        <v>74.8</v>
      </c>
      <c r="F400">
        <v>75.08</v>
      </c>
      <c r="G400" s="2">
        <v>296555590.75999999</v>
      </c>
      <c r="H400" s="3">
        <v>8764</v>
      </c>
    </row>
    <row r="401" spans="1:8" x14ac:dyDescent="0.25">
      <c r="A401" t="s">
        <v>8</v>
      </c>
      <c r="B401" s="1">
        <v>46077</v>
      </c>
      <c r="C401">
        <v>75.05</v>
      </c>
      <c r="D401">
        <v>75.38</v>
      </c>
      <c r="E401">
        <v>74.430000000000007</v>
      </c>
      <c r="F401">
        <v>74.430000000000007</v>
      </c>
      <c r="G401" s="2">
        <v>197852927.08000001</v>
      </c>
      <c r="H401" s="3">
        <v>5864</v>
      </c>
    </row>
    <row r="402" spans="1:8" x14ac:dyDescent="0.25">
      <c r="A402" t="s">
        <v>8</v>
      </c>
      <c r="B402" s="1">
        <v>46078</v>
      </c>
      <c r="C402">
        <v>74.42</v>
      </c>
      <c r="D402">
        <v>74.78</v>
      </c>
      <c r="E402">
        <v>74.099999999999994</v>
      </c>
      <c r="F402">
        <v>74.260000000000005</v>
      </c>
      <c r="G402" s="2">
        <v>190291375.31</v>
      </c>
      <c r="H402" s="3">
        <v>5681</v>
      </c>
    </row>
    <row r="403" spans="1:8" x14ac:dyDescent="0.25">
      <c r="A403" t="s">
        <v>8</v>
      </c>
      <c r="B403" s="1">
        <v>46079</v>
      </c>
      <c r="C403">
        <v>74.22</v>
      </c>
      <c r="D403">
        <v>75.27</v>
      </c>
      <c r="E403">
        <v>74.13</v>
      </c>
      <c r="F403">
        <v>75.22</v>
      </c>
      <c r="G403" s="2">
        <v>170549646.86000001</v>
      </c>
      <c r="H403" s="3">
        <v>5062</v>
      </c>
    </row>
    <row r="404" spans="1:8" x14ac:dyDescent="0.25">
      <c r="A404" t="s">
        <v>8</v>
      </c>
      <c r="B404" s="1">
        <v>46080</v>
      </c>
      <c r="C404">
        <v>75.209999999999994</v>
      </c>
      <c r="D404">
        <v>76.099999999999994</v>
      </c>
      <c r="E404">
        <v>74.91</v>
      </c>
      <c r="F404">
        <v>76.099999999999994</v>
      </c>
      <c r="G404" s="2">
        <v>388379621.13999999</v>
      </c>
      <c r="H404" s="3">
        <v>11433</v>
      </c>
    </row>
    <row r="405" spans="1:8" x14ac:dyDescent="0.25">
      <c r="A405" t="s">
        <v>8</v>
      </c>
      <c r="B405" s="1">
        <v>46083</v>
      </c>
      <c r="C405">
        <v>75.959999999999994</v>
      </c>
      <c r="D405">
        <v>76.680000000000007</v>
      </c>
      <c r="E405">
        <v>75.180000000000007</v>
      </c>
      <c r="F405">
        <v>75.64</v>
      </c>
      <c r="G405" s="2">
        <v>264229442.21000001</v>
      </c>
      <c r="H405" s="3">
        <v>7720</v>
      </c>
    </row>
    <row r="406" spans="1:8" x14ac:dyDescent="0.25">
      <c r="A406" t="s">
        <v>8</v>
      </c>
      <c r="B406" s="1">
        <v>46084</v>
      </c>
      <c r="C406">
        <v>75.53</v>
      </c>
      <c r="D406">
        <v>76.430000000000007</v>
      </c>
      <c r="E406">
        <v>75.39</v>
      </c>
      <c r="F406">
        <v>76.319999999999993</v>
      </c>
      <c r="G406" s="2">
        <v>159972838.24000001</v>
      </c>
      <c r="H406" s="3">
        <v>4670</v>
      </c>
    </row>
    <row r="407" spans="1:8" x14ac:dyDescent="0.25">
      <c r="A407" t="s">
        <v>8</v>
      </c>
      <c r="B407" s="1">
        <v>46085</v>
      </c>
      <c r="C407">
        <v>76.27</v>
      </c>
      <c r="D407">
        <v>76.430000000000007</v>
      </c>
      <c r="E407">
        <v>75.22</v>
      </c>
      <c r="F407">
        <v>75.44</v>
      </c>
      <c r="G407" s="2">
        <v>224234331.78999999</v>
      </c>
      <c r="H407" s="3">
        <v>6578</v>
      </c>
    </row>
    <row r="408" spans="1:8" x14ac:dyDescent="0.25">
      <c r="A408" t="s">
        <v>8</v>
      </c>
      <c r="B408" s="1">
        <v>46086</v>
      </c>
      <c r="C408">
        <v>75.319999999999993</v>
      </c>
      <c r="D408">
        <v>76.22</v>
      </c>
      <c r="E408">
        <v>75.319999999999993</v>
      </c>
      <c r="F408">
        <v>75.75</v>
      </c>
      <c r="G408" s="2">
        <v>126459299.51000001</v>
      </c>
      <c r="H408" s="3">
        <v>3703</v>
      </c>
    </row>
    <row r="409" spans="1:8" x14ac:dyDescent="0.25">
      <c r="A409" t="s">
        <v>8</v>
      </c>
      <c r="B409" s="1">
        <v>46087</v>
      </c>
      <c r="C409">
        <v>75.84</v>
      </c>
      <c r="D409">
        <v>77.58</v>
      </c>
      <c r="E409">
        <v>75.56</v>
      </c>
      <c r="F409">
        <v>77.400000000000006</v>
      </c>
      <c r="G409" s="2">
        <v>387400267.99000001</v>
      </c>
      <c r="H409" s="3">
        <v>11200</v>
      </c>
    </row>
    <row r="410" spans="1:8" x14ac:dyDescent="0.25">
      <c r="A410" t="s">
        <v>8</v>
      </c>
      <c r="B410" s="1">
        <v>46090</v>
      </c>
      <c r="C410">
        <v>77.38</v>
      </c>
      <c r="D410">
        <v>78.91</v>
      </c>
      <c r="E410">
        <v>77.33</v>
      </c>
      <c r="F410">
        <v>78.510000000000005</v>
      </c>
      <c r="G410" s="2">
        <v>334624116.05000001</v>
      </c>
      <c r="H410" s="3">
        <v>9528</v>
      </c>
    </row>
    <row r="411" spans="1:8" x14ac:dyDescent="0.25">
      <c r="A411" t="s">
        <v>8</v>
      </c>
      <c r="B411" s="1">
        <v>46091</v>
      </c>
      <c r="C411">
        <v>78.27</v>
      </c>
      <c r="D411">
        <v>78.459999999999994</v>
      </c>
      <c r="E411">
        <v>76.66</v>
      </c>
      <c r="F411">
        <v>77.819999999999993</v>
      </c>
      <c r="G411" s="2">
        <v>416313997.06</v>
      </c>
      <c r="H411" s="3">
        <v>11944</v>
      </c>
    </row>
    <row r="412" spans="1:8" x14ac:dyDescent="0.25">
      <c r="A412" t="s">
        <v>8</v>
      </c>
      <c r="B412" s="1">
        <v>46092</v>
      </c>
      <c r="C412">
        <v>77.87</v>
      </c>
      <c r="D412">
        <v>78.55</v>
      </c>
      <c r="E412">
        <v>77.510000000000005</v>
      </c>
      <c r="F412">
        <v>78.42</v>
      </c>
      <c r="G412" s="2">
        <v>367527620.19999999</v>
      </c>
      <c r="H412" s="3">
        <v>10460</v>
      </c>
    </row>
    <row r="413" spans="1:8" x14ac:dyDescent="0.25">
      <c r="A413" t="s">
        <v>8</v>
      </c>
      <c r="B413" s="1">
        <v>46093</v>
      </c>
      <c r="C413">
        <v>78.510000000000005</v>
      </c>
      <c r="D413">
        <v>79.069999999999993</v>
      </c>
      <c r="E413">
        <v>77.48</v>
      </c>
      <c r="F413">
        <v>77.78</v>
      </c>
      <c r="G413" s="2">
        <v>360607218.05000001</v>
      </c>
      <c r="H413" s="3">
        <v>10219</v>
      </c>
    </row>
    <row r="414" spans="1:8" x14ac:dyDescent="0.25">
      <c r="A414" t="s">
        <v>8</v>
      </c>
      <c r="B414" s="1">
        <v>46094</v>
      </c>
      <c r="C414">
        <v>77.91</v>
      </c>
      <c r="D414">
        <v>78.27</v>
      </c>
      <c r="E414">
        <v>77.099999999999994</v>
      </c>
      <c r="F414">
        <v>77.88</v>
      </c>
      <c r="G414" s="2">
        <v>280814397.52999997</v>
      </c>
      <c r="H414" s="3">
        <v>8030</v>
      </c>
    </row>
    <row r="415" spans="1:8" x14ac:dyDescent="0.25">
      <c r="A415" t="s">
        <v>8</v>
      </c>
      <c r="B415" s="1">
        <v>46097</v>
      </c>
      <c r="C415">
        <v>77.73</v>
      </c>
      <c r="D415">
        <v>77.87</v>
      </c>
      <c r="E415">
        <v>74.77</v>
      </c>
      <c r="F415">
        <v>74.86</v>
      </c>
      <c r="G415" s="2">
        <v>534008714.99000001</v>
      </c>
      <c r="H415" s="3">
        <v>15497</v>
      </c>
    </row>
    <row r="416" spans="1:8" x14ac:dyDescent="0.25">
      <c r="A416" t="s">
        <v>8</v>
      </c>
      <c r="B416" s="1">
        <v>46098</v>
      </c>
      <c r="C416">
        <v>74.92</v>
      </c>
      <c r="D416">
        <v>76.22</v>
      </c>
      <c r="E416">
        <v>74.37</v>
      </c>
      <c r="F416">
        <v>74.61</v>
      </c>
      <c r="G416" s="2">
        <v>463437386.19999999</v>
      </c>
      <c r="H416" s="3">
        <v>13718</v>
      </c>
    </row>
    <row r="417" spans="1:8" x14ac:dyDescent="0.25">
      <c r="A417" t="s">
        <v>8</v>
      </c>
      <c r="B417" s="1">
        <v>46099</v>
      </c>
      <c r="C417">
        <v>74.569999999999993</v>
      </c>
      <c r="D417">
        <v>75.09</v>
      </c>
      <c r="E417">
        <v>73.7</v>
      </c>
      <c r="F417">
        <v>74.989999999999995</v>
      </c>
      <c r="G417" s="2">
        <v>381771611.12</v>
      </c>
      <c r="H417" s="3">
        <v>11390</v>
      </c>
    </row>
    <row r="418" spans="1:8" x14ac:dyDescent="0.25">
      <c r="A418" t="s">
        <v>8</v>
      </c>
      <c r="B418" s="1">
        <v>46100</v>
      </c>
      <c r="C418">
        <v>75.010000000000005</v>
      </c>
      <c r="D418">
        <v>75.73</v>
      </c>
      <c r="E418">
        <v>74.069999999999993</v>
      </c>
      <c r="F418">
        <v>74.48</v>
      </c>
      <c r="G418" s="2">
        <v>287442819.62</v>
      </c>
      <c r="H418" s="3">
        <v>8534</v>
      </c>
    </row>
    <row r="419" spans="1:8" x14ac:dyDescent="0.25">
      <c r="A419" t="s">
        <v>8</v>
      </c>
      <c r="B419" s="1">
        <v>46101</v>
      </c>
      <c r="C419">
        <v>74.5</v>
      </c>
      <c r="D419">
        <v>75.08</v>
      </c>
      <c r="E419">
        <v>74.37</v>
      </c>
      <c r="F419">
        <v>74.459999999999994</v>
      </c>
      <c r="G419" s="2">
        <v>161708223.88999999</v>
      </c>
      <c r="H419" s="3">
        <v>4814</v>
      </c>
    </row>
    <row r="420" spans="1:8" x14ac:dyDescent="0.25">
      <c r="A420" t="s">
        <v>8</v>
      </c>
      <c r="B420" s="1">
        <v>46104</v>
      </c>
      <c r="C420">
        <v>74.38</v>
      </c>
      <c r="D420">
        <v>74.64</v>
      </c>
      <c r="E420">
        <v>73.959999999999994</v>
      </c>
      <c r="F420">
        <v>74.48</v>
      </c>
      <c r="G420" s="2">
        <v>123724857.84999999</v>
      </c>
      <c r="H420" s="3">
        <v>3698</v>
      </c>
    </row>
    <row r="421" spans="1:8" x14ac:dyDescent="0.25">
      <c r="A421" t="s">
        <v>8</v>
      </c>
      <c r="B421" s="1">
        <v>46105</v>
      </c>
      <c r="C421">
        <v>74.599999999999994</v>
      </c>
      <c r="D421">
        <v>75.09</v>
      </c>
      <c r="E421">
        <v>74.12</v>
      </c>
      <c r="F421">
        <v>74.38</v>
      </c>
      <c r="G421" s="2">
        <v>132204409.31</v>
      </c>
      <c r="H421" s="3">
        <v>3931</v>
      </c>
    </row>
    <row r="422" spans="1:8" x14ac:dyDescent="0.25">
      <c r="A422" t="s">
        <v>8</v>
      </c>
      <c r="B422" s="1">
        <v>46106</v>
      </c>
      <c r="C422">
        <v>74.510000000000005</v>
      </c>
      <c r="D422">
        <v>74.58</v>
      </c>
      <c r="E422">
        <v>74.16</v>
      </c>
      <c r="F422">
        <v>74.52</v>
      </c>
      <c r="G422" s="2">
        <v>156783609.93000001</v>
      </c>
      <c r="H422" s="3">
        <v>4685</v>
      </c>
    </row>
    <row r="423" spans="1:8" x14ac:dyDescent="0.25">
      <c r="A423" t="s">
        <v>8</v>
      </c>
      <c r="B423" s="1">
        <v>46107</v>
      </c>
      <c r="C423">
        <v>74.63</v>
      </c>
      <c r="D423">
        <v>74.89</v>
      </c>
      <c r="E423">
        <v>74.31</v>
      </c>
      <c r="F423">
        <v>74.52</v>
      </c>
      <c r="G423" s="2">
        <v>68596886.370000005</v>
      </c>
      <c r="H423" s="3">
        <v>2047</v>
      </c>
    </row>
    <row r="424" spans="1:8" x14ac:dyDescent="0.25">
      <c r="A424" t="s">
        <v>8</v>
      </c>
      <c r="B424" s="1">
        <v>46108</v>
      </c>
      <c r="C424">
        <v>74.55</v>
      </c>
      <c r="D424">
        <v>75.37</v>
      </c>
      <c r="E424">
        <v>74.38</v>
      </c>
      <c r="F424">
        <v>74.650000000000006</v>
      </c>
      <c r="G424" s="2">
        <v>183823020.66</v>
      </c>
      <c r="H424" s="3">
        <v>5459</v>
      </c>
    </row>
    <row r="425" spans="1:8" x14ac:dyDescent="0.25">
      <c r="A425" t="s">
        <v>8</v>
      </c>
      <c r="B425" s="1">
        <v>46111</v>
      </c>
      <c r="C425">
        <v>74.47</v>
      </c>
      <c r="D425">
        <v>76.33</v>
      </c>
      <c r="E425">
        <v>74.47</v>
      </c>
      <c r="F425">
        <v>76.23</v>
      </c>
      <c r="G425" s="2">
        <v>277551765.91000003</v>
      </c>
      <c r="H425" s="3">
        <v>8150</v>
      </c>
    </row>
    <row r="426" spans="1:8" x14ac:dyDescent="0.25">
      <c r="A426" t="s">
        <v>8</v>
      </c>
      <c r="B426" s="1">
        <v>46112</v>
      </c>
      <c r="C426">
        <v>76.239999999999995</v>
      </c>
      <c r="D426">
        <v>76.53</v>
      </c>
      <c r="E426">
        <v>75.12</v>
      </c>
      <c r="F426">
        <v>75.400000000000006</v>
      </c>
      <c r="G426" s="2">
        <v>290264069.38</v>
      </c>
      <c r="H426" s="3">
        <v>8507</v>
      </c>
    </row>
    <row r="427" spans="1:8" x14ac:dyDescent="0.25">
      <c r="A427" t="s">
        <v>8</v>
      </c>
      <c r="B427" s="1">
        <v>46113</v>
      </c>
      <c r="C427">
        <v>75.430000000000007</v>
      </c>
      <c r="D427">
        <v>75.430000000000007</v>
      </c>
      <c r="E427">
        <v>73.75</v>
      </c>
      <c r="F427">
        <v>73.77</v>
      </c>
      <c r="G427" s="2">
        <v>313361693.45999998</v>
      </c>
      <c r="H427" s="3">
        <v>9356</v>
      </c>
    </row>
    <row r="428" spans="1:8" x14ac:dyDescent="0.25">
      <c r="A428" t="s">
        <v>8</v>
      </c>
      <c r="B428" s="1">
        <v>46114</v>
      </c>
      <c r="C428">
        <v>73.81</v>
      </c>
      <c r="D428">
        <v>74.47</v>
      </c>
      <c r="E428">
        <v>73.7</v>
      </c>
      <c r="F428">
        <v>74.180000000000007</v>
      </c>
      <c r="G428" s="2">
        <v>200975296.80000001</v>
      </c>
      <c r="H428" s="3">
        <v>6027</v>
      </c>
    </row>
    <row r="429" spans="1:8" x14ac:dyDescent="0.25">
      <c r="A429" t="s">
        <v>8</v>
      </c>
      <c r="B429" s="1">
        <v>46118</v>
      </c>
      <c r="C429">
        <v>74.23</v>
      </c>
      <c r="D429">
        <v>74.27</v>
      </c>
      <c r="E429">
        <v>73.23</v>
      </c>
      <c r="F429">
        <v>73.45</v>
      </c>
      <c r="G429" s="2">
        <v>134750621.56999999</v>
      </c>
      <c r="H429" s="3">
        <v>4073</v>
      </c>
    </row>
    <row r="430" spans="1:8" x14ac:dyDescent="0.25">
      <c r="A430" t="s">
        <v>8</v>
      </c>
      <c r="B430" s="1">
        <v>46119</v>
      </c>
      <c r="C430">
        <v>73.459999999999994</v>
      </c>
      <c r="D430">
        <v>73.73</v>
      </c>
      <c r="E430">
        <v>72.34</v>
      </c>
      <c r="F430">
        <v>72.459999999999994</v>
      </c>
      <c r="G430" s="2">
        <v>187296489.53999999</v>
      </c>
      <c r="H430" s="3">
        <v>5709</v>
      </c>
    </row>
    <row r="431" spans="1:8" x14ac:dyDescent="0.25">
      <c r="A431" t="s">
        <v>8</v>
      </c>
      <c r="B431" s="1">
        <v>46120</v>
      </c>
      <c r="C431">
        <v>72.41</v>
      </c>
      <c r="D431">
        <v>72.540000000000006</v>
      </c>
      <c r="E431">
        <v>71.28</v>
      </c>
      <c r="F431">
        <v>71.5</v>
      </c>
      <c r="G431" s="2">
        <v>224944951.24000001</v>
      </c>
      <c r="H431" s="3">
        <v>6985</v>
      </c>
    </row>
    <row r="432" spans="1:8" x14ac:dyDescent="0.25">
      <c r="A432" t="s">
        <v>8</v>
      </c>
      <c r="B432" s="1">
        <v>46121</v>
      </c>
      <c r="C432">
        <v>71.430000000000007</v>
      </c>
      <c r="D432">
        <v>71.87</v>
      </c>
      <c r="E432">
        <v>70.650000000000006</v>
      </c>
      <c r="F432">
        <v>70.989999999999995</v>
      </c>
      <c r="G432" s="2">
        <v>186090993.09999999</v>
      </c>
      <c r="H432" s="3">
        <v>5815</v>
      </c>
    </row>
    <row r="433" spans="1:8" x14ac:dyDescent="0.25">
      <c r="A433" t="s">
        <v>8</v>
      </c>
      <c r="B433" s="1">
        <v>46122</v>
      </c>
      <c r="C433">
        <v>70.81</v>
      </c>
      <c r="D433">
        <v>71.12</v>
      </c>
      <c r="E433">
        <v>70.23</v>
      </c>
      <c r="F433">
        <v>70.61</v>
      </c>
      <c r="G433" s="2">
        <v>141330687.52000001</v>
      </c>
      <c r="H433" s="3">
        <v>4454</v>
      </c>
    </row>
    <row r="434" spans="1:8" x14ac:dyDescent="0.25">
      <c r="A434" t="s">
        <v>8</v>
      </c>
      <c r="B434" s="1">
        <v>46125</v>
      </c>
      <c r="C434">
        <v>70.540000000000006</v>
      </c>
      <c r="D434">
        <v>70.91</v>
      </c>
      <c r="E434">
        <v>69.67</v>
      </c>
      <c r="F434">
        <v>69.95</v>
      </c>
      <c r="G434" s="2">
        <v>125737137.12</v>
      </c>
      <c r="H434" s="3">
        <v>3987</v>
      </c>
    </row>
    <row r="435" spans="1:8" x14ac:dyDescent="0.25">
      <c r="A435" t="s">
        <v>8</v>
      </c>
      <c r="B435" s="1">
        <v>46126</v>
      </c>
      <c r="C435">
        <v>69.95</v>
      </c>
      <c r="D435">
        <v>70.22</v>
      </c>
      <c r="E435">
        <v>69.569999999999993</v>
      </c>
      <c r="F435">
        <v>69.61</v>
      </c>
      <c r="G435" s="2">
        <v>108787683.09</v>
      </c>
      <c r="H435" s="3">
        <v>3460</v>
      </c>
    </row>
    <row r="436" spans="1:8" x14ac:dyDescent="0.25">
      <c r="A436" t="s">
        <v>8</v>
      </c>
      <c r="B436" s="1">
        <v>46127</v>
      </c>
      <c r="C436">
        <v>69.64</v>
      </c>
      <c r="D436">
        <v>69.709999999999994</v>
      </c>
      <c r="E436">
        <v>68.349999999999994</v>
      </c>
      <c r="F436">
        <v>68.52</v>
      </c>
      <c r="G436" s="2">
        <v>252122886.09</v>
      </c>
      <c r="H436" s="3">
        <v>8115</v>
      </c>
    </row>
    <row r="437" spans="1:8" x14ac:dyDescent="0.25">
      <c r="A437" t="s">
        <v>8</v>
      </c>
      <c r="B437" s="1">
        <v>46128</v>
      </c>
      <c r="C437">
        <v>68.53</v>
      </c>
      <c r="D437">
        <v>68.790000000000006</v>
      </c>
      <c r="E437">
        <v>68.069999999999993</v>
      </c>
      <c r="F437">
        <v>68.16</v>
      </c>
      <c r="G437" s="2">
        <v>256384487.02000001</v>
      </c>
      <c r="H437" s="3">
        <v>8334</v>
      </c>
    </row>
    <row r="438" spans="1:8" x14ac:dyDescent="0.25">
      <c r="A438" t="s">
        <v>8</v>
      </c>
      <c r="B438" s="1">
        <v>46129</v>
      </c>
      <c r="C438">
        <v>68.150000000000006</v>
      </c>
      <c r="D438">
        <v>68.27</v>
      </c>
      <c r="E438">
        <v>67.150000000000006</v>
      </c>
      <c r="F438">
        <v>67.959999999999994</v>
      </c>
      <c r="G438" s="2">
        <v>187731634.31</v>
      </c>
      <c r="H438" s="3">
        <v>6166</v>
      </c>
    </row>
    <row r="439" spans="1:8" x14ac:dyDescent="0.25">
      <c r="A439" t="s">
        <v>8</v>
      </c>
      <c r="B439" s="1">
        <v>46132</v>
      </c>
      <c r="C439">
        <v>67.959999999999994</v>
      </c>
      <c r="D439">
        <v>69.91</v>
      </c>
      <c r="E439">
        <v>67.84</v>
      </c>
      <c r="F439">
        <v>69.87</v>
      </c>
      <c r="G439" s="2">
        <v>292003354.50999999</v>
      </c>
      <c r="H439" s="3">
        <v>9388</v>
      </c>
    </row>
    <row r="440" spans="1:8" x14ac:dyDescent="0.25">
      <c r="A440" t="s">
        <v>8</v>
      </c>
      <c r="B440" s="1">
        <v>46134</v>
      </c>
      <c r="C440">
        <v>69.81</v>
      </c>
      <c r="D440">
        <v>71.5</v>
      </c>
      <c r="E440">
        <v>68.849999999999994</v>
      </c>
      <c r="F440">
        <v>71.39</v>
      </c>
      <c r="G440" s="2">
        <v>394037797.5</v>
      </c>
      <c r="H440" s="3">
        <v>12375</v>
      </c>
    </row>
    <row r="441" spans="1:8" x14ac:dyDescent="0.25">
      <c r="A441" t="s">
        <v>8</v>
      </c>
      <c r="B441" s="1">
        <v>46135</v>
      </c>
      <c r="C441">
        <v>71.25</v>
      </c>
      <c r="D441">
        <v>71.540000000000006</v>
      </c>
      <c r="E441">
        <v>70.5</v>
      </c>
      <c r="F441">
        <v>71.2</v>
      </c>
      <c r="G441" s="2">
        <v>276232792.5</v>
      </c>
      <c r="H441" s="3">
        <v>8645</v>
      </c>
    </row>
    <row r="442" spans="1:8" x14ac:dyDescent="0.25">
      <c r="A442" t="s">
        <v>8</v>
      </c>
      <c r="B442" s="1">
        <v>46136</v>
      </c>
      <c r="C442">
        <v>71.2</v>
      </c>
      <c r="D442">
        <v>71.930000000000007</v>
      </c>
      <c r="E442">
        <v>70.75</v>
      </c>
      <c r="F442">
        <v>71.400000000000006</v>
      </c>
      <c r="G442" s="2">
        <v>230839335</v>
      </c>
      <c r="H442" s="3">
        <v>7178</v>
      </c>
    </row>
    <row r="443" spans="1:8" x14ac:dyDescent="0.25">
      <c r="A443" t="s">
        <v>8</v>
      </c>
      <c r="B443" s="1">
        <v>46139</v>
      </c>
      <c r="C443">
        <v>71.290000000000006</v>
      </c>
      <c r="D443">
        <v>72.47</v>
      </c>
      <c r="E443">
        <v>71.2</v>
      </c>
      <c r="F443">
        <v>72.02</v>
      </c>
      <c r="G443" s="2">
        <v>295787380.5</v>
      </c>
      <c r="H443" s="3">
        <v>9139</v>
      </c>
    </row>
    <row r="444" spans="1:8" x14ac:dyDescent="0.25">
      <c r="A444" t="s">
        <v>8</v>
      </c>
      <c r="B444" s="1">
        <v>46140</v>
      </c>
      <c r="C444">
        <v>71.92</v>
      </c>
      <c r="D444">
        <v>72.12</v>
      </c>
      <c r="E444">
        <v>71.099999999999994</v>
      </c>
      <c r="F444">
        <v>71.94</v>
      </c>
      <c r="G444" s="2">
        <v>290102859</v>
      </c>
      <c r="H444" s="3">
        <v>8987</v>
      </c>
    </row>
    <row r="445" spans="1:8" x14ac:dyDescent="0.25">
      <c r="A445" t="s">
        <v>8</v>
      </c>
      <c r="B445" s="1">
        <v>46141</v>
      </c>
      <c r="C445">
        <v>71.900000000000006</v>
      </c>
      <c r="D445">
        <v>72.239999999999995</v>
      </c>
      <c r="E445">
        <v>71.66</v>
      </c>
      <c r="F445">
        <v>72.05</v>
      </c>
      <c r="G445" s="2">
        <v>233585518.5</v>
      </c>
      <c r="H445" s="3">
        <v>7209</v>
      </c>
    </row>
    <row r="446" spans="1:8" x14ac:dyDescent="0.25">
      <c r="A446" t="s">
        <v>8</v>
      </c>
      <c r="B446" s="1">
        <v>46142</v>
      </c>
      <c r="C446">
        <v>71.930000000000007</v>
      </c>
      <c r="D446">
        <v>72</v>
      </c>
      <c r="E446">
        <v>71.23</v>
      </c>
      <c r="F446">
        <v>71.599999999999994</v>
      </c>
      <c r="G446" s="2">
        <v>198504886.5</v>
      </c>
      <c r="H446" s="3">
        <v>6162</v>
      </c>
    </row>
    <row r="447" spans="1:8" x14ac:dyDescent="0.25">
      <c r="A447" t="s">
        <v>8</v>
      </c>
      <c r="B447" s="1">
        <v>46146</v>
      </c>
      <c r="C447">
        <v>71.650000000000006</v>
      </c>
      <c r="D447">
        <v>72</v>
      </c>
      <c r="E447">
        <v>71.05</v>
      </c>
      <c r="F447">
        <v>71.2</v>
      </c>
      <c r="G447" s="2">
        <v>208124707.5</v>
      </c>
      <c r="H447" s="3">
        <v>6452</v>
      </c>
    </row>
    <row r="448" spans="1:8" x14ac:dyDescent="0.25">
      <c r="A448" t="s">
        <v>8</v>
      </c>
      <c r="B448" s="1">
        <v>46147</v>
      </c>
      <c r="C448">
        <v>71</v>
      </c>
      <c r="D448">
        <v>71.09</v>
      </c>
      <c r="E448">
        <v>70.099999999999994</v>
      </c>
      <c r="F448">
        <v>70.25</v>
      </c>
      <c r="G448" s="2">
        <v>317076655.5</v>
      </c>
      <c r="H448" s="3">
        <v>10002</v>
      </c>
    </row>
    <row r="449" spans="1:8" x14ac:dyDescent="0.25">
      <c r="A449" t="s">
        <v>8</v>
      </c>
      <c r="B449" s="1">
        <v>46148</v>
      </c>
      <c r="C449">
        <v>70.23</v>
      </c>
      <c r="D449">
        <v>70.48</v>
      </c>
      <c r="E449">
        <v>68</v>
      </c>
      <c r="F449">
        <v>69.349999999999994</v>
      </c>
      <c r="G449" s="2">
        <v>358218859.5</v>
      </c>
      <c r="H449" s="3">
        <v>11462</v>
      </c>
    </row>
    <row r="450" spans="1:8" x14ac:dyDescent="0.25">
      <c r="A450" t="s">
        <v>8</v>
      </c>
      <c r="B450" s="1">
        <v>46149</v>
      </c>
      <c r="C450">
        <v>69.400000000000006</v>
      </c>
      <c r="D450">
        <v>69.61</v>
      </c>
      <c r="E450">
        <v>68.819999999999993</v>
      </c>
      <c r="F450">
        <v>69.489999999999995</v>
      </c>
      <c r="G450" s="2">
        <v>333210451.5</v>
      </c>
      <c r="H450" s="3">
        <v>10687</v>
      </c>
    </row>
    <row r="451" spans="1:8" x14ac:dyDescent="0.25">
      <c r="A451" t="s">
        <v>8</v>
      </c>
      <c r="B451" s="1">
        <v>46150</v>
      </c>
      <c r="C451">
        <v>69.5</v>
      </c>
      <c r="D451">
        <v>70.180000000000007</v>
      </c>
      <c r="E451">
        <v>69.16</v>
      </c>
      <c r="F451">
        <v>69.72</v>
      </c>
      <c r="G451" s="2">
        <v>258665773.5</v>
      </c>
      <c r="H451" s="3">
        <v>8251</v>
      </c>
    </row>
    <row r="452" spans="1:8" x14ac:dyDescent="0.25">
      <c r="A452" t="s">
        <v>8</v>
      </c>
      <c r="B452" s="1">
        <v>46153</v>
      </c>
      <c r="C452">
        <v>69.709999999999994</v>
      </c>
      <c r="D452">
        <v>70.540000000000006</v>
      </c>
      <c r="E452">
        <v>69.56</v>
      </c>
      <c r="F452">
        <v>70.16</v>
      </c>
      <c r="G452" s="2">
        <v>165410712</v>
      </c>
      <c r="H452" s="3">
        <v>5248</v>
      </c>
    </row>
    <row r="453" spans="1:8" x14ac:dyDescent="0.25">
      <c r="A453" t="s">
        <v>8</v>
      </c>
      <c r="B453" s="1">
        <v>46154</v>
      </c>
      <c r="C453">
        <v>70.239999999999995</v>
      </c>
      <c r="D453">
        <v>70.709999999999994</v>
      </c>
      <c r="E453">
        <v>69.94</v>
      </c>
      <c r="F453">
        <v>70.599999999999994</v>
      </c>
      <c r="G453" s="2">
        <v>187935772.5</v>
      </c>
      <c r="H453" s="3">
        <v>5930</v>
      </c>
    </row>
    <row r="454" spans="1:8" x14ac:dyDescent="0.25">
      <c r="A454" t="s">
        <v>8</v>
      </c>
      <c r="B454" s="1">
        <v>46155</v>
      </c>
      <c r="C454">
        <v>70.599999999999994</v>
      </c>
      <c r="D454">
        <v>70.760000000000005</v>
      </c>
      <c r="E454">
        <v>69.7</v>
      </c>
      <c r="F454">
        <v>70.099999999999994</v>
      </c>
      <c r="G454" s="2">
        <v>245369587.5</v>
      </c>
      <c r="H454" s="3">
        <v>7790</v>
      </c>
    </row>
    <row r="455" spans="1:8" x14ac:dyDescent="0.25">
      <c r="A455" t="s">
        <v>8</v>
      </c>
      <c r="B455" s="1">
        <v>46156</v>
      </c>
      <c r="C455">
        <v>70.099999999999994</v>
      </c>
      <c r="D455">
        <v>70.150000000000006</v>
      </c>
      <c r="E455">
        <v>69.52</v>
      </c>
      <c r="F455">
        <v>69.8</v>
      </c>
      <c r="G455" s="2">
        <v>205991226</v>
      </c>
      <c r="H455" s="3">
        <v>6555</v>
      </c>
    </row>
    <row r="456" spans="1:8" x14ac:dyDescent="0.25">
      <c r="A456" t="s">
        <v>8</v>
      </c>
      <c r="B456" s="1">
        <v>46157</v>
      </c>
      <c r="C456">
        <v>69.77</v>
      </c>
      <c r="D456">
        <v>70.2</v>
      </c>
      <c r="E456">
        <v>69.599999999999994</v>
      </c>
      <c r="F456">
        <v>69.63</v>
      </c>
      <c r="G456" s="2">
        <v>124067182.5</v>
      </c>
      <c r="H456" s="3">
        <v>3945</v>
      </c>
    </row>
    <row r="457" spans="1:8" x14ac:dyDescent="0.25">
      <c r="A457" t="s">
        <v>8</v>
      </c>
      <c r="B457" s="1">
        <v>46160</v>
      </c>
      <c r="C457">
        <v>69.55</v>
      </c>
      <c r="D457">
        <v>70.14</v>
      </c>
      <c r="E457">
        <v>69.290000000000006</v>
      </c>
      <c r="F457">
        <v>69.86</v>
      </c>
      <c r="G457" s="2">
        <v>188562190.5</v>
      </c>
      <c r="H457" s="3">
        <v>5995</v>
      </c>
    </row>
    <row r="458" spans="1:8" x14ac:dyDescent="0.25">
      <c r="A458" t="s">
        <v>8</v>
      </c>
      <c r="B458" s="1">
        <v>46161</v>
      </c>
      <c r="C458">
        <v>69.8</v>
      </c>
      <c r="D458">
        <v>69.900000000000006</v>
      </c>
      <c r="E458">
        <v>69.5</v>
      </c>
      <c r="F458">
        <v>69.8</v>
      </c>
      <c r="G458" s="2">
        <v>75186607.5</v>
      </c>
      <c r="H458" s="3">
        <v>2399</v>
      </c>
    </row>
    <row r="459" spans="1:8" x14ac:dyDescent="0.25">
      <c r="A459" t="s">
        <v>8</v>
      </c>
      <c r="B459" s="1">
        <v>46162</v>
      </c>
      <c r="C459">
        <v>69.86</v>
      </c>
      <c r="D459">
        <v>70</v>
      </c>
      <c r="E459">
        <v>69.5</v>
      </c>
      <c r="F459">
        <v>69.83</v>
      </c>
      <c r="G459" s="2">
        <v>133341340.5</v>
      </c>
      <c r="H459" s="3">
        <v>4244</v>
      </c>
    </row>
    <row r="460" spans="1:8" x14ac:dyDescent="0.25">
      <c r="A460" t="s">
        <v>8</v>
      </c>
      <c r="B460" s="1">
        <v>46163</v>
      </c>
      <c r="C460">
        <v>69.819999999999993</v>
      </c>
      <c r="D460">
        <v>70.209999999999994</v>
      </c>
      <c r="E460">
        <v>69.7</v>
      </c>
      <c r="F460">
        <v>70</v>
      </c>
      <c r="G460" s="2">
        <v>165953335.5</v>
      </c>
      <c r="H460" s="3">
        <v>5276</v>
      </c>
    </row>
    <row r="461" spans="1:8" x14ac:dyDescent="0.25">
      <c r="A461" t="s">
        <v>8</v>
      </c>
      <c r="B461" s="1">
        <v>46164</v>
      </c>
      <c r="C461">
        <v>70.03</v>
      </c>
      <c r="D461">
        <v>70.12</v>
      </c>
      <c r="E461">
        <v>69.63</v>
      </c>
      <c r="F461">
        <v>69.94</v>
      </c>
      <c r="G461" s="2">
        <v>126731488.5</v>
      </c>
      <c r="H461" s="3">
        <v>4029</v>
      </c>
    </row>
    <row r="462" spans="1:8" x14ac:dyDescent="0.25">
      <c r="A462" t="s">
        <v>8</v>
      </c>
      <c r="B462" s="1">
        <v>46167</v>
      </c>
      <c r="C462">
        <v>69.81</v>
      </c>
      <c r="D462">
        <v>70.13</v>
      </c>
      <c r="E462">
        <v>69.39</v>
      </c>
      <c r="F462">
        <v>69.5</v>
      </c>
      <c r="G462" s="2">
        <v>128212074</v>
      </c>
      <c r="H462" s="3">
        <v>4090</v>
      </c>
    </row>
    <row r="463" spans="1:8" x14ac:dyDescent="0.25">
      <c r="A463" t="s">
        <v>8</v>
      </c>
      <c r="B463" s="1">
        <v>46168</v>
      </c>
      <c r="C463">
        <v>69.3</v>
      </c>
      <c r="D463">
        <v>69.48</v>
      </c>
      <c r="E463">
        <v>68.52</v>
      </c>
      <c r="F463">
        <v>68.95</v>
      </c>
      <c r="G463" s="2">
        <v>343317271.5</v>
      </c>
      <c r="H463" s="3">
        <v>11081</v>
      </c>
    </row>
    <row r="464" spans="1:8" x14ac:dyDescent="0.25">
      <c r="A464" t="s">
        <v>8</v>
      </c>
      <c r="B464" s="1">
        <v>46169</v>
      </c>
      <c r="C464">
        <v>68.81</v>
      </c>
      <c r="D464">
        <v>68.900000000000006</v>
      </c>
      <c r="E464">
        <v>68.08</v>
      </c>
      <c r="F464">
        <v>68.3</v>
      </c>
      <c r="G464" s="2">
        <v>261160267.5</v>
      </c>
      <c r="H464" s="3">
        <v>8489</v>
      </c>
    </row>
    <row r="465" spans="1:8" x14ac:dyDescent="0.25">
      <c r="A465" t="s">
        <v>8</v>
      </c>
      <c r="B465" s="1">
        <v>46170</v>
      </c>
      <c r="C465">
        <v>68.3</v>
      </c>
      <c r="D465">
        <v>68.8</v>
      </c>
      <c r="E465">
        <v>68.14</v>
      </c>
      <c r="F465">
        <v>68.739999999999995</v>
      </c>
      <c r="G465" s="2">
        <v>161154297</v>
      </c>
      <c r="H465" s="3">
        <v>5229</v>
      </c>
    </row>
    <row r="466" spans="1:8" x14ac:dyDescent="0.25">
      <c r="A466" t="s">
        <v>8</v>
      </c>
      <c r="B466" s="1">
        <v>46171</v>
      </c>
      <c r="C466">
        <v>68.709999999999994</v>
      </c>
      <c r="D466">
        <v>68.78</v>
      </c>
      <c r="E466">
        <v>68.099999999999994</v>
      </c>
      <c r="F466">
        <v>68.099999999999994</v>
      </c>
      <c r="G466" s="2">
        <v>245598525</v>
      </c>
      <c r="H466" s="3">
        <v>7991</v>
      </c>
    </row>
    <row r="467" spans="1:8" x14ac:dyDescent="0.25">
      <c r="A467" t="s">
        <v>8</v>
      </c>
      <c r="B467" s="1">
        <v>46174</v>
      </c>
      <c r="C467">
        <v>68.06</v>
      </c>
      <c r="D467">
        <v>68.319999999999993</v>
      </c>
      <c r="E467">
        <v>67.7</v>
      </c>
      <c r="F467">
        <v>67.75</v>
      </c>
      <c r="G467" s="2">
        <v>314210493</v>
      </c>
      <c r="H467" s="3">
        <v>10272</v>
      </c>
    </row>
    <row r="468" spans="1:8" x14ac:dyDescent="0.25">
      <c r="A468" t="s">
        <v>8</v>
      </c>
      <c r="B468" s="1">
        <v>46175</v>
      </c>
      <c r="C468">
        <v>67.650000000000006</v>
      </c>
      <c r="D468">
        <v>67.84</v>
      </c>
      <c r="E468">
        <v>66.89</v>
      </c>
      <c r="F468">
        <v>66.959999999999994</v>
      </c>
      <c r="G468" s="2">
        <v>353615539.5</v>
      </c>
      <c r="H468" s="3">
        <v>11678</v>
      </c>
    </row>
    <row r="469" spans="1:8" x14ac:dyDescent="0.25">
      <c r="A469" t="s">
        <v>8</v>
      </c>
      <c r="B469" s="1">
        <v>46176</v>
      </c>
      <c r="C469">
        <v>67</v>
      </c>
      <c r="D469">
        <v>68.2</v>
      </c>
      <c r="E469">
        <v>66.34</v>
      </c>
      <c r="F469">
        <v>68.2</v>
      </c>
      <c r="G469" s="2">
        <v>465982978.5</v>
      </c>
      <c r="H469" s="3">
        <v>15422</v>
      </c>
    </row>
    <row r="470" spans="1:8" x14ac:dyDescent="0.25">
      <c r="A470" t="s">
        <v>8</v>
      </c>
      <c r="B470" s="1">
        <v>46178</v>
      </c>
      <c r="C470">
        <v>68.099999999999994</v>
      </c>
      <c r="D470">
        <v>69.12</v>
      </c>
      <c r="E470">
        <v>67.400000000000006</v>
      </c>
      <c r="F470">
        <v>68.8</v>
      </c>
      <c r="G470" s="2">
        <v>361149849</v>
      </c>
      <c r="H470" s="3">
        <v>11717</v>
      </c>
    </row>
    <row r="471" spans="1:8" x14ac:dyDescent="0.25">
      <c r="A471" t="s">
        <v>8</v>
      </c>
      <c r="B471" s="1">
        <v>46181</v>
      </c>
      <c r="C471">
        <v>68.83</v>
      </c>
      <c r="D471">
        <v>68.900000000000006</v>
      </c>
      <c r="E471">
        <v>67.260000000000005</v>
      </c>
      <c r="F471">
        <v>67.45</v>
      </c>
      <c r="G471" s="2">
        <v>350646745.5</v>
      </c>
      <c r="H471" s="3">
        <v>11471</v>
      </c>
    </row>
    <row r="472" spans="1:8" x14ac:dyDescent="0.25">
      <c r="A472" t="s">
        <v>8</v>
      </c>
      <c r="B472" s="1">
        <v>46182</v>
      </c>
      <c r="C472">
        <v>67.44</v>
      </c>
      <c r="D472">
        <v>67.62</v>
      </c>
      <c r="E472">
        <v>66.95</v>
      </c>
      <c r="F472">
        <v>67.459999999999994</v>
      </c>
      <c r="G472" s="2">
        <v>268552701</v>
      </c>
      <c r="H472" s="3">
        <v>8870</v>
      </c>
    </row>
    <row r="473" spans="1:8" x14ac:dyDescent="0.25">
      <c r="A473" t="s">
        <v>8</v>
      </c>
      <c r="B473" s="1">
        <v>46183</v>
      </c>
      <c r="C473">
        <v>67.5</v>
      </c>
      <c r="D473">
        <v>67.900000000000006</v>
      </c>
      <c r="E473">
        <v>66.72</v>
      </c>
      <c r="F473">
        <v>66.8</v>
      </c>
      <c r="G473" s="2">
        <v>172808977.5</v>
      </c>
      <c r="H473" s="3">
        <v>5705</v>
      </c>
    </row>
    <row r="474" spans="1:8" x14ac:dyDescent="0.25">
      <c r="A474" t="s">
        <v>8</v>
      </c>
      <c r="B474" s="1">
        <v>46184</v>
      </c>
      <c r="C474">
        <v>66.849999999999994</v>
      </c>
      <c r="D474">
        <v>67.39</v>
      </c>
      <c r="E474">
        <v>66.349999999999994</v>
      </c>
      <c r="F474">
        <v>66.459999999999994</v>
      </c>
      <c r="G474" s="2">
        <v>310711027.5</v>
      </c>
      <c r="H474" s="3">
        <v>10348</v>
      </c>
    </row>
    <row r="475" spans="1:8" x14ac:dyDescent="0.25">
      <c r="A475" t="s">
        <v>8</v>
      </c>
      <c r="B475" s="1">
        <v>46185</v>
      </c>
      <c r="C475">
        <v>66.37</v>
      </c>
      <c r="D475">
        <v>67.09</v>
      </c>
      <c r="E475">
        <v>66.349999999999994</v>
      </c>
      <c r="F475">
        <v>66.83</v>
      </c>
      <c r="G475" s="2">
        <v>145598953.5</v>
      </c>
      <c r="H475" s="3">
        <v>4845</v>
      </c>
    </row>
    <row r="476" spans="1:8" x14ac:dyDescent="0.25">
      <c r="A476" t="s">
        <v>8</v>
      </c>
      <c r="B476" s="1">
        <v>46188</v>
      </c>
      <c r="C476">
        <v>66.86</v>
      </c>
      <c r="D476">
        <v>67.459999999999994</v>
      </c>
      <c r="E476">
        <v>66.52</v>
      </c>
      <c r="F476">
        <v>66.95</v>
      </c>
      <c r="G476" s="2">
        <v>159376707</v>
      </c>
      <c r="H476" s="3">
        <v>5291</v>
      </c>
    </row>
    <row r="477" spans="1:8" x14ac:dyDescent="0.25">
      <c r="A477" t="s">
        <v>8</v>
      </c>
      <c r="B477" s="1">
        <v>46189</v>
      </c>
      <c r="C477">
        <v>66.849999999999994</v>
      </c>
      <c r="D477">
        <v>67.33</v>
      </c>
      <c r="E477">
        <v>66.41</v>
      </c>
      <c r="F477">
        <v>67</v>
      </c>
      <c r="G477" s="2">
        <v>131960835</v>
      </c>
      <c r="H477" s="3">
        <v>4379</v>
      </c>
    </row>
    <row r="478" spans="1:8" x14ac:dyDescent="0.25">
      <c r="A478" t="s">
        <v>8</v>
      </c>
      <c r="B478" s="1">
        <v>46190</v>
      </c>
      <c r="C478">
        <v>66.94</v>
      </c>
      <c r="D478">
        <v>67.41</v>
      </c>
      <c r="E478">
        <v>66.81</v>
      </c>
      <c r="F478">
        <v>67.28</v>
      </c>
      <c r="G478" s="2">
        <v>164965414.5</v>
      </c>
      <c r="H478" s="3">
        <v>5460</v>
      </c>
    </row>
    <row r="479" spans="1:8" x14ac:dyDescent="0.25">
      <c r="A479" t="s">
        <v>8</v>
      </c>
      <c r="B479" s="1">
        <v>46191</v>
      </c>
      <c r="C479">
        <v>67.319999999999993</v>
      </c>
      <c r="D479">
        <v>67.61</v>
      </c>
      <c r="E479">
        <v>66.930000000000007</v>
      </c>
      <c r="F479">
        <v>67.03</v>
      </c>
      <c r="G479" s="2">
        <v>190459089</v>
      </c>
      <c r="H479" s="3">
        <v>6304</v>
      </c>
    </row>
    <row r="480" spans="1:8" x14ac:dyDescent="0.25">
      <c r="A480" t="s">
        <v>8</v>
      </c>
      <c r="B480" s="1">
        <v>46192</v>
      </c>
      <c r="C480">
        <v>67.010000000000005</v>
      </c>
      <c r="D480">
        <v>67.099999999999994</v>
      </c>
      <c r="E480">
        <v>66.56</v>
      </c>
      <c r="F480">
        <v>66.8</v>
      </c>
      <c r="G480" s="2">
        <v>152535163.5</v>
      </c>
      <c r="H480" s="3">
        <v>5067</v>
      </c>
    </row>
    <row r="481" spans="1:8" x14ac:dyDescent="0.25">
      <c r="A481" t="s">
        <v>8</v>
      </c>
      <c r="B481" s="1">
        <v>46195</v>
      </c>
      <c r="C481">
        <v>66.8</v>
      </c>
      <c r="D481">
        <v>67.099999999999994</v>
      </c>
      <c r="E481">
        <v>66.58</v>
      </c>
      <c r="F481">
        <v>66.650000000000006</v>
      </c>
      <c r="G481" s="2">
        <v>127407658.5</v>
      </c>
      <c r="H481" s="3">
        <v>4240</v>
      </c>
    </row>
    <row r="482" spans="1:8" x14ac:dyDescent="0.25">
      <c r="A482" t="s">
        <v>8</v>
      </c>
      <c r="B482" s="1">
        <v>46196</v>
      </c>
      <c r="C482">
        <v>66.650000000000006</v>
      </c>
      <c r="D482">
        <v>67.38</v>
      </c>
      <c r="E482">
        <v>66.650000000000006</v>
      </c>
      <c r="F482">
        <v>67.2</v>
      </c>
      <c r="G482" s="2">
        <v>214390273.5</v>
      </c>
      <c r="H482" s="3">
        <v>7107</v>
      </c>
    </row>
    <row r="483" spans="1:8" x14ac:dyDescent="0.25">
      <c r="A483" t="s">
        <v>8</v>
      </c>
      <c r="B483" s="1">
        <v>46197</v>
      </c>
      <c r="C483">
        <v>67.290000000000006</v>
      </c>
      <c r="D483">
        <v>67.599999999999994</v>
      </c>
      <c r="E483">
        <v>67.150000000000006</v>
      </c>
      <c r="F483">
        <v>67.489999999999995</v>
      </c>
      <c r="G483" s="2">
        <v>158225809.5</v>
      </c>
      <c r="H483" s="3">
        <v>5218</v>
      </c>
    </row>
    <row r="484" spans="1:8" x14ac:dyDescent="0.25">
      <c r="A484" t="s">
        <v>8</v>
      </c>
      <c r="B484" s="1">
        <v>46198</v>
      </c>
      <c r="C484">
        <v>67.540000000000006</v>
      </c>
      <c r="D484">
        <v>68</v>
      </c>
      <c r="E484">
        <v>67.28</v>
      </c>
      <c r="F484">
        <v>68</v>
      </c>
      <c r="G484" s="2">
        <v>134026564.5</v>
      </c>
      <c r="H484" s="3">
        <v>4401</v>
      </c>
    </row>
    <row r="485" spans="1:8" x14ac:dyDescent="0.25">
      <c r="A485" t="s">
        <v>8</v>
      </c>
      <c r="B485" s="1">
        <v>46199</v>
      </c>
      <c r="C485">
        <v>67.91</v>
      </c>
      <c r="D485">
        <v>68.13</v>
      </c>
      <c r="E485">
        <v>67.5</v>
      </c>
      <c r="F485">
        <v>67.959999999999994</v>
      </c>
      <c r="G485" s="2">
        <v>159408675</v>
      </c>
      <c r="H485" s="3">
        <v>5222</v>
      </c>
    </row>
    <row r="486" spans="1:8" x14ac:dyDescent="0.25">
      <c r="A486" t="s">
        <v>8</v>
      </c>
      <c r="B486" s="1">
        <v>46202</v>
      </c>
      <c r="C486">
        <v>67.89</v>
      </c>
      <c r="D486">
        <v>68.010000000000005</v>
      </c>
      <c r="E486">
        <v>67.599999999999994</v>
      </c>
      <c r="F486">
        <v>67.63</v>
      </c>
      <c r="G486" s="2">
        <v>93721977</v>
      </c>
      <c r="H486" s="3">
        <v>3072</v>
      </c>
    </row>
    <row r="487" spans="1:8" x14ac:dyDescent="0.25">
      <c r="A487" t="s">
        <v>8</v>
      </c>
      <c r="B487" s="1">
        <v>46203</v>
      </c>
      <c r="C487">
        <v>67.56</v>
      </c>
      <c r="D487">
        <v>68.290000000000006</v>
      </c>
      <c r="E487">
        <v>67.319999999999993</v>
      </c>
      <c r="F487">
        <v>68.2</v>
      </c>
      <c r="G487" s="2">
        <v>143737978.5</v>
      </c>
      <c r="H487" s="3">
        <v>4701</v>
      </c>
    </row>
    <row r="488" spans="1:8" x14ac:dyDescent="0.25">
      <c r="A488" t="s">
        <v>8</v>
      </c>
      <c r="B488" s="1">
        <v>46204</v>
      </c>
      <c r="C488">
        <v>68.2</v>
      </c>
      <c r="D488">
        <v>68.62</v>
      </c>
      <c r="E488">
        <v>67.97</v>
      </c>
      <c r="F488">
        <v>68.36</v>
      </c>
      <c r="G488" s="2">
        <v>126831249</v>
      </c>
      <c r="H488" s="3">
        <v>4125</v>
      </c>
    </row>
    <row r="489" spans="1:8" x14ac:dyDescent="0.25">
      <c r="A489" t="s">
        <v>8</v>
      </c>
      <c r="B489" s="1">
        <v>46205</v>
      </c>
      <c r="C489">
        <v>68.349999999999994</v>
      </c>
      <c r="D489">
        <v>68.8</v>
      </c>
      <c r="E489">
        <v>67.91</v>
      </c>
      <c r="F489">
        <v>67.989999999999995</v>
      </c>
      <c r="G489" s="2">
        <v>228520264.5</v>
      </c>
      <c r="H489" s="3">
        <v>7412</v>
      </c>
    </row>
    <row r="490" spans="1:8" x14ac:dyDescent="0.25">
      <c r="A490" t="s">
        <v>8</v>
      </c>
      <c r="B490" s="1">
        <v>46206</v>
      </c>
      <c r="C490">
        <v>67.83</v>
      </c>
      <c r="D490">
        <v>68.099999999999994</v>
      </c>
      <c r="E490">
        <v>67</v>
      </c>
      <c r="F490">
        <v>67</v>
      </c>
      <c r="G490" s="2">
        <v>219047620.5</v>
      </c>
      <c r="H490" s="3">
        <v>7227</v>
      </c>
    </row>
    <row r="491" spans="1:8" x14ac:dyDescent="0.25">
      <c r="A491" t="s">
        <v>8</v>
      </c>
      <c r="B491" s="1">
        <v>46209</v>
      </c>
      <c r="C491">
        <v>66.989999999999995</v>
      </c>
      <c r="D491">
        <v>68.400000000000006</v>
      </c>
      <c r="E491">
        <v>66.989999999999995</v>
      </c>
      <c r="F491">
        <v>68.349999999999994</v>
      </c>
      <c r="G491" s="2">
        <v>209121552</v>
      </c>
      <c r="H491" s="3">
        <v>6843</v>
      </c>
    </row>
    <row r="492" spans="1:8" x14ac:dyDescent="0.25">
      <c r="A492" t="s">
        <v>8</v>
      </c>
      <c r="B492" s="1">
        <v>46210</v>
      </c>
      <c r="C492">
        <v>68.3</v>
      </c>
      <c r="D492">
        <v>68.599999999999994</v>
      </c>
      <c r="E492">
        <v>67.81</v>
      </c>
      <c r="F492">
        <v>68.2</v>
      </c>
      <c r="G492" s="2">
        <v>186495759</v>
      </c>
      <c r="H492" s="3">
        <v>6074</v>
      </c>
    </row>
    <row r="493" spans="1:8" x14ac:dyDescent="0.25">
      <c r="A493" t="s">
        <v>8</v>
      </c>
      <c r="B493" s="1">
        <v>46211</v>
      </c>
      <c r="C493">
        <v>68.27</v>
      </c>
      <c r="D493">
        <v>68.77</v>
      </c>
      <c r="E493">
        <v>67.87</v>
      </c>
      <c r="F493">
        <v>68.040000000000006</v>
      </c>
      <c r="G493" s="2">
        <v>166584519</v>
      </c>
      <c r="H493" s="3">
        <v>5419</v>
      </c>
    </row>
    <row r="494" spans="1:8" x14ac:dyDescent="0.25">
      <c r="A494" t="s">
        <v>8</v>
      </c>
      <c r="B494" s="1">
        <v>46212</v>
      </c>
      <c r="C494">
        <v>68.02</v>
      </c>
      <c r="D494">
        <v>68.19</v>
      </c>
      <c r="E494">
        <v>67.42</v>
      </c>
      <c r="F494">
        <v>67.45</v>
      </c>
      <c r="G494" s="2">
        <v>107943187.5</v>
      </c>
      <c r="H494" s="3">
        <v>3539</v>
      </c>
    </row>
    <row r="495" spans="1:8" x14ac:dyDescent="0.25">
      <c r="A495" t="s">
        <v>8</v>
      </c>
      <c r="B495" s="1">
        <v>46213</v>
      </c>
      <c r="C495">
        <v>67.459999999999994</v>
      </c>
      <c r="D495">
        <v>68.11</v>
      </c>
      <c r="E495">
        <v>67.22</v>
      </c>
      <c r="F495">
        <v>67.25</v>
      </c>
      <c r="G495" s="2">
        <v>146141595</v>
      </c>
      <c r="H495" s="3">
        <v>4797</v>
      </c>
    </row>
    <row r="496" spans="1:8" x14ac:dyDescent="0.25">
      <c r="A496" t="s">
        <v>8</v>
      </c>
      <c r="B496" s="1">
        <v>46216</v>
      </c>
      <c r="C496">
        <v>67.27</v>
      </c>
      <c r="D496">
        <v>68</v>
      </c>
      <c r="E496">
        <v>67.25</v>
      </c>
      <c r="F496">
        <v>67.900000000000006</v>
      </c>
      <c r="G496" s="2">
        <v>68173686</v>
      </c>
      <c r="H496" s="3">
        <v>2235</v>
      </c>
    </row>
    <row r="497" spans="1:8" x14ac:dyDescent="0.25">
      <c r="A497" t="s">
        <v>8</v>
      </c>
      <c r="B497" s="1">
        <v>46217</v>
      </c>
      <c r="C497">
        <v>67.97</v>
      </c>
      <c r="D497">
        <v>68.11</v>
      </c>
      <c r="E497">
        <v>67.400000000000006</v>
      </c>
      <c r="F497">
        <v>67.42</v>
      </c>
      <c r="G497" s="2">
        <v>182200297.5</v>
      </c>
      <c r="H497" s="3">
        <v>5991</v>
      </c>
    </row>
    <row r="498" spans="1:8" x14ac:dyDescent="0.25">
      <c r="A498" t="s">
        <v>8</v>
      </c>
      <c r="B498" s="1">
        <v>46218</v>
      </c>
      <c r="C498">
        <v>67.430000000000007</v>
      </c>
      <c r="D498">
        <v>68.3</v>
      </c>
      <c r="E498">
        <v>67.37</v>
      </c>
      <c r="F498">
        <v>68.17</v>
      </c>
      <c r="G498" s="2">
        <v>214488877.5</v>
      </c>
      <c r="H498" s="3">
        <v>7017</v>
      </c>
    </row>
    <row r="499" spans="1:8" x14ac:dyDescent="0.25">
      <c r="A499" t="s">
        <v>8</v>
      </c>
      <c r="B499" s="1">
        <v>46219</v>
      </c>
      <c r="C499">
        <v>68.19</v>
      </c>
      <c r="D499">
        <v>68.489999999999995</v>
      </c>
      <c r="E499">
        <v>67.95</v>
      </c>
      <c r="F499">
        <v>68.430000000000007</v>
      </c>
      <c r="G499" s="2">
        <v>122556550.5</v>
      </c>
      <c r="H499" s="3">
        <v>3992</v>
      </c>
    </row>
    <row r="500" spans="1:8" x14ac:dyDescent="0.25">
      <c r="A500" t="s">
        <v>8</v>
      </c>
      <c r="B500" s="1">
        <v>46220</v>
      </c>
      <c r="C500">
        <v>68.430000000000007</v>
      </c>
      <c r="D500">
        <v>68.95</v>
      </c>
      <c r="E500">
        <v>68.2</v>
      </c>
      <c r="F500">
        <v>68.8</v>
      </c>
      <c r="G500" s="2">
        <v>116914027.5</v>
      </c>
      <c r="H500" s="3">
        <v>3786</v>
      </c>
    </row>
  </sheetData>
  <sortState xmlns:xlrd2="http://schemas.microsoft.com/office/spreadsheetml/2017/richdata2" ref="A2:H501">
    <sortCondition ref="B2:B50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76FD-E95C-45C4-9291-EC35AF0D8498}">
  <dimension ref="A1:Z501"/>
  <sheetViews>
    <sheetView topLeftCell="Q533" workbookViewId="0">
      <selection sqref="A1:AI549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3" width="6.85546875" bestFit="1" customWidth="1"/>
    <col min="4" max="4" width="13.5703125" bestFit="1" customWidth="1"/>
    <col min="5" max="5" width="12.42578125" bestFit="1" customWidth="1"/>
    <col min="7" max="7" width="8.7109375" bestFit="1" customWidth="1"/>
    <col min="8" max="8" width="13.5703125" bestFit="1" customWidth="1"/>
    <col min="9" max="9" width="6.85546875" bestFit="1" customWidth="1"/>
    <col min="10" max="10" width="13.5703125" bestFit="1" customWidth="1"/>
    <col min="11" max="11" width="12.42578125" bestFit="1" customWidth="1"/>
    <col min="13" max="13" width="9" bestFit="1" customWidth="1"/>
    <col min="14" max="14" width="10" bestFit="1" customWidth="1"/>
    <col min="15" max="15" width="7.140625" bestFit="1" customWidth="1"/>
    <col min="16" max="16" width="13.5703125" bestFit="1" customWidth="1"/>
    <col min="17" max="17" width="12.42578125" bestFit="1" customWidth="1"/>
    <col min="19" max="19" width="18.140625" bestFit="1" customWidth="1"/>
    <col min="20" max="20" width="7.85546875" bestFit="1" customWidth="1"/>
    <col min="22" max="22" width="18.140625" bestFit="1" customWidth="1"/>
    <col min="23" max="23" width="7.85546875" bestFit="1" customWidth="1"/>
    <col min="24" max="24" width="8.7109375" bestFit="1" customWidth="1"/>
    <col min="25" max="25" width="7.85546875" bestFit="1" customWidth="1"/>
  </cols>
  <sheetData>
    <row r="1" spans="1:26" ht="18.75" x14ac:dyDescent="0.3">
      <c r="A1" s="6" t="s">
        <v>9</v>
      </c>
      <c r="B1" s="4"/>
      <c r="C1" s="4"/>
      <c r="D1" s="4"/>
      <c r="E1" s="4"/>
      <c r="G1" s="6" t="s">
        <v>13</v>
      </c>
      <c r="H1" s="6"/>
      <c r="I1" s="6"/>
      <c r="J1" s="6"/>
      <c r="K1" s="6"/>
      <c r="M1" s="6" t="s">
        <v>123</v>
      </c>
      <c r="N1" s="4"/>
      <c r="O1" s="4"/>
      <c r="P1" s="4"/>
      <c r="Q1" s="4"/>
      <c r="S1" s="13" t="s">
        <v>140</v>
      </c>
      <c r="T1" s="4"/>
      <c r="U1" s="4"/>
      <c r="V1" s="5" t="s">
        <v>155</v>
      </c>
      <c r="W1" s="4"/>
      <c r="X1" s="4"/>
      <c r="Y1" s="4"/>
      <c r="Z1" s="4"/>
    </row>
    <row r="2" spans="1:26" x14ac:dyDescent="0.25">
      <c r="A2" s="8" t="s">
        <v>1</v>
      </c>
      <c r="B2" s="8" t="s">
        <v>5</v>
      </c>
      <c r="C2" s="8" t="s">
        <v>10</v>
      </c>
      <c r="D2" s="8" t="s">
        <v>11</v>
      </c>
      <c r="E2" s="8" t="s">
        <v>12</v>
      </c>
      <c r="G2" s="10" t="s">
        <v>14</v>
      </c>
      <c r="H2" s="10" t="s">
        <v>15</v>
      </c>
      <c r="I2" s="10" t="s">
        <v>10</v>
      </c>
      <c r="J2" s="10" t="s">
        <v>11</v>
      </c>
      <c r="K2" s="10" t="s">
        <v>12</v>
      </c>
      <c r="M2" s="11" t="s">
        <v>124</v>
      </c>
      <c r="N2" s="11" t="s">
        <v>125</v>
      </c>
      <c r="O2" s="11" t="s">
        <v>10</v>
      </c>
      <c r="P2" s="11" t="s">
        <v>11</v>
      </c>
      <c r="Q2" s="11" t="s">
        <v>12</v>
      </c>
      <c r="S2" s="15" t="s">
        <v>141</v>
      </c>
      <c r="T2" s="15" t="s">
        <v>152</v>
      </c>
      <c r="V2" s="15" t="s">
        <v>156</v>
      </c>
      <c r="W2" s="15" t="s">
        <v>157</v>
      </c>
      <c r="X2" s="15" t="s">
        <v>158</v>
      </c>
      <c r="Y2" s="15" t="s">
        <v>159</v>
      </c>
    </row>
    <row r="3" spans="1:26" x14ac:dyDescent="0.25">
      <c r="A3" s="1">
        <f>CCMFUT_F_0_Diário!B2</f>
        <v>45491</v>
      </c>
      <c r="B3" s="2">
        <f>CCMFUT_F_0_Diário!F2</f>
        <v>63.13</v>
      </c>
      <c r="C3" s="9">
        <f>0</f>
        <v>0</v>
      </c>
      <c r="D3" s="2">
        <f>B3</f>
        <v>63.13</v>
      </c>
      <c r="E3" s="9">
        <f>0</f>
        <v>0</v>
      </c>
      <c r="G3" t="s">
        <v>16</v>
      </c>
      <c r="H3" s="2">
        <v>64.099999999999994</v>
      </c>
      <c r="I3" s="9">
        <f>0</f>
        <v>0</v>
      </c>
      <c r="J3" s="2">
        <f>H3</f>
        <v>64.099999999999994</v>
      </c>
      <c r="K3" s="9">
        <f>0</f>
        <v>0</v>
      </c>
      <c r="M3" s="12">
        <v>45474</v>
      </c>
      <c r="N3" s="2">
        <v>65.680000000000007</v>
      </c>
      <c r="O3" s="9">
        <f>0</f>
        <v>0</v>
      </c>
      <c r="P3" s="2">
        <f>N3</f>
        <v>65.680000000000007</v>
      </c>
      <c r="Q3" s="9">
        <f>0</f>
        <v>0</v>
      </c>
      <c r="S3" s="16" t="s">
        <v>142</v>
      </c>
      <c r="T3" s="17">
        <f>AVERAGE(C4:C501)</f>
        <v>2.2604586726699218E-4</v>
      </c>
      <c r="V3" s="16" t="s">
        <v>148</v>
      </c>
      <c r="W3" s="17">
        <f>T9</f>
        <v>-3.0800030994894759E-2</v>
      </c>
      <c r="X3" s="17">
        <f>T22</f>
        <v>-6.2791208819187969E-2</v>
      </c>
      <c r="Y3" s="17">
        <f>T35</f>
        <v>-0.1575992401578887</v>
      </c>
    </row>
    <row r="4" spans="1:26" x14ac:dyDescent="0.25">
      <c r="A4" s="1">
        <f>CCMFUT_F_0_Diário!B3</f>
        <v>45492</v>
      </c>
      <c r="B4" s="2">
        <f>CCMFUT_F_0_Diário!F3</f>
        <v>64.099999999999994</v>
      </c>
      <c r="C4" s="9">
        <f>(B4-B3)/B3</f>
        <v>1.5365119594487435E-2</v>
      </c>
      <c r="D4" s="2">
        <f>MAX($B$3:B4)</f>
        <v>64.099999999999994</v>
      </c>
      <c r="E4" s="9">
        <f>(B4-D4)/D4</f>
        <v>0</v>
      </c>
      <c r="G4" t="s">
        <v>17</v>
      </c>
      <c r="H4" s="2">
        <v>66.2</v>
      </c>
      <c r="I4" s="9">
        <f>(H4-H3)/H3</f>
        <v>3.276131045241823E-2</v>
      </c>
      <c r="J4" s="2">
        <f>MAX($H$3:H4)</f>
        <v>66.2</v>
      </c>
      <c r="K4" s="9">
        <f>(H4-J4)/J4</f>
        <v>0</v>
      </c>
      <c r="M4" t="s">
        <v>126</v>
      </c>
      <c r="N4" s="2">
        <v>66.87</v>
      </c>
      <c r="O4" s="9">
        <f>(N4-N3)/N3</f>
        <v>1.8118148599269149E-2</v>
      </c>
      <c r="P4" s="2">
        <f>MAX($N$3:N4)</f>
        <v>66.87</v>
      </c>
      <c r="Q4" s="9">
        <f>(N4-P4)/P4</f>
        <v>0</v>
      </c>
      <c r="S4" s="16" t="s">
        <v>143</v>
      </c>
      <c r="T4" s="17">
        <f>_xlfn.STDEV.S(C4:C501)</f>
        <v>1.0342025620720584E-2</v>
      </c>
      <c r="V4" s="16" t="s">
        <v>146</v>
      </c>
      <c r="W4" s="17">
        <f>T7</f>
        <v>-2.0458005374174176E-2</v>
      </c>
      <c r="X4" s="17">
        <f>T20</f>
        <v>-4.1563992978812886E-2</v>
      </c>
      <c r="Y4" s="17">
        <f>T33</f>
        <v>-0.10397491959778314</v>
      </c>
    </row>
    <row r="5" spans="1:26" x14ac:dyDescent="0.25">
      <c r="A5" s="1">
        <f>CCMFUT_F_0_Diário!B4</f>
        <v>45495</v>
      </c>
      <c r="B5" s="2">
        <f>CCMFUT_F_0_Diário!F4</f>
        <v>65.5</v>
      </c>
      <c r="C5" s="9">
        <f t="shared" ref="C5:C68" si="0">(B5-B4)/B4</f>
        <v>2.1840873634945489E-2</v>
      </c>
      <c r="D5" s="2">
        <f>MAX($B$3:B5)</f>
        <v>65.5</v>
      </c>
      <c r="E5" s="9">
        <f t="shared" ref="E5:E68" si="1">(B5-D5)/D5</f>
        <v>0</v>
      </c>
      <c r="G5" t="s">
        <v>18</v>
      </c>
      <c r="H5" s="2">
        <v>67.010000000000005</v>
      </c>
      <c r="I5" s="9">
        <f t="shared" ref="I5:I68" si="2">(H5-H4)/H4</f>
        <v>1.2235649546827829E-2</v>
      </c>
      <c r="J5" s="2">
        <f>MAX($H$3:H5)</f>
        <v>67.010000000000005</v>
      </c>
      <c r="K5" s="9">
        <f t="shared" ref="K5:K68" si="3">(H5-J5)/J5</f>
        <v>0</v>
      </c>
      <c r="M5" t="s">
        <v>127</v>
      </c>
      <c r="N5" s="2">
        <v>71.3</v>
      </c>
      <c r="O5" s="9">
        <f t="shared" ref="O5:O27" si="4">(N5-N4)/N4</f>
        <v>6.6247943771496814E-2</v>
      </c>
      <c r="P5" s="2">
        <f>MAX($N$3:N5)</f>
        <v>71.3</v>
      </c>
      <c r="Q5" s="9">
        <f t="shared" ref="Q5:Q27" si="5">(N5-P5)/P5</f>
        <v>0</v>
      </c>
      <c r="S5" s="16" t="s">
        <v>144</v>
      </c>
      <c r="T5" s="17">
        <f>T3-T4</f>
        <v>-1.0115979753453592E-2</v>
      </c>
      <c r="V5" s="16" t="s">
        <v>144</v>
      </c>
      <c r="W5" s="17">
        <f>T5</f>
        <v>-1.0115979753453592E-2</v>
      </c>
      <c r="X5" s="17">
        <f>T18</f>
        <v>-2.0336777138437814E-2</v>
      </c>
      <c r="Y5" s="17">
        <f>T31</f>
        <v>-5.0350599037677572E-2</v>
      </c>
    </row>
    <row r="6" spans="1:26" x14ac:dyDescent="0.25">
      <c r="A6" s="1">
        <f>CCMFUT_F_0_Diário!B5</f>
        <v>45496</v>
      </c>
      <c r="B6" s="2">
        <f>CCMFUT_F_0_Diário!F5</f>
        <v>66</v>
      </c>
      <c r="C6" s="9">
        <f t="shared" si="0"/>
        <v>7.6335877862595417E-3</v>
      </c>
      <c r="D6" s="2">
        <f>MAX($B$3:B6)</f>
        <v>66</v>
      </c>
      <c r="E6" s="9">
        <f t="shared" si="1"/>
        <v>0</v>
      </c>
      <c r="G6" t="s">
        <v>19</v>
      </c>
      <c r="H6" s="2">
        <v>65.28</v>
      </c>
      <c r="I6" s="9">
        <f t="shared" si="2"/>
        <v>-2.5817042232502668E-2</v>
      </c>
      <c r="J6" s="2">
        <f>MAX($H$3:H6)</f>
        <v>67.010000000000005</v>
      </c>
      <c r="K6" s="9">
        <f t="shared" si="3"/>
        <v>-2.5817042232502668E-2</v>
      </c>
      <c r="M6" t="s">
        <v>128</v>
      </c>
      <c r="N6" s="2">
        <v>75.48</v>
      </c>
      <c r="O6" s="9">
        <f t="shared" si="4"/>
        <v>5.8625525946704164E-2</v>
      </c>
      <c r="P6" s="2">
        <f>MAX($N$3:N6)</f>
        <v>75.48</v>
      </c>
      <c r="Q6" s="9">
        <f t="shared" si="5"/>
        <v>0</v>
      </c>
      <c r="S6" s="16" t="s">
        <v>145</v>
      </c>
      <c r="T6" s="17">
        <f>T3+T4</f>
        <v>1.0568071487987576E-2</v>
      </c>
      <c r="V6" s="16" t="s">
        <v>160</v>
      </c>
      <c r="W6" s="17">
        <f>T3</f>
        <v>2.2604586726699218E-4</v>
      </c>
      <c r="X6" s="17">
        <f>T16</f>
        <v>8.904387019372579E-4</v>
      </c>
      <c r="Y6" s="17">
        <f>T29</f>
        <v>3.2737215224279991E-3</v>
      </c>
    </row>
    <row r="7" spans="1:26" x14ac:dyDescent="0.25">
      <c r="A7" s="1">
        <f>CCMFUT_F_0_Diário!B6</f>
        <v>45497</v>
      </c>
      <c r="B7" s="2">
        <f>CCMFUT_F_0_Diário!F6</f>
        <v>66.849999999999994</v>
      </c>
      <c r="C7" s="9">
        <f t="shared" si="0"/>
        <v>1.2878787878787793E-2</v>
      </c>
      <c r="D7" s="2">
        <f>MAX($B$3:B7)</f>
        <v>66.849999999999994</v>
      </c>
      <c r="E7" s="9">
        <f t="shared" si="1"/>
        <v>0</v>
      </c>
      <c r="G7" t="s">
        <v>20</v>
      </c>
      <c r="H7" s="2">
        <v>64.55</v>
      </c>
      <c r="I7" s="9">
        <f t="shared" si="2"/>
        <v>-1.1182598039215747E-2</v>
      </c>
      <c r="J7" s="2">
        <f>MAX($H$3:H7)</f>
        <v>67.010000000000005</v>
      </c>
      <c r="K7" s="9">
        <f t="shared" si="3"/>
        <v>-3.6710938665870885E-2</v>
      </c>
      <c r="M7" s="12">
        <v>45597</v>
      </c>
      <c r="N7" s="2">
        <v>72.62</v>
      </c>
      <c r="O7" s="9">
        <f t="shared" si="4"/>
        <v>-3.7890832008479057E-2</v>
      </c>
      <c r="P7" s="2">
        <f>MAX($N$3:N7)</f>
        <v>75.48</v>
      </c>
      <c r="Q7" s="9">
        <f t="shared" si="5"/>
        <v>-3.7890832008479057E-2</v>
      </c>
      <c r="S7" s="16" t="s">
        <v>146</v>
      </c>
      <c r="T7" s="17">
        <f>T3-2*T4</f>
        <v>-2.0458005374174176E-2</v>
      </c>
      <c r="V7" s="16" t="s">
        <v>145</v>
      </c>
      <c r="W7" s="17">
        <f>T6</f>
        <v>1.0568071487987576E-2</v>
      </c>
      <c r="X7" s="17">
        <f>T19</f>
        <v>2.2117654542312331E-2</v>
      </c>
      <c r="Y7" s="17">
        <f>T32</f>
        <v>5.6898042082533566E-2</v>
      </c>
    </row>
    <row r="8" spans="1:26" x14ac:dyDescent="0.25">
      <c r="A8" s="1">
        <f>CCMFUT_F_0_Diário!B7</f>
        <v>45498</v>
      </c>
      <c r="B8" s="2">
        <f>CCMFUT_F_0_Diário!F7</f>
        <v>66.540000000000006</v>
      </c>
      <c r="C8" s="9">
        <f t="shared" si="0"/>
        <v>-4.6372475691845638E-3</v>
      </c>
      <c r="D8" s="2">
        <f>MAX($B$3:B8)</f>
        <v>66.849999999999994</v>
      </c>
      <c r="E8" s="9">
        <f t="shared" si="1"/>
        <v>-4.6372475691845638E-3</v>
      </c>
      <c r="G8" t="s">
        <v>21</v>
      </c>
      <c r="H8" s="2">
        <v>65.28</v>
      </c>
      <c r="I8" s="9">
        <f t="shared" si="2"/>
        <v>1.1309062742060481E-2</v>
      </c>
      <c r="J8" s="2">
        <f>MAX($H$3:H8)</f>
        <v>67.010000000000005</v>
      </c>
      <c r="K8" s="9">
        <f t="shared" si="3"/>
        <v>-2.5817042232502668E-2</v>
      </c>
      <c r="M8" t="s">
        <v>129</v>
      </c>
      <c r="N8" s="2">
        <v>74.69</v>
      </c>
      <c r="O8" s="9">
        <f t="shared" si="4"/>
        <v>2.8504544202698885E-2</v>
      </c>
      <c r="P8" s="2">
        <f>MAX($N$3:N8)</f>
        <v>75.48</v>
      </c>
      <c r="Q8" s="9">
        <f t="shared" si="5"/>
        <v>-1.0466348701642902E-2</v>
      </c>
      <c r="S8" s="16" t="s">
        <v>147</v>
      </c>
      <c r="T8" s="17">
        <f>T3+2*T4</f>
        <v>2.091009710870816E-2</v>
      </c>
      <c r="V8" s="16" t="s">
        <v>147</v>
      </c>
      <c r="W8" s="17">
        <f>T8</f>
        <v>2.091009710870816E-2</v>
      </c>
      <c r="X8" s="17">
        <f>T21</f>
        <v>4.3344870382687403E-2</v>
      </c>
      <c r="Y8" s="17">
        <f>T34</f>
        <v>0.11052236264263914</v>
      </c>
    </row>
    <row r="9" spans="1:26" x14ac:dyDescent="0.25">
      <c r="A9" s="1">
        <f>CCMFUT_F_0_Diário!B8</f>
        <v>45499</v>
      </c>
      <c r="B9" s="2">
        <f>CCMFUT_F_0_Diário!F8</f>
        <v>66.2</v>
      </c>
      <c r="C9" s="9">
        <f t="shared" si="0"/>
        <v>-5.109708446047541E-3</v>
      </c>
      <c r="D9" s="2">
        <f>MAX($B$3:B9)</f>
        <v>66.849999999999994</v>
      </c>
      <c r="E9" s="9">
        <f t="shared" si="1"/>
        <v>-9.7232610321614284E-3</v>
      </c>
      <c r="G9" t="s">
        <v>22</v>
      </c>
      <c r="H9" s="2">
        <v>66.87</v>
      </c>
      <c r="I9" s="9">
        <f t="shared" si="2"/>
        <v>2.4356617647058876E-2</v>
      </c>
      <c r="J9" s="2">
        <f>MAX($H$3:H9)</f>
        <v>67.010000000000005</v>
      </c>
      <c r="K9" s="9">
        <f t="shared" si="3"/>
        <v>-2.0892404118788323E-3</v>
      </c>
      <c r="M9" s="12">
        <v>45658</v>
      </c>
      <c r="N9" s="2">
        <v>74.48</v>
      </c>
      <c r="O9" s="9">
        <f t="shared" si="4"/>
        <v>-2.8116213683223156E-3</v>
      </c>
      <c r="P9" s="2">
        <f>MAX($N$3:N9)</f>
        <v>75.48</v>
      </c>
      <c r="Q9" s="9">
        <f t="shared" si="5"/>
        <v>-1.3248542660307365E-2</v>
      </c>
      <c r="S9" s="16" t="s">
        <v>148</v>
      </c>
      <c r="T9" s="17">
        <f>T3-3*T4</f>
        <v>-3.0800030994894759E-2</v>
      </c>
      <c r="V9" s="16" t="s">
        <v>149</v>
      </c>
      <c r="W9" s="17">
        <f>T10</f>
        <v>3.1252122729428747E-2</v>
      </c>
      <c r="X9" s="17">
        <f>T23</f>
        <v>6.4572086223062472E-2</v>
      </c>
      <c r="Y9" s="17">
        <f>T36</f>
        <v>0.1641466832027447</v>
      </c>
    </row>
    <row r="10" spans="1:26" x14ac:dyDescent="0.25">
      <c r="A10" s="1">
        <f>CCMFUT_F_0_Diário!B9</f>
        <v>45502</v>
      </c>
      <c r="B10" s="2">
        <f>CCMFUT_F_0_Diário!F9</f>
        <v>66.19</v>
      </c>
      <c r="C10" s="9">
        <f t="shared" si="0"/>
        <v>-1.510574018127661E-4</v>
      </c>
      <c r="D10" s="2">
        <f>MAX($B$3:B10)</f>
        <v>66.849999999999994</v>
      </c>
      <c r="E10" s="9">
        <f t="shared" si="1"/>
        <v>-9.8728496634255293E-3</v>
      </c>
      <c r="G10" t="s">
        <v>23</v>
      </c>
      <c r="H10" s="2">
        <v>68.27</v>
      </c>
      <c r="I10" s="9">
        <f t="shared" si="2"/>
        <v>2.0936144758486486E-2</v>
      </c>
      <c r="J10" s="2">
        <f>MAX($H$3:H10)</f>
        <v>68.27</v>
      </c>
      <c r="K10" s="9">
        <f t="shared" si="3"/>
        <v>0</v>
      </c>
      <c r="M10" t="s">
        <v>130</v>
      </c>
      <c r="N10" s="2">
        <v>85.48</v>
      </c>
      <c r="O10" s="9">
        <f t="shared" si="4"/>
        <v>0.14769065520945218</v>
      </c>
      <c r="P10" s="2">
        <f>MAX($N$3:N10)</f>
        <v>85.48</v>
      </c>
      <c r="Q10" s="9">
        <f t="shared" si="5"/>
        <v>0</v>
      </c>
      <c r="S10" s="16" t="s">
        <v>149</v>
      </c>
      <c r="T10" s="17">
        <f>T3+3*T4</f>
        <v>3.1252122729428747E-2</v>
      </c>
    </row>
    <row r="11" spans="1:26" x14ac:dyDescent="0.25">
      <c r="A11" s="1">
        <f>CCMFUT_F_0_Diário!B10</f>
        <v>45503</v>
      </c>
      <c r="B11" s="2">
        <f>CCMFUT_F_0_Diário!F10</f>
        <v>65.06</v>
      </c>
      <c r="C11" s="9">
        <f t="shared" si="0"/>
        <v>-1.7072065266656528E-2</v>
      </c>
      <c r="D11" s="2">
        <f>MAX($B$3:B11)</f>
        <v>66.849999999999994</v>
      </c>
      <c r="E11" s="9">
        <f t="shared" si="1"/>
        <v>-2.6776364996260169E-2</v>
      </c>
      <c r="G11" t="s">
        <v>24</v>
      </c>
      <c r="H11" s="2">
        <v>70.06</v>
      </c>
      <c r="I11" s="9">
        <f t="shared" si="2"/>
        <v>2.6219422879742292E-2</v>
      </c>
      <c r="J11" s="2">
        <f>MAX($H$3:H11)</f>
        <v>70.06</v>
      </c>
      <c r="K11" s="9">
        <f t="shared" si="3"/>
        <v>0</v>
      </c>
      <c r="M11" s="12">
        <v>45717</v>
      </c>
      <c r="N11" s="2">
        <v>85.21</v>
      </c>
      <c r="O11" s="9">
        <f t="shared" si="4"/>
        <v>-3.1586335985026933E-3</v>
      </c>
      <c r="P11" s="2">
        <f>MAX($N$3:N11)</f>
        <v>85.48</v>
      </c>
      <c r="Q11" s="9">
        <f t="shared" si="5"/>
        <v>-3.1586335985026933E-3</v>
      </c>
      <c r="S11" s="16" t="s">
        <v>150</v>
      </c>
      <c r="T11" s="17">
        <f>MIN(E3:E501)</f>
        <v>-0.27429569775060064</v>
      </c>
    </row>
    <row r="12" spans="1:26" x14ac:dyDescent="0.25">
      <c r="A12" s="1">
        <f>CCMFUT_F_0_Diário!B11</f>
        <v>45504</v>
      </c>
      <c r="B12" s="2">
        <f>CCMFUT_F_0_Diário!F11</f>
        <v>64.63</v>
      </c>
      <c r="C12" s="9">
        <f t="shared" si="0"/>
        <v>-6.6092837380880235E-3</v>
      </c>
      <c r="D12" s="2">
        <f>MAX($B$3:B12)</f>
        <v>66.849999999999994</v>
      </c>
      <c r="E12" s="9">
        <f t="shared" si="1"/>
        <v>-3.3208676140613298E-2</v>
      </c>
      <c r="G12" t="s">
        <v>25</v>
      </c>
      <c r="H12" s="2">
        <v>70.11</v>
      </c>
      <c r="I12" s="9">
        <f t="shared" si="2"/>
        <v>7.1367399371962824E-4</v>
      </c>
      <c r="J12" s="2">
        <f>MAX($H$3:H12)</f>
        <v>70.11</v>
      </c>
      <c r="K12" s="9">
        <f t="shared" si="3"/>
        <v>0</v>
      </c>
      <c r="M12" t="s">
        <v>131</v>
      </c>
      <c r="N12" s="2">
        <v>82.39</v>
      </c>
      <c r="O12" s="9">
        <f t="shared" si="4"/>
        <v>-3.3094707193991241E-2</v>
      </c>
      <c r="P12" s="2">
        <f>MAX($N$3:N12)</f>
        <v>85.48</v>
      </c>
      <c r="Q12" s="9">
        <f t="shared" si="5"/>
        <v>-3.6148806738418381E-2</v>
      </c>
      <c r="S12" s="16" t="s">
        <v>151</v>
      </c>
      <c r="T12" s="17">
        <f>AVERAGE(E3:E501)</f>
        <v>-0.11457431134581388</v>
      </c>
    </row>
    <row r="13" spans="1:26" x14ac:dyDescent="0.25">
      <c r="A13" s="1">
        <f>CCMFUT_F_0_Diário!B12</f>
        <v>45505</v>
      </c>
      <c r="B13" s="2">
        <f>CCMFUT_F_0_Diário!F12</f>
        <v>65.680000000000007</v>
      </c>
      <c r="C13" s="9">
        <f t="shared" si="0"/>
        <v>1.624632523595871E-2</v>
      </c>
      <c r="D13" s="2">
        <f>MAX($B$3:B13)</f>
        <v>66.849999999999994</v>
      </c>
      <c r="E13" s="9">
        <f t="shared" si="1"/>
        <v>-1.7501869857890616E-2</v>
      </c>
      <c r="G13" t="s">
        <v>26</v>
      </c>
      <c r="H13" s="2">
        <v>70.989999999999995</v>
      </c>
      <c r="I13" s="9">
        <f t="shared" si="2"/>
        <v>1.2551704464413E-2</v>
      </c>
      <c r="J13" s="2">
        <f>MAX($H$3:H13)</f>
        <v>70.989999999999995</v>
      </c>
      <c r="K13" s="9">
        <f t="shared" si="3"/>
        <v>0</v>
      </c>
      <c r="M13" t="s">
        <v>132</v>
      </c>
      <c r="N13" s="2">
        <v>78.77</v>
      </c>
      <c r="O13" s="9">
        <f t="shared" si="4"/>
        <v>-4.3937371040174832E-2</v>
      </c>
      <c r="P13" s="2">
        <f>MAX($N$3:N13)</f>
        <v>85.48</v>
      </c>
      <c r="Q13" s="9">
        <f t="shared" si="5"/>
        <v>-7.8497894244267757E-2</v>
      </c>
    </row>
    <row r="14" spans="1:26" ht="15.75" x14ac:dyDescent="0.25">
      <c r="A14" s="1">
        <f>CCMFUT_F_0_Diário!B13</f>
        <v>45506</v>
      </c>
      <c r="B14" s="2">
        <f>CCMFUT_F_0_Diário!F13</f>
        <v>67.010000000000005</v>
      </c>
      <c r="C14" s="9">
        <f t="shared" si="0"/>
        <v>2.0249695493300825E-2</v>
      </c>
      <c r="D14" s="2">
        <f>MAX($B$3:B14)</f>
        <v>67.010000000000005</v>
      </c>
      <c r="E14" s="9">
        <f t="shared" si="1"/>
        <v>0</v>
      </c>
      <c r="G14" t="s">
        <v>27</v>
      </c>
      <c r="H14" s="2">
        <v>70.28</v>
      </c>
      <c r="I14" s="9">
        <f t="shared" si="2"/>
        <v>-1.000140864910542E-2</v>
      </c>
      <c r="J14" s="2">
        <f>MAX($H$3:H14)</f>
        <v>70.989999999999995</v>
      </c>
      <c r="K14" s="9">
        <f t="shared" si="3"/>
        <v>-1.000140864910542E-2</v>
      </c>
      <c r="M14" s="12">
        <v>45809</v>
      </c>
      <c r="N14" s="2">
        <v>75.33</v>
      </c>
      <c r="O14" s="9">
        <f t="shared" si="4"/>
        <v>-4.3671448521010507E-2</v>
      </c>
      <c r="P14" s="2">
        <f>MAX($N$3:N14)</f>
        <v>85.48</v>
      </c>
      <c r="Q14" s="9">
        <f t="shared" si="5"/>
        <v>-0.118741226017782</v>
      </c>
      <c r="S14" s="18" t="s">
        <v>153</v>
      </c>
      <c r="T14" s="4"/>
      <c r="U14" s="4"/>
    </row>
    <row r="15" spans="1:26" x14ac:dyDescent="0.25">
      <c r="A15" s="1">
        <f>CCMFUT_F_0_Diário!B14</f>
        <v>45509</v>
      </c>
      <c r="B15" s="2">
        <f>CCMFUT_F_0_Diário!F14</f>
        <v>66.87</v>
      </c>
      <c r="C15" s="9">
        <f t="shared" si="0"/>
        <v>-2.0892404118788323E-3</v>
      </c>
      <c r="D15" s="2">
        <f>MAX($B$3:B15)</f>
        <v>67.010000000000005</v>
      </c>
      <c r="E15" s="9">
        <f t="shared" si="1"/>
        <v>-2.0892404118788323E-3</v>
      </c>
      <c r="G15" t="s">
        <v>28</v>
      </c>
      <c r="H15" s="2">
        <v>70.78</v>
      </c>
      <c r="I15" s="9">
        <f t="shared" si="2"/>
        <v>7.1143995446784286E-3</v>
      </c>
      <c r="J15" s="2">
        <f>MAX($H$3:H15)</f>
        <v>70.989999999999995</v>
      </c>
      <c r="K15" s="9">
        <f t="shared" si="3"/>
        <v>-2.9581631215663301E-3</v>
      </c>
      <c r="M15" s="12">
        <v>45839</v>
      </c>
      <c r="N15" s="2">
        <v>81.91</v>
      </c>
      <c r="O15" s="9">
        <f t="shared" si="4"/>
        <v>8.7348997743262949E-2</v>
      </c>
      <c r="P15" s="2">
        <f>MAX($N$3:N15)</f>
        <v>85.48</v>
      </c>
      <c r="Q15" s="9">
        <f t="shared" si="5"/>
        <v>-4.1764155357978561E-2</v>
      </c>
      <c r="S15" s="15" t="s">
        <v>141</v>
      </c>
      <c r="T15" s="19" t="s">
        <v>152</v>
      </c>
    </row>
    <row r="16" spans="1:26" x14ac:dyDescent="0.25">
      <c r="A16" s="1">
        <f>CCMFUT_F_0_Diário!B15</f>
        <v>45510</v>
      </c>
      <c r="B16" s="2">
        <f>CCMFUT_F_0_Diário!F15</f>
        <v>65.38</v>
      </c>
      <c r="C16" s="9">
        <f t="shared" si="0"/>
        <v>-2.2282039778675176E-2</v>
      </c>
      <c r="D16" s="2">
        <f>MAX($B$3:B16)</f>
        <v>67.010000000000005</v>
      </c>
      <c r="E16" s="9">
        <f t="shared" si="1"/>
        <v>-2.432472765258931E-2</v>
      </c>
      <c r="G16" t="s">
        <v>29</v>
      </c>
      <c r="H16" s="2">
        <v>71.56</v>
      </c>
      <c r="I16" s="9">
        <f t="shared" si="2"/>
        <v>1.1020062164453252E-2</v>
      </c>
      <c r="J16" s="2">
        <f>MAX($H$3:H16)</f>
        <v>71.56</v>
      </c>
      <c r="K16" s="9">
        <f t="shared" si="3"/>
        <v>0</v>
      </c>
      <c r="M16" t="s">
        <v>133</v>
      </c>
      <c r="N16" s="2">
        <v>79.48</v>
      </c>
      <c r="O16" s="9">
        <f t="shared" si="4"/>
        <v>-2.9666707361738404E-2</v>
      </c>
      <c r="P16" s="2">
        <f>MAX($N$3:N16)</f>
        <v>85.48</v>
      </c>
      <c r="Q16" s="9">
        <f t="shared" si="5"/>
        <v>-7.0191857744501637E-2</v>
      </c>
      <c r="S16" s="16" t="s">
        <v>142</v>
      </c>
      <c r="T16" s="17">
        <f>AVERAGE(I4:I109)</f>
        <v>8.904387019372579E-4</v>
      </c>
    </row>
    <row r="17" spans="1:21" x14ac:dyDescent="0.25">
      <c r="A17" s="1">
        <f>CCMFUT_F_0_Diário!B16</f>
        <v>45511</v>
      </c>
      <c r="B17" s="2">
        <f>CCMFUT_F_0_Diário!F16</f>
        <v>65.150000000000006</v>
      </c>
      <c r="C17" s="9">
        <f t="shared" si="0"/>
        <v>-3.5178953808502568E-3</v>
      </c>
      <c r="D17" s="2">
        <f>MAX($B$3:B17)</f>
        <v>67.010000000000005</v>
      </c>
      <c r="E17" s="9">
        <f t="shared" si="1"/>
        <v>-2.7757051186390082E-2</v>
      </c>
      <c r="G17" t="s">
        <v>30</v>
      </c>
      <c r="H17" s="2">
        <v>74.97</v>
      </c>
      <c r="I17" s="9">
        <f t="shared" si="2"/>
        <v>4.7652319731693635E-2</v>
      </c>
      <c r="J17" s="2">
        <f>MAX($H$3:H17)</f>
        <v>74.97</v>
      </c>
      <c r="K17" s="9">
        <f t="shared" si="3"/>
        <v>0</v>
      </c>
      <c r="M17" t="s">
        <v>134</v>
      </c>
      <c r="N17" s="2">
        <v>76.319999999999993</v>
      </c>
      <c r="O17" s="9">
        <f t="shared" si="4"/>
        <v>-3.9758429793658914E-2</v>
      </c>
      <c r="P17" s="2">
        <f>MAX($N$3:N17)</f>
        <v>85.48</v>
      </c>
      <c r="Q17" s="9">
        <f t="shared" si="5"/>
        <v>-0.10715956948993929</v>
      </c>
      <c r="S17" s="16" t="s">
        <v>143</v>
      </c>
      <c r="T17" s="17">
        <f>_xlfn.STDEV.S(I4:I109)</f>
        <v>2.1227215840375072E-2</v>
      </c>
    </row>
    <row r="18" spans="1:21" x14ac:dyDescent="0.25">
      <c r="A18" s="1">
        <f>CCMFUT_F_0_Diário!B17</f>
        <v>45512</v>
      </c>
      <c r="B18" s="2">
        <f>CCMFUT_F_0_Diário!F17</f>
        <v>65.13</v>
      </c>
      <c r="C18" s="9">
        <f t="shared" si="0"/>
        <v>-3.0698388334628136E-4</v>
      </c>
      <c r="D18" s="2">
        <f>MAX($B$3:B18)</f>
        <v>67.010000000000005</v>
      </c>
      <c r="E18" s="9">
        <f t="shared" si="1"/>
        <v>-2.8055514102372923E-2</v>
      </c>
      <c r="G18" t="s">
        <v>31</v>
      </c>
      <c r="H18" s="2">
        <v>75.48</v>
      </c>
      <c r="I18" s="9">
        <f t="shared" si="2"/>
        <v>6.8027210884354424E-3</v>
      </c>
      <c r="J18" s="2">
        <f>MAX($H$3:H18)</f>
        <v>75.48</v>
      </c>
      <c r="K18" s="9">
        <f t="shared" si="3"/>
        <v>0</v>
      </c>
      <c r="M18" t="s">
        <v>135</v>
      </c>
      <c r="N18" s="2">
        <v>79.209999999999994</v>
      </c>
      <c r="O18" s="9">
        <f t="shared" si="4"/>
        <v>3.7866876310272544E-2</v>
      </c>
      <c r="P18" s="2">
        <f>MAX($N$3:N18)</f>
        <v>85.48</v>
      </c>
      <c r="Q18" s="9">
        <f t="shared" si="5"/>
        <v>-7.3350491343004323E-2</v>
      </c>
      <c r="S18" s="16" t="s">
        <v>144</v>
      </c>
      <c r="T18" s="17">
        <f>T16-T17</f>
        <v>-2.0336777138437814E-2</v>
      </c>
    </row>
    <row r="19" spans="1:21" x14ac:dyDescent="0.25">
      <c r="A19" s="1">
        <f>CCMFUT_F_0_Diário!B18</f>
        <v>45513</v>
      </c>
      <c r="B19" s="2">
        <f>CCMFUT_F_0_Diário!F18</f>
        <v>65.28</v>
      </c>
      <c r="C19" s="9">
        <f t="shared" si="0"/>
        <v>2.3030861354215522E-3</v>
      </c>
      <c r="D19" s="2">
        <f>MAX($B$3:B19)</f>
        <v>67.010000000000005</v>
      </c>
      <c r="E19" s="9">
        <f t="shared" si="1"/>
        <v>-2.5817042232502668E-2</v>
      </c>
      <c r="G19" t="s">
        <v>32</v>
      </c>
      <c r="H19" s="2">
        <v>76.33</v>
      </c>
      <c r="I19" s="9">
        <f t="shared" si="2"/>
        <v>1.1261261261261186E-2</v>
      </c>
      <c r="J19" s="2">
        <f>MAX($H$3:H19)</f>
        <v>76.33</v>
      </c>
      <c r="K19" s="9">
        <f t="shared" si="3"/>
        <v>0</v>
      </c>
      <c r="M19" s="12">
        <v>45962</v>
      </c>
      <c r="N19" s="2">
        <v>83.12</v>
      </c>
      <c r="O19" s="9">
        <f t="shared" si="4"/>
        <v>4.9362454235576454E-2</v>
      </c>
      <c r="P19" s="2">
        <f>MAX($N$3:N19)</f>
        <v>85.48</v>
      </c>
      <c r="Q19" s="9">
        <f t="shared" si="5"/>
        <v>-2.7608797379503971E-2</v>
      </c>
      <c r="S19" s="16" t="s">
        <v>145</v>
      </c>
      <c r="T19" s="17">
        <f>T16+T17</f>
        <v>2.2117654542312331E-2</v>
      </c>
    </row>
    <row r="20" spans="1:21" x14ac:dyDescent="0.25">
      <c r="A20" s="1">
        <f>CCMFUT_F_0_Diário!B19</f>
        <v>45516</v>
      </c>
      <c r="B20" s="2">
        <f>CCMFUT_F_0_Diário!F19</f>
        <v>65.540000000000006</v>
      </c>
      <c r="C20" s="9">
        <f t="shared" si="0"/>
        <v>3.9828431372549806E-3</v>
      </c>
      <c r="D20" s="2">
        <f>MAX($B$3:B20)</f>
        <v>67.010000000000005</v>
      </c>
      <c r="E20" s="9">
        <f t="shared" si="1"/>
        <v>-2.1937024324727633E-2</v>
      </c>
      <c r="G20" t="s">
        <v>33</v>
      </c>
      <c r="H20" s="2">
        <v>75.53</v>
      </c>
      <c r="I20" s="9">
        <f t="shared" si="2"/>
        <v>-1.0480807022140668E-2</v>
      </c>
      <c r="J20" s="2">
        <f>MAX($H$3:H20)</f>
        <v>76.33</v>
      </c>
      <c r="K20" s="9">
        <f t="shared" si="3"/>
        <v>-1.0480807022140668E-2</v>
      </c>
      <c r="M20" t="s">
        <v>136</v>
      </c>
      <c r="N20" s="2">
        <v>78.66</v>
      </c>
      <c r="O20" s="9">
        <f t="shared" si="4"/>
        <v>-5.3657362848893261E-2</v>
      </c>
      <c r="P20" s="2">
        <f>MAX($N$3:N20)</f>
        <v>85.48</v>
      </c>
      <c r="Q20" s="9">
        <f t="shared" si="5"/>
        <v>-7.9784744969583613E-2</v>
      </c>
      <c r="S20" s="16" t="s">
        <v>146</v>
      </c>
      <c r="T20" s="17">
        <f>T16-2*T17</f>
        <v>-4.1563992978812886E-2</v>
      </c>
    </row>
    <row r="21" spans="1:21" x14ac:dyDescent="0.25">
      <c r="A21" s="1">
        <f>CCMFUT_F_0_Diário!B20</f>
        <v>45517</v>
      </c>
      <c r="B21" s="2">
        <f>CCMFUT_F_0_Diário!F20</f>
        <v>64.98</v>
      </c>
      <c r="C21" s="9">
        <f t="shared" si="0"/>
        <v>-8.5444003661886217E-3</v>
      </c>
      <c r="D21" s="2">
        <f>MAX($B$3:B21)</f>
        <v>67.010000000000005</v>
      </c>
      <c r="E21" s="9">
        <f t="shared" si="1"/>
        <v>-3.0293985972242962E-2</v>
      </c>
      <c r="G21" t="s">
        <v>34</v>
      </c>
      <c r="H21" s="2">
        <v>73.09</v>
      </c>
      <c r="I21" s="9">
        <f t="shared" si="2"/>
        <v>-3.230504435323709E-2</v>
      </c>
      <c r="J21" s="2">
        <f>MAX($H$3:H21)</f>
        <v>76.33</v>
      </c>
      <c r="K21" s="9">
        <f t="shared" si="3"/>
        <v>-4.244726843966979E-2</v>
      </c>
      <c r="M21" s="12">
        <v>46023</v>
      </c>
      <c r="N21" s="2">
        <v>72.81</v>
      </c>
      <c r="O21" s="9">
        <f t="shared" si="4"/>
        <v>-7.4370709382150957E-2</v>
      </c>
      <c r="P21" s="2">
        <f>MAX($N$3:N21)</f>
        <v>85.48</v>
      </c>
      <c r="Q21" s="9">
        <f t="shared" si="5"/>
        <v>-0.14822180627047263</v>
      </c>
      <c r="S21" s="16" t="s">
        <v>147</v>
      </c>
      <c r="T21" s="17">
        <f>T16+2*T17</f>
        <v>4.3344870382687403E-2</v>
      </c>
    </row>
    <row r="22" spans="1:21" x14ac:dyDescent="0.25">
      <c r="A22" s="1">
        <f>CCMFUT_F_0_Diário!B21</f>
        <v>45518</v>
      </c>
      <c r="B22" s="2">
        <f>CCMFUT_F_0_Diário!F21</f>
        <v>64.73</v>
      </c>
      <c r="C22" s="9">
        <f t="shared" si="0"/>
        <v>-3.8473376423514925E-3</v>
      </c>
      <c r="D22" s="2">
        <f>MAX($B$3:B22)</f>
        <v>67.010000000000005</v>
      </c>
      <c r="E22" s="9">
        <f t="shared" si="1"/>
        <v>-3.4024772422026575E-2</v>
      </c>
      <c r="G22" t="s">
        <v>35</v>
      </c>
      <c r="H22" s="2">
        <v>72.62</v>
      </c>
      <c r="I22" s="9">
        <f t="shared" si="2"/>
        <v>-6.4304282391571873E-3</v>
      </c>
      <c r="J22" s="2">
        <f>MAX($H$3:H22)</f>
        <v>76.33</v>
      </c>
      <c r="K22" s="9">
        <f t="shared" si="3"/>
        <v>-4.8604742565177439E-2</v>
      </c>
      <c r="M22" t="s">
        <v>137</v>
      </c>
      <c r="N22" s="2">
        <v>76.099999999999994</v>
      </c>
      <c r="O22" s="9">
        <f t="shared" si="4"/>
        <v>4.5186100810328138E-2</v>
      </c>
      <c r="P22" s="2">
        <f>MAX($N$3:N22)</f>
        <v>85.48</v>
      </c>
      <c r="Q22" s="9">
        <f t="shared" si="5"/>
        <v>-0.109733270940571</v>
      </c>
      <c r="S22" s="16" t="s">
        <v>148</v>
      </c>
      <c r="T22" s="17">
        <f>T16-3*T17</f>
        <v>-6.2791208819187969E-2</v>
      </c>
    </row>
    <row r="23" spans="1:21" x14ac:dyDescent="0.25">
      <c r="A23" s="1">
        <f>CCMFUT_F_0_Diário!B22</f>
        <v>45519</v>
      </c>
      <c r="B23" s="2">
        <f>CCMFUT_F_0_Diário!F22</f>
        <v>65.319999999999993</v>
      </c>
      <c r="C23" s="9">
        <f t="shared" si="0"/>
        <v>9.1147844894174136E-3</v>
      </c>
      <c r="D23" s="2">
        <f>MAX($B$3:B23)</f>
        <v>67.010000000000005</v>
      </c>
      <c r="E23" s="9">
        <f t="shared" si="1"/>
        <v>-2.522011640053741E-2</v>
      </c>
      <c r="G23" t="s">
        <v>36</v>
      </c>
      <c r="H23" s="2">
        <v>74.95</v>
      </c>
      <c r="I23" s="9">
        <f t="shared" si="2"/>
        <v>3.2084825117047619E-2</v>
      </c>
      <c r="J23" s="2">
        <f>MAX($H$3:H23)</f>
        <v>76.33</v>
      </c>
      <c r="K23" s="9">
        <f t="shared" si="3"/>
        <v>-1.8079392113192656E-2</v>
      </c>
      <c r="M23" s="12">
        <v>46082</v>
      </c>
      <c r="N23" s="2">
        <v>73.77</v>
      </c>
      <c r="O23" s="9">
        <f t="shared" si="4"/>
        <v>-3.0617608409986841E-2</v>
      </c>
      <c r="P23" s="2">
        <f>MAX($N$3:N23)</f>
        <v>85.48</v>
      </c>
      <c r="Q23" s="9">
        <f t="shared" si="5"/>
        <v>-0.13699110903135245</v>
      </c>
      <c r="S23" s="16" t="s">
        <v>149</v>
      </c>
      <c r="T23" s="17">
        <f>T16+3*T17</f>
        <v>6.4572086223062472E-2</v>
      </c>
    </row>
    <row r="24" spans="1:21" x14ac:dyDescent="0.25">
      <c r="A24" s="1">
        <f>CCMFUT_F_0_Diário!B23</f>
        <v>45520</v>
      </c>
      <c r="B24" s="2">
        <f>CCMFUT_F_0_Diário!F23</f>
        <v>64.55</v>
      </c>
      <c r="C24" s="9">
        <f t="shared" si="0"/>
        <v>-1.1788120024494735E-2</v>
      </c>
      <c r="D24" s="2">
        <f>MAX($B$3:B24)</f>
        <v>67.010000000000005</v>
      </c>
      <c r="E24" s="9">
        <f t="shared" si="1"/>
        <v>-3.6710938665870885E-2</v>
      </c>
      <c r="G24" t="s">
        <v>37</v>
      </c>
      <c r="H24" s="2">
        <v>75.489999999999995</v>
      </c>
      <c r="I24" s="9">
        <f t="shared" si="2"/>
        <v>7.2048032021346502E-3</v>
      </c>
      <c r="J24" s="2">
        <f>MAX($H$3:H24)</f>
        <v>76.33</v>
      </c>
      <c r="K24" s="9">
        <f t="shared" si="3"/>
        <v>-1.1004847373247785E-2</v>
      </c>
      <c r="M24" t="s">
        <v>138</v>
      </c>
      <c r="N24" s="2">
        <v>71.599999999999994</v>
      </c>
      <c r="O24" s="9">
        <f t="shared" si="4"/>
        <v>-2.941575166056665E-2</v>
      </c>
      <c r="P24" s="2">
        <f>MAX($N$3:N24)</f>
        <v>85.48</v>
      </c>
      <c r="Q24" s="9">
        <f t="shared" si="5"/>
        <v>-0.16237716424894721</v>
      </c>
      <c r="S24" s="16" t="s">
        <v>150</v>
      </c>
      <c r="T24" s="17">
        <f>MIN(K3:K109)</f>
        <v>-0.22810261150912881</v>
      </c>
    </row>
    <row r="25" spans="1:21" x14ac:dyDescent="0.25">
      <c r="A25" s="1">
        <f>CCMFUT_F_0_Diário!B24</f>
        <v>45523</v>
      </c>
      <c r="B25" s="2">
        <f>CCMFUT_F_0_Diário!F24</f>
        <v>65.180000000000007</v>
      </c>
      <c r="C25" s="9">
        <f t="shared" si="0"/>
        <v>9.7598760650659897E-3</v>
      </c>
      <c r="D25" s="2">
        <f>MAX($B$3:B25)</f>
        <v>67.010000000000005</v>
      </c>
      <c r="E25" s="9">
        <f t="shared" si="1"/>
        <v>-2.730935681241603E-2</v>
      </c>
      <c r="G25" t="s">
        <v>38</v>
      </c>
      <c r="H25" s="2">
        <v>74.34</v>
      </c>
      <c r="I25" s="9">
        <f t="shared" si="2"/>
        <v>-1.5233805802092881E-2</v>
      </c>
      <c r="J25" s="2">
        <f>MAX($H$3:H25)</f>
        <v>76.33</v>
      </c>
      <c r="K25" s="9">
        <f t="shared" si="3"/>
        <v>-2.6071007467574937E-2</v>
      </c>
      <c r="M25" t="s">
        <v>139</v>
      </c>
      <c r="N25" s="2">
        <v>67.75</v>
      </c>
      <c r="O25" s="9">
        <f t="shared" si="4"/>
        <v>-5.3770949720670314E-2</v>
      </c>
      <c r="P25" s="2">
        <f>MAX($N$3:N25)</f>
        <v>85.48</v>
      </c>
      <c r="Q25" s="9">
        <f t="shared" si="5"/>
        <v>-0.20741693963500238</v>
      </c>
      <c r="S25" s="16" t="s">
        <v>151</v>
      </c>
      <c r="T25" s="17">
        <f>AVERAGE(K3:K109)</f>
        <v>-7.9455481849291146E-2</v>
      </c>
    </row>
    <row r="26" spans="1:21" x14ac:dyDescent="0.25">
      <c r="A26" s="1">
        <f>CCMFUT_F_0_Diário!B25</f>
        <v>45524</v>
      </c>
      <c r="B26" s="2">
        <f>CCMFUT_F_0_Diário!F25</f>
        <v>65.540000000000006</v>
      </c>
      <c r="C26" s="9">
        <f t="shared" si="0"/>
        <v>5.5231666155262258E-3</v>
      </c>
      <c r="D26" s="2">
        <f>MAX($B$3:B26)</f>
        <v>67.010000000000005</v>
      </c>
      <c r="E26" s="9">
        <f t="shared" si="1"/>
        <v>-2.1937024324727633E-2</v>
      </c>
      <c r="G26" t="s">
        <v>39</v>
      </c>
      <c r="H26" s="2">
        <v>74.2</v>
      </c>
      <c r="I26" s="9">
        <f t="shared" si="2"/>
        <v>-1.8832391713747721E-3</v>
      </c>
      <c r="J26" s="2">
        <f>MAX($H$3:H26)</f>
        <v>76.33</v>
      </c>
      <c r="K26" s="9">
        <f t="shared" si="3"/>
        <v>-2.7905148696449569E-2</v>
      </c>
      <c r="M26" s="12">
        <v>46174</v>
      </c>
      <c r="N26" s="2">
        <v>68.36</v>
      </c>
      <c r="O26" s="9">
        <f t="shared" si="4"/>
        <v>9.0036900369003612E-3</v>
      </c>
      <c r="P26" s="2">
        <f>MAX($N$3:N26)</f>
        <v>85.48</v>
      </c>
      <c r="Q26" s="9">
        <f t="shared" si="5"/>
        <v>-0.20028076743097806</v>
      </c>
    </row>
    <row r="27" spans="1:21" ht="15.75" x14ac:dyDescent="0.25">
      <c r="A27" s="1">
        <f>CCMFUT_F_0_Diário!B26</f>
        <v>45525</v>
      </c>
      <c r="B27" s="2">
        <f>CCMFUT_F_0_Diário!F26</f>
        <v>65.239999999999995</v>
      </c>
      <c r="C27" s="9">
        <f t="shared" si="0"/>
        <v>-4.5773573390297737E-3</v>
      </c>
      <c r="D27" s="2">
        <f>MAX($B$3:B27)</f>
        <v>67.010000000000005</v>
      </c>
      <c r="E27" s="9">
        <f t="shared" si="1"/>
        <v>-2.6413968064468142E-2</v>
      </c>
      <c r="G27" t="s">
        <v>40</v>
      </c>
      <c r="H27" s="2">
        <v>74.69</v>
      </c>
      <c r="I27" s="9">
        <f t="shared" si="2"/>
        <v>6.6037735849055913E-3</v>
      </c>
      <c r="J27" s="2">
        <f>MAX($H$3:H27)</f>
        <v>76.33</v>
      </c>
      <c r="K27" s="9">
        <f t="shared" si="3"/>
        <v>-2.1485654395388454E-2</v>
      </c>
      <c r="M27" s="12">
        <v>46204</v>
      </c>
      <c r="N27" s="2">
        <v>68.8</v>
      </c>
      <c r="O27" s="9">
        <f t="shared" si="4"/>
        <v>6.4365125804563741E-3</v>
      </c>
      <c r="P27" s="2">
        <f>MAX($N$3:N27)</f>
        <v>85.48</v>
      </c>
      <c r="Q27" s="9">
        <f t="shared" si="5"/>
        <v>-0.19513336452971464</v>
      </c>
      <c r="S27" s="20" t="s">
        <v>154</v>
      </c>
      <c r="T27" s="4"/>
      <c r="U27" s="4"/>
    </row>
    <row r="28" spans="1:21" x14ac:dyDescent="0.25">
      <c r="A28" s="1">
        <f>CCMFUT_F_0_Diário!B27</f>
        <v>45526</v>
      </c>
      <c r="B28" s="2">
        <f>CCMFUT_F_0_Diário!F27</f>
        <v>65.55</v>
      </c>
      <c r="C28" s="9">
        <f t="shared" si="0"/>
        <v>4.7516860821582201E-3</v>
      </c>
      <c r="D28" s="2">
        <f>MAX($B$3:B28)</f>
        <v>67.010000000000005</v>
      </c>
      <c r="E28" s="9">
        <f t="shared" si="1"/>
        <v>-2.1787792866736426E-2</v>
      </c>
      <c r="G28" t="s">
        <v>41</v>
      </c>
      <c r="H28" s="2">
        <v>73.73</v>
      </c>
      <c r="I28" s="9">
        <f t="shared" si="2"/>
        <v>-1.2853126255188028E-2</v>
      </c>
      <c r="J28" s="2">
        <f>MAX($H$3:H28)</f>
        <v>76.33</v>
      </c>
      <c r="K28" s="9">
        <f t="shared" si="3"/>
        <v>-3.4062622821957218E-2</v>
      </c>
      <c r="S28" s="15" t="s">
        <v>141</v>
      </c>
      <c r="T28" s="19" t="s">
        <v>152</v>
      </c>
    </row>
    <row r="29" spans="1:21" x14ac:dyDescent="0.25">
      <c r="A29" s="1">
        <f>CCMFUT_F_0_Diário!B28</f>
        <v>45527</v>
      </c>
      <c r="B29" s="2">
        <f>CCMFUT_F_0_Diário!F28</f>
        <v>65.28</v>
      </c>
      <c r="C29" s="9">
        <f t="shared" si="0"/>
        <v>-4.118993135011381E-3</v>
      </c>
      <c r="D29" s="2">
        <f>MAX($B$3:B29)</f>
        <v>67.010000000000005</v>
      </c>
      <c r="E29" s="9">
        <f t="shared" si="1"/>
        <v>-2.5817042232502668E-2</v>
      </c>
      <c r="G29" t="s">
        <v>42</v>
      </c>
      <c r="H29" s="2">
        <v>76.900000000000006</v>
      </c>
      <c r="I29" s="9">
        <f t="shared" si="2"/>
        <v>4.2994710429947125E-2</v>
      </c>
      <c r="J29" s="2">
        <f>MAX($H$3:H29)</f>
        <v>76.900000000000006</v>
      </c>
      <c r="K29" s="9">
        <f t="shared" si="3"/>
        <v>0</v>
      </c>
      <c r="S29" s="16" t="s">
        <v>142</v>
      </c>
      <c r="T29" s="17">
        <f>AVERAGE(O4:O27)</f>
        <v>3.2737215224279991E-3</v>
      </c>
    </row>
    <row r="30" spans="1:21" x14ac:dyDescent="0.25">
      <c r="A30" s="1">
        <f>CCMFUT_F_0_Diário!B29</f>
        <v>45530</v>
      </c>
      <c r="B30" s="2">
        <f>CCMFUT_F_0_Diário!F29</f>
        <v>65.13</v>
      </c>
      <c r="C30" s="9">
        <f t="shared" si="0"/>
        <v>-2.2977941176471461E-3</v>
      </c>
      <c r="D30" s="2">
        <f>MAX($B$3:B30)</f>
        <v>67.010000000000005</v>
      </c>
      <c r="E30" s="9">
        <f t="shared" si="1"/>
        <v>-2.8055514102372923E-2</v>
      </c>
      <c r="G30" t="s">
        <v>43</v>
      </c>
      <c r="H30" s="2">
        <v>75.67</v>
      </c>
      <c r="I30" s="9">
        <f t="shared" si="2"/>
        <v>-1.5994798439531908E-2</v>
      </c>
      <c r="J30" s="2">
        <f>MAX($H$3:H30)</f>
        <v>76.900000000000006</v>
      </c>
      <c r="K30" s="9">
        <f t="shared" si="3"/>
        <v>-1.5994798439531908E-2</v>
      </c>
      <c r="S30" s="16" t="s">
        <v>143</v>
      </c>
      <c r="T30" s="17">
        <f>_xlfn.STDEV.S(O4:O27)</f>
        <v>5.3624320560105569E-2</v>
      </c>
    </row>
    <row r="31" spans="1:21" x14ac:dyDescent="0.25">
      <c r="A31" s="1">
        <f>CCMFUT_F_0_Diário!B30</f>
        <v>45531</v>
      </c>
      <c r="B31" s="2">
        <f>CCMFUT_F_0_Diário!F30</f>
        <v>65.52</v>
      </c>
      <c r="C31" s="9">
        <f t="shared" si="0"/>
        <v>5.9880239520958174E-3</v>
      </c>
      <c r="D31" s="2">
        <f>MAX($B$3:B31)</f>
        <v>67.010000000000005</v>
      </c>
      <c r="E31" s="9">
        <f t="shared" si="1"/>
        <v>-2.2235487240710474E-2</v>
      </c>
      <c r="G31" t="s">
        <v>44</v>
      </c>
      <c r="H31" s="2">
        <v>74.14</v>
      </c>
      <c r="I31" s="9">
        <f t="shared" si="2"/>
        <v>-2.0219373595876847E-2</v>
      </c>
      <c r="J31" s="2">
        <f>MAX($H$3:H31)</f>
        <v>76.900000000000006</v>
      </c>
      <c r="K31" s="9">
        <f t="shared" si="3"/>
        <v>-3.5890767230169117E-2</v>
      </c>
      <c r="S31" s="16" t="s">
        <v>144</v>
      </c>
      <c r="T31" s="17">
        <f>T29-T30</f>
        <v>-5.0350599037677572E-2</v>
      </c>
    </row>
    <row r="32" spans="1:21" x14ac:dyDescent="0.25">
      <c r="A32" s="1">
        <f>CCMFUT_F_0_Diário!B31</f>
        <v>45532</v>
      </c>
      <c r="B32" s="2">
        <f>CCMFUT_F_0_Diário!F31</f>
        <v>65.52</v>
      </c>
      <c r="C32" s="9">
        <f t="shared" si="0"/>
        <v>0</v>
      </c>
      <c r="D32" s="2">
        <f>MAX($B$3:B32)</f>
        <v>67.010000000000005</v>
      </c>
      <c r="E32" s="9">
        <f t="shared" si="1"/>
        <v>-2.2235487240710474E-2</v>
      </c>
      <c r="G32" t="s">
        <v>45</v>
      </c>
      <c r="H32" s="2">
        <v>74.48</v>
      </c>
      <c r="I32" s="9">
        <f t="shared" si="2"/>
        <v>4.5859185325061152E-3</v>
      </c>
      <c r="J32" s="2">
        <f>MAX($H$3:H32)</f>
        <v>76.900000000000006</v>
      </c>
      <c r="K32" s="9">
        <f t="shared" si="3"/>
        <v>-3.1469440832249694E-2</v>
      </c>
      <c r="S32" s="16" t="s">
        <v>145</v>
      </c>
      <c r="T32" s="17">
        <f>T29+T30</f>
        <v>5.6898042082533566E-2</v>
      </c>
    </row>
    <row r="33" spans="1:25" x14ac:dyDescent="0.25">
      <c r="A33" s="1">
        <f>CCMFUT_F_0_Diário!B32</f>
        <v>45533</v>
      </c>
      <c r="B33" s="2">
        <f>CCMFUT_F_0_Diário!F32</f>
        <v>66.099999999999994</v>
      </c>
      <c r="C33" s="9">
        <f t="shared" si="0"/>
        <v>8.852258852258826E-3</v>
      </c>
      <c r="D33" s="2">
        <f>MAX($B$3:B33)</f>
        <v>67.010000000000005</v>
      </c>
      <c r="E33" s="9">
        <f t="shared" si="1"/>
        <v>-1.3580062677212517E-2</v>
      </c>
      <c r="G33" t="s">
        <v>46</v>
      </c>
      <c r="H33" s="2">
        <v>77.05</v>
      </c>
      <c r="I33" s="9">
        <f t="shared" si="2"/>
        <v>3.4505907626208282E-2</v>
      </c>
      <c r="J33" s="2">
        <f>MAX($H$3:H33)</f>
        <v>77.05</v>
      </c>
      <c r="K33" s="9">
        <f t="shared" si="3"/>
        <v>0</v>
      </c>
      <c r="S33" s="16" t="s">
        <v>146</v>
      </c>
      <c r="T33" s="17">
        <f>T29-2*T30</f>
        <v>-0.10397491959778314</v>
      </c>
      <c r="V33" s="5" t="s">
        <v>161</v>
      </c>
      <c r="W33" s="4"/>
      <c r="X33" s="4"/>
      <c r="Y33" s="4"/>
    </row>
    <row r="34" spans="1:25" x14ac:dyDescent="0.25">
      <c r="A34" s="1">
        <f>CCMFUT_F_0_Diário!B33</f>
        <v>45534</v>
      </c>
      <c r="B34" s="2">
        <f>CCMFUT_F_0_Diário!F33</f>
        <v>66.87</v>
      </c>
      <c r="C34" s="9">
        <f t="shared" si="0"/>
        <v>1.16490166414525E-2</v>
      </c>
      <c r="D34" s="2">
        <f>MAX($B$3:B34)</f>
        <v>67.010000000000005</v>
      </c>
      <c r="E34" s="9">
        <f t="shared" si="1"/>
        <v>-2.0892404118788323E-3</v>
      </c>
      <c r="G34" t="s">
        <v>47</v>
      </c>
      <c r="H34" s="2">
        <v>79.59</v>
      </c>
      <c r="I34" s="9">
        <f t="shared" si="2"/>
        <v>3.2965606748864458E-2</v>
      </c>
      <c r="J34" s="2">
        <f>MAX($H$3:H34)</f>
        <v>79.59</v>
      </c>
      <c r="K34" s="9">
        <f t="shared" si="3"/>
        <v>0</v>
      </c>
      <c r="S34" s="16" t="s">
        <v>147</v>
      </c>
      <c r="T34" s="17">
        <f>T29+2*T30</f>
        <v>0.11052236264263914</v>
      </c>
      <c r="V34" s="15" t="s">
        <v>141</v>
      </c>
      <c r="W34" s="15" t="s">
        <v>157</v>
      </c>
      <c r="X34" s="15" t="s">
        <v>158</v>
      </c>
      <c r="Y34" s="15" t="s">
        <v>159</v>
      </c>
    </row>
    <row r="35" spans="1:25" x14ac:dyDescent="0.25">
      <c r="A35" s="1">
        <f>CCMFUT_F_0_Diário!B34</f>
        <v>45537</v>
      </c>
      <c r="B35" s="2">
        <f>CCMFUT_F_0_Diário!F34</f>
        <v>66.92</v>
      </c>
      <c r="C35" s="9">
        <f t="shared" si="0"/>
        <v>7.477194556601937E-4</v>
      </c>
      <c r="D35" s="2">
        <f>MAX($B$3:B35)</f>
        <v>67.010000000000005</v>
      </c>
      <c r="E35" s="9">
        <f t="shared" si="1"/>
        <v>-1.343083121922152E-3</v>
      </c>
      <c r="G35" t="s">
        <v>48</v>
      </c>
      <c r="H35" s="2">
        <v>83.96</v>
      </c>
      <c r="I35" s="9">
        <f t="shared" si="2"/>
        <v>5.4906395275788292E-2</v>
      </c>
      <c r="J35" s="2">
        <f>MAX($H$3:H35)</f>
        <v>83.96</v>
      </c>
      <c r="K35" s="9">
        <f t="shared" si="3"/>
        <v>0</v>
      </c>
      <c r="S35" s="16" t="s">
        <v>148</v>
      </c>
      <c r="T35" s="17">
        <f>T29-3*T30</f>
        <v>-0.1575992401578887</v>
      </c>
      <c r="V35" s="16" t="s">
        <v>150</v>
      </c>
      <c r="W35" s="17">
        <f>T11</f>
        <v>-0.27429569775060064</v>
      </c>
      <c r="X35" s="17">
        <f>T24</f>
        <v>-0.22810261150912881</v>
      </c>
      <c r="Y35" s="17">
        <f>T37</f>
        <v>-0.20741693963500238</v>
      </c>
    </row>
    <row r="36" spans="1:25" x14ac:dyDescent="0.25">
      <c r="A36" s="1">
        <f>CCMFUT_F_0_Diário!B35</f>
        <v>45538</v>
      </c>
      <c r="B36" s="2">
        <f>CCMFUT_F_0_Diário!F35</f>
        <v>67.36</v>
      </c>
      <c r="C36" s="9">
        <f t="shared" si="0"/>
        <v>6.5750149432157456E-3</v>
      </c>
      <c r="D36" s="2">
        <f>MAX($B$3:B36)</f>
        <v>67.36</v>
      </c>
      <c r="E36" s="9">
        <f t="shared" si="1"/>
        <v>0</v>
      </c>
      <c r="G36" t="s">
        <v>49</v>
      </c>
      <c r="H36" s="2">
        <v>85.48</v>
      </c>
      <c r="I36" s="9">
        <f t="shared" si="2"/>
        <v>1.8103858980467014E-2</v>
      </c>
      <c r="J36" s="2">
        <f>MAX($H$3:H36)</f>
        <v>85.48</v>
      </c>
      <c r="K36" s="9">
        <f t="shared" si="3"/>
        <v>0</v>
      </c>
      <c r="S36" s="16" t="s">
        <v>149</v>
      </c>
      <c r="T36" s="17">
        <f>T29+3*T30</f>
        <v>0.1641466832027447</v>
      </c>
      <c r="V36" s="16" t="s">
        <v>151</v>
      </c>
      <c r="W36" s="17">
        <f>T12</f>
        <v>-0.11457431134581388</v>
      </c>
      <c r="X36" s="17">
        <f>T25</f>
        <v>-7.9455481849291146E-2</v>
      </c>
      <c r="Y36" s="17">
        <f>T38</f>
        <v>-7.432665289363799E-2</v>
      </c>
    </row>
    <row r="37" spans="1:25" x14ac:dyDescent="0.25">
      <c r="A37" s="1">
        <f>CCMFUT_F_0_Diário!B36</f>
        <v>45539</v>
      </c>
      <c r="B37" s="2">
        <f>CCMFUT_F_0_Diário!F36</f>
        <v>68.44</v>
      </c>
      <c r="C37" s="9">
        <f t="shared" si="0"/>
        <v>1.603325415676957E-2</v>
      </c>
      <c r="D37" s="2">
        <f>MAX($B$3:B37)</f>
        <v>68.44</v>
      </c>
      <c r="E37" s="9">
        <f t="shared" si="1"/>
        <v>0</v>
      </c>
      <c r="G37" t="s">
        <v>50</v>
      </c>
      <c r="H37" s="2">
        <v>84.9</v>
      </c>
      <c r="I37" s="9">
        <f t="shared" si="2"/>
        <v>-6.7852129153018045E-3</v>
      </c>
      <c r="J37" s="2">
        <f>MAX($H$3:H37)</f>
        <v>85.48</v>
      </c>
      <c r="K37" s="9">
        <f t="shared" si="3"/>
        <v>-6.7852129153018045E-3</v>
      </c>
      <c r="S37" s="16" t="s">
        <v>150</v>
      </c>
      <c r="T37" s="17">
        <f>MIN(Q3:Q27)</f>
        <v>-0.20741693963500238</v>
      </c>
    </row>
    <row r="38" spans="1:25" x14ac:dyDescent="0.25">
      <c r="A38" s="1">
        <f>CCMFUT_F_0_Diário!B37</f>
        <v>45540</v>
      </c>
      <c r="B38" s="2">
        <f>CCMFUT_F_0_Diário!F37</f>
        <v>67.81</v>
      </c>
      <c r="C38" s="9">
        <f t="shared" si="0"/>
        <v>-9.2051431911162399E-3</v>
      </c>
      <c r="D38" s="2">
        <f>MAX($B$3:B38)</f>
        <v>68.44</v>
      </c>
      <c r="E38" s="9">
        <f t="shared" si="1"/>
        <v>-9.2051431911162399E-3</v>
      </c>
      <c r="G38" t="s">
        <v>51</v>
      </c>
      <c r="H38" s="2">
        <v>86.54</v>
      </c>
      <c r="I38" s="9">
        <f t="shared" si="2"/>
        <v>1.9316843345111901E-2</v>
      </c>
      <c r="J38" s="2">
        <f>MAX($H$3:H38)</f>
        <v>86.54</v>
      </c>
      <c r="K38" s="9">
        <f t="shared" si="3"/>
        <v>0</v>
      </c>
      <c r="S38" s="16" t="s">
        <v>151</v>
      </c>
      <c r="T38" s="17">
        <f>AVERAGE(Q3:Q27)</f>
        <v>-7.432665289363799E-2</v>
      </c>
    </row>
    <row r="39" spans="1:25" x14ac:dyDescent="0.25">
      <c r="A39" s="1">
        <f>CCMFUT_F_0_Diário!B38</f>
        <v>45541</v>
      </c>
      <c r="B39" s="2">
        <f>CCMFUT_F_0_Diário!F38</f>
        <v>68.27</v>
      </c>
      <c r="C39" s="9">
        <f t="shared" si="0"/>
        <v>6.7836602271050539E-3</v>
      </c>
      <c r="D39" s="2">
        <f>MAX($B$3:B39)</f>
        <v>68.44</v>
      </c>
      <c r="E39" s="9">
        <f t="shared" si="1"/>
        <v>-2.4839275277615679E-3</v>
      </c>
      <c r="G39" t="s">
        <v>52</v>
      </c>
      <c r="H39" s="2">
        <v>86.35</v>
      </c>
      <c r="I39" s="9">
        <f t="shared" si="2"/>
        <v>-2.1955165241508198E-3</v>
      </c>
      <c r="J39" s="2">
        <f>MAX($H$3:H39)</f>
        <v>86.54</v>
      </c>
      <c r="K39" s="9">
        <f t="shared" si="3"/>
        <v>-2.1955165241508198E-3</v>
      </c>
    </row>
    <row r="40" spans="1:25" x14ac:dyDescent="0.25">
      <c r="A40" s="1">
        <f>CCMFUT_F_0_Diário!B39</f>
        <v>45544</v>
      </c>
      <c r="B40" s="2">
        <f>CCMFUT_F_0_Diário!F39</f>
        <v>69.709999999999994</v>
      </c>
      <c r="C40" s="9">
        <f t="shared" si="0"/>
        <v>2.1092720082027214E-2</v>
      </c>
      <c r="D40" s="2">
        <f>MAX($B$3:B40)</f>
        <v>69.709999999999994</v>
      </c>
      <c r="E40" s="9">
        <f t="shared" si="1"/>
        <v>0</v>
      </c>
      <c r="G40" t="s">
        <v>53</v>
      </c>
      <c r="H40" s="2">
        <v>83.68</v>
      </c>
      <c r="I40" s="9">
        <f t="shared" si="2"/>
        <v>-3.0920671685002753E-2</v>
      </c>
      <c r="J40" s="2">
        <f>MAX($H$3:H40)</f>
        <v>86.54</v>
      </c>
      <c r="K40" s="9">
        <f t="shared" si="3"/>
        <v>-3.3048301363531304E-2</v>
      </c>
    </row>
    <row r="41" spans="1:25" x14ac:dyDescent="0.25">
      <c r="A41" s="1">
        <f>CCMFUT_F_0_Diário!B40</f>
        <v>45545</v>
      </c>
      <c r="B41" s="2">
        <f>CCMFUT_F_0_Diário!F40</f>
        <v>69.48</v>
      </c>
      <c r="C41" s="9">
        <f t="shared" si="0"/>
        <v>-3.2993831588005993E-3</v>
      </c>
      <c r="D41" s="2">
        <f>MAX($B$3:B41)</f>
        <v>69.709999999999994</v>
      </c>
      <c r="E41" s="9">
        <f t="shared" si="1"/>
        <v>-3.2993831588005993E-3</v>
      </c>
      <c r="G41" t="s">
        <v>54</v>
      </c>
      <c r="H41" s="2">
        <v>82.82</v>
      </c>
      <c r="I41" s="9">
        <f t="shared" si="2"/>
        <v>-1.0277246653919856E-2</v>
      </c>
      <c r="J41" s="2">
        <f>MAX($H$3:H41)</f>
        <v>86.54</v>
      </c>
      <c r="K41" s="9">
        <f t="shared" si="3"/>
        <v>-4.2985902472845075E-2</v>
      </c>
    </row>
    <row r="42" spans="1:25" x14ac:dyDescent="0.25">
      <c r="A42" s="1">
        <f>CCMFUT_F_0_Diário!B41</f>
        <v>45546</v>
      </c>
      <c r="B42" s="2">
        <f>CCMFUT_F_0_Diário!F41</f>
        <v>69.23</v>
      </c>
      <c r="C42" s="9">
        <f t="shared" si="0"/>
        <v>-3.598157743235463E-3</v>
      </c>
      <c r="D42" s="2">
        <f>MAX($B$3:B42)</f>
        <v>69.709999999999994</v>
      </c>
      <c r="E42" s="9">
        <f t="shared" si="1"/>
        <v>-6.8856692009753237E-3</v>
      </c>
      <c r="G42" t="s">
        <v>55</v>
      </c>
      <c r="H42" s="2">
        <v>86.01</v>
      </c>
      <c r="I42" s="9">
        <f t="shared" si="2"/>
        <v>3.8517266360782565E-2</v>
      </c>
      <c r="J42" s="2">
        <f>MAX($H$3:H42)</f>
        <v>86.54</v>
      </c>
      <c r="K42" s="9">
        <f t="shared" si="3"/>
        <v>-6.1243355673677039E-3</v>
      </c>
    </row>
    <row r="43" spans="1:25" x14ac:dyDescent="0.25">
      <c r="A43" s="1">
        <f>CCMFUT_F_0_Diário!B42</f>
        <v>45547</v>
      </c>
      <c r="B43" s="2">
        <f>CCMFUT_F_0_Diário!F42</f>
        <v>68.92</v>
      </c>
      <c r="C43" s="9">
        <f t="shared" si="0"/>
        <v>-4.4778275314170486E-3</v>
      </c>
      <c r="D43" s="2">
        <f>MAX($B$3:B43)</f>
        <v>69.709999999999994</v>
      </c>
      <c r="E43" s="9">
        <f t="shared" si="1"/>
        <v>-1.1332663893272013E-2</v>
      </c>
      <c r="G43" t="s">
        <v>56</v>
      </c>
      <c r="H43" s="2">
        <v>83.2</v>
      </c>
      <c r="I43" s="9">
        <f t="shared" si="2"/>
        <v>-3.2670619695384283E-2</v>
      </c>
      <c r="J43" s="2">
        <f>MAX($H$3:H43)</f>
        <v>86.54</v>
      </c>
      <c r="K43" s="9">
        <f t="shared" si="3"/>
        <v>-3.8594869424543599E-2</v>
      </c>
    </row>
    <row r="44" spans="1:25" x14ac:dyDescent="0.25">
      <c r="A44" s="1">
        <f>CCMFUT_F_0_Diário!B43</f>
        <v>45548</v>
      </c>
      <c r="B44" s="2">
        <f>CCMFUT_F_0_Diário!F43</f>
        <v>70.06</v>
      </c>
      <c r="C44" s="9">
        <f t="shared" si="0"/>
        <v>1.6540917005223456E-2</v>
      </c>
      <c r="D44" s="2">
        <f>MAX($B$3:B44)</f>
        <v>70.06</v>
      </c>
      <c r="E44" s="9">
        <f t="shared" si="1"/>
        <v>0</v>
      </c>
      <c r="G44" t="s">
        <v>57</v>
      </c>
      <c r="H44" s="2">
        <v>83.66</v>
      </c>
      <c r="I44" s="9">
        <f t="shared" si="2"/>
        <v>5.5288461538460787E-3</v>
      </c>
      <c r="J44" s="2">
        <f>MAX($H$3:H44)</f>
        <v>86.54</v>
      </c>
      <c r="K44" s="9">
        <f t="shared" si="3"/>
        <v>-3.3279408366073598E-2</v>
      </c>
    </row>
    <row r="45" spans="1:25" x14ac:dyDescent="0.25">
      <c r="A45" s="1">
        <f>CCMFUT_F_0_Diário!B44</f>
        <v>45551</v>
      </c>
      <c r="B45" s="2">
        <f>CCMFUT_F_0_Diário!F44</f>
        <v>69.709999999999994</v>
      </c>
      <c r="C45" s="9">
        <f t="shared" si="0"/>
        <v>-4.9957179560378038E-3</v>
      </c>
      <c r="D45" s="2">
        <f>MAX($B$3:B45)</f>
        <v>70.06</v>
      </c>
      <c r="E45" s="9">
        <f t="shared" si="1"/>
        <v>-4.9957179560378038E-3</v>
      </c>
      <c r="G45" t="s">
        <v>58</v>
      </c>
      <c r="H45" s="2">
        <v>83.12</v>
      </c>
      <c r="I45" s="9">
        <f t="shared" si="2"/>
        <v>-6.454697585464882E-3</v>
      </c>
      <c r="J45" s="2">
        <f>MAX($H$3:H45)</f>
        <v>86.54</v>
      </c>
      <c r="K45" s="9">
        <f t="shared" si="3"/>
        <v>-3.9519297434712289E-2</v>
      </c>
    </row>
    <row r="46" spans="1:25" x14ac:dyDescent="0.25">
      <c r="A46" s="1">
        <f>CCMFUT_F_0_Diário!B45</f>
        <v>45552</v>
      </c>
      <c r="B46" s="2">
        <f>CCMFUT_F_0_Diário!F45</f>
        <v>69.489999999999995</v>
      </c>
      <c r="C46" s="9">
        <f t="shared" si="0"/>
        <v>-3.1559317171137411E-3</v>
      </c>
      <c r="D46" s="2">
        <f>MAX($B$3:B46)</f>
        <v>70.06</v>
      </c>
      <c r="E46" s="9">
        <f t="shared" si="1"/>
        <v>-8.1358835284043307E-3</v>
      </c>
      <c r="G46" t="s">
        <v>59</v>
      </c>
      <c r="H46" s="2">
        <v>79.8</v>
      </c>
      <c r="I46" s="9">
        <f t="shared" si="2"/>
        <v>-3.9942252165543882E-2</v>
      </c>
      <c r="J46" s="2">
        <f>MAX($H$3:H46)</f>
        <v>86.54</v>
      </c>
      <c r="K46" s="9">
        <f t="shared" si="3"/>
        <v>-7.788305985671376E-2</v>
      </c>
    </row>
    <row r="47" spans="1:25" x14ac:dyDescent="0.25">
      <c r="A47" s="1">
        <f>CCMFUT_F_0_Diário!B46</f>
        <v>45553</v>
      </c>
      <c r="B47" s="2">
        <f>CCMFUT_F_0_Diário!F46</f>
        <v>68.510000000000005</v>
      </c>
      <c r="C47" s="9">
        <f t="shared" si="0"/>
        <v>-1.4102748596920274E-2</v>
      </c>
      <c r="D47" s="2">
        <f>MAX($B$3:B47)</f>
        <v>70.06</v>
      </c>
      <c r="E47" s="9">
        <f t="shared" si="1"/>
        <v>-2.2123893805309693E-2</v>
      </c>
      <c r="G47" t="s">
        <v>60</v>
      </c>
      <c r="H47" s="2">
        <v>78.290000000000006</v>
      </c>
      <c r="I47" s="9">
        <f t="shared" si="2"/>
        <v>-1.8922305764410913E-2</v>
      </c>
      <c r="J47" s="2">
        <f>MAX($H$3:H47)</f>
        <v>86.54</v>
      </c>
      <c r="K47" s="9">
        <f t="shared" si="3"/>
        <v>-9.5331638548648012E-2</v>
      </c>
    </row>
    <row r="48" spans="1:25" x14ac:dyDescent="0.25">
      <c r="A48" s="1">
        <f>CCMFUT_F_0_Diário!B47</f>
        <v>45554</v>
      </c>
      <c r="B48" s="2">
        <f>CCMFUT_F_0_Diário!F47</f>
        <v>69.16</v>
      </c>
      <c r="C48" s="9">
        <f t="shared" si="0"/>
        <v>9.4876660341554724E-3</v>
      </c>
      <c r="D48" s="2">
        <f>MAX($B$3:B48)</f>
        <v>70.06</v>
      </c>
      <c r="E48" s="9">
        <f t="shared" si="1"/>
        <v>-1.284613188695412E-2</v>
      </c>
      <c r="G48" t="s">
        <v>61</v>
      </c>
      <c r="H48" s="2">
        <v>78.66</v>
      </c>
      <c r="I48" s="9">
        <f t="shared" si="2"/>
        <v>4.726018648614003E-3</v>
      </c>
      <c r="J48" s="2">
        <f>MAX($H$3:H48)</f>
        <v>86.54</v>
      </c>
      <c r="K48" s="9">
        <f t="shared" si="3"/>
        <v>-9.1056159001617856E-2</v>
      </c>
    </row>
    <row r="49" spans="1:11" x14ac:dyDescent="0.25">
      <c r="A49" s="1">
        <f>CCMFUT_F_0_Diário!B48</f>
        <v>45555</v>
      </c>
      <c r="B49" s="2">
        <f>CCMFUT_F_0_Diário!F48</f>
        <v>70.11</v>
      </c>
      <c r="C49" s="9">
        <f t="shared" si="0"/>
        <v>1.3736263736263778E-2</v>
      </c>
      <c r="D49" s="2">
        <f>MAX($B$3:B49)</f>
        <v>70.11</v>
      </c>
      <c r="E49" s="9">
        <f t="shared" si="1"/>
        <v>0</v>
      </c>
      <c r="G49" t="s">
        <v>62</v>
      </c>
      <c r="H49" s="2">
        <v>78.77</v>
      </c>
      <c r="I49" s="9">
        <f t="shared" si="2"/>
        <v>1.3984235952199267E-3</v>
      </c>
      <c r="J49" s="2">
        <f>MAX($H$3:H49)</f>
        <v>86.54</v>
      </c>
      <c r="K49" s="9">
        <f t="shared" si="3"/>
        <v>-8.9785070487635885E-2</v>
      </c>
    </row>
    <row r="50" spans="1:11" x14ac:dyDescent="0.25">
      <c r="A50" s="1">
        <f>CCMFUT_F_0_Diário!B49</f>
        <v>45558</v>
      </c>
      <c r="B50" s="2">
        <f>CCMFUT_F_0_Diário!F49</f>
        <v>70.38</v>
      </c>
      <c r="C50" s="9">
        <f t="shared" si="0"/>
        <v>3.8510911424903156E-3</v>
      </c>
      <c r="D50" s="2">
        <f>MAX($B$3:B50)</f>
        <v>70.38</v>
      </c>
      <c r="E50" s="9">
        <f t="shared" si="1"/>
        <v>0</v>
      </c>
      <c r="G50" t="s">
        <v>63</v>
      </c>
      <c r="H50" s="2">
        <v>80.16</v>
      </c>
      <c r="I50" s="9">
        <f t="shared" si="2"/>
        <v>1.7646312047733918E-2</v>
      </c>
      <c r="J50" s="2">
        <f>MAX($H$3:H50)</f>
        <v>86.54</v>
      </c>
      <c r="K50" s="9">
        <f t="shared" si="3"/>
        <v>-7.3723133810954578E-2</v>
      </c>
    </row>
    <row r="51" spans="1:11" x14ac:dyDescent="0.25">
      <c r="A51" s="1">
        <f>CCMFUT_F_0_Diário!B50</f>
        <v>45559</v>
      </c>
      <c r="B51" s="2">
        <f>CCMFUT_F_0_Diário!F50</f>
        <v>70.47</v>
      </c>
      <c r="C51" s="9">
        <f t="shared" si="0"/>
        <v>1.2787723785166725E-3</v>
      </c>
      <c r="D51" s="2">
        <f>MAX($B$3:B51)</f>
        <v>70.47</v>
      </c>
      <c r="E51" s="9">
        <f t="shared" si="1"/>
        <v>0</v>
      </c>
      <c r="G51" t="s">
        <v>64</v>
      </c>
      <c r="H51" s="2">
        <v>78.400000000000006</v>
      </c>
      <c r="I51" s="9">
        <f t="shared" si="2"/>
        <v>-2.1956087824351184E-2</v>
      </c>
      <c r="J51" s="2">
        <f>MAX($H$3:H51)</f>
        <v>86.54</v>
      </c>
      <c r="K51" s="9">
        <f t="shared" si="3"/>
        <v>-9.4060550034666054E-2</v>
      </c>
    </row>
    <row r="52" spans="1:11" x14ac:dyDescent="0.25">
      <c r="A52" s="1">
        <f>CCMFUT_F_0_Diário!B51</f>
        <v>45560</v>
      </c>
      <c r="B52" s="2">
        <f>CCMFUT_F_0_Diário!F51</f>
        <v>70</v>
      </c>
      <c r="C52" s="9">
        <f t="shared" si="0"/>
        <v>-6.6695047537959256E-3</v>
      </c>
      <c r="D52" s="2">
        <f>MAX($B$3:B52)</f>
        <v>70.47</v>
      </c>
      <c r="E52" s="9">
        <f t="shared" si="1"/>
        <v>-6.6695047537959256E-3</v>
      </c>
      <c r="G52" t="s">
        <v>65</v>
      </c>
      <c r="H52" s="2">
        <v>77.73</v>
      </c>
      <c r="I52" s="9">
        <f t="shared" si="2"/>
        <v>-8.5459183673469597E-3</v>
      </c>
      <c r="J52" s="2">
        <f>MAX($H$3:H52)</f>
        <v>86.54</v>
      </c>
      <c r="K52" s="9">
        <f t="shared" si="3"/>
        <v>-0.101802634619829</v>
      </c>
    </row>
    <row r="53" spans="1:11" x14ac:dyDescent="0.25">
      <c r="A53" s="1">
        <f>CCMFUT_F_0_Diário!B52</f>
        <v>45561</v>
      </c>
      <c r="B53" s="2">
        <f>CCMFUT_F_0_Diário!F52</f>
        <v>70.459999999999994</v>
      </c>
      <c r="C53" s="9">
        <f t="shared" si="0"/>
        <v>6.5714285714284825E-3</v>
      </c>
      <c r="D53" s="2">
        <f>MAX($B$3:B53)</f>
        <v>70.47</v>
      </c>
      <c r="E53" s="9">
        <f t="shared" si="1"/>
        <v>-1.4190435646381603E-4</v>
      </c>
      <c r="G53" t="s">
        <v>66</v>
      </c>
      <c r="H53" s="2">
        <v>76.13</v>
      </c>
      <c r="I53" s="9">
        <f t="shared" si="2"/>
        <v>-2.0584073073459521E-2</v>
      </c>
      <c r="J53" s="2">
        <f>MAX($H$3:H53)</f>
        <v>86.54</v>
      </c>
      <c r="K53" s="9">
        <f t="shared" si="3"/>
        <v>-0.12029119482320326</v>
      </c>
    </row>
    <row r="54" spans="1:11" x14ac:dyDescent="0.25">
      <c r="A54" s="1">
        <f>CCMFUT_F_0_Diário!B53</f>
        <v>45562</v>
      </c>
      <c r="B54" s="2">
        <f>CCMFUT_F_0_Diário!F53</f>
        <v>70.989999999999995</v>
      </c>
      <c r="C54" s="9">
        <f t="shared" si="0"/>
        <v>7.5219982969060625E-3</v>
      </c>
      <c r="D54" s="2">
        <f>MAX($B$3:B54)</f>
        <v>70.989999999999995</v>
      </c>
      <c r="E54" s="9">
        <f t="shared" si="1"/>
        <v>0</v>
      </c>
      <c r="G54" t="s">
        <v>67</v>
      </c>
      <c r="H54" s="2">
        <v>75.930000000000007</v>
      </c>
      <c r="I54" s="9">
        <f t="shared" si="2"/>
        <v>-2.627085248916178E-3</v>
      </c>
      <c r="J54" s="2">
        <f>MAX($H$3:H54)</f>
        <v>86.54</v>
      </c>
      <c r="K54" s="9">
        <f t="shared" si="3"/>
        <v>-0.1226022648486249</v>
      </c>
    </row>
    <row r="55" spans="1:11" x14ac:dyDescent="0.25">
      <c r="A55" s="1">
        <f>CCMFUT_F_0_Diário!B54</f>
        <v>45565</v>
      </c>
      <c r="B55" s="2">
        <f>CCMFUT_F_0_Diário!F54</f>
        <v>71.19</v>
      </c>
      <c r="C55" s="9">
        <f t="shared" si="0"/>
        <v>2.8172982110156761E-3</v>
      </c>
      <c r="D55" s="2">
        <f>MAX($B$3:B55)</f>
        <v>71.19</v>
      </c>
      <c r="E55" s="9">
        <f t="shared" si="1"/>
        <v>0</v>
      </c>
      <c r="G55" t="s">
        <v>68</v>
      </c>
      <c r="H55" s="2">
        <v>78.17</v>
      </c>
      <c r="I55" s="9">
        <f t="shared" si="2"/>
        <v>2.9500856051626428E-2</v>
      </c>
      <c r="J55" s="2">
        <f>MAX($H$3:H55)</f>
        <v>86.54</v>
      </c>
      <c r="K55" s="9">
        <f t="shared" si="3"/>
        <v>-9.6718280563901138E-2</v>
      </c>
    </row>
    <row r="56" spans="1:11" x14ac:dyDescent="0.25">
      <c r="A56" s="1">
        <f>CCMFUT_F_0_Diário!B55</f>
        <v>45566</v>
      </c>
      <c r="B56" s="2">
        <f>CCMFUT_F_0_Diário!F55</f>
        <v>71.3</v>
      </c>
      <c r="C56" s="9">
        <f t="shared" si="0"/>
        <v>1.5451608371962276E-3</v>
      </c>
      <c r="D56" s="2">
        <f>MAX($B$3:B56)</f>
        <v>71.3</v>
      </c>
      <c r="E56" s="9">
        <f t="shared" si="1"/>
        <v>0</v>
      </c>
      <c r="G56" t="s">
        <v>69</v>
      </c>
      <c r="H56" s="2">
        <v>80.069999999999993</v>
      </c>
      <c r="I56" s="9">
        <f t="shared" si="2"/>
        <v>2.4305999744147263E-2</v>
      </c>
      <c r="J56" s="2">
        <f>MAX($H$3:H56)</f>
        <v>86.54</v>
      </c>
      <c r="K56" s="9">
        <f t="shared" si="3"/>
        <v>-7.4763115322394408E-2</v>
      </c>
    </row>
    <row r="57" spans="1:11" x14ac:dyDescent="0.25">
      <c r="A57" s="1">
        <f>CCMFUT_F_0_Diário!B56</f>
        <v>45567</v>
      </c>
      <c r="B57" s="2">
        <f>CCMFUT_F_0_Diário!F56</f>
        <v>71.97</v>
      </c>
      <c r="C57" s="9">
        <f t="shared" si="0"/>
        <v>9.3969144460028294E-3</v>
      </c>
      <c r="D57" s="2">
        <f>MAX($B$3:B57)</f>
        <v>71.97</v>
      </c>
      <c r="E57" s="9">
        <f t="shared" si="1"/>
        <v>0</v>
      </c>
      <c r="G57" t="s">
        <v>70</v>
      </c>
      <c r="H57" s="2">
        <v>80.31</v>
      </c>
      <c r="I57" s="9">
        <f t="shared" si="2"/>
        <v>2.9973772948671054E-3</v>
      </c>
      <c r="J57" s="2">
        <f>MAX($H$3:H57)</f>
        <v>86.54</v>
      </c>
      <c r="K57" s="9">
        <f t="shared" si="3"/>
        <v>-7.1989831291888184E-2</v>
      </c>
    </row>
    <row r="58" spans="1:11" x14ac:dyDescent="0.25">
      <c r="A58" s="1">
        <f>CCMFUT_F_0_Diário!B57</f>
        <v>45568</v>
      </c>
      <c r="B58" s="2">
        <f>CCMFUT_F_0_Diário!F57</f>
        <v>71.83</v>
      </c>
      <c r="C58" s="9">
        <f t="shared" si="0"/>
        <v>-1.9452549673475139E-3</v>
      </c>
      <c r="D58" s="2">
        <f>MAX($B$3:B58)</f>
        <v>71.97</v>
      </c>
      <c r="E58" s="9">
        <f t="shared" si="1"/>
        <v>-1.9452549673475139E-3</v>
      </c>
      <c r="G58" t="s">
        <v>71</v>
      </c>
      <c r="H58" s="2">
        <v>81.91</v>
      </c>
      <c r="I58" s="9">
        <f t="shared" si="2"/>
        <v>1.9922799153280966E-2</v>
      </c>
      <c r="J58" s="2">
        <f>MAX($H$3:H58)</f>
        <v>86.54</v>
      </c>
      <c r="K58" s="9">
        <f t="shared" si="3"/>
        <v>-5.3501271088514088E-2</v>
      </c>
    </row>
    <row r="59" spans="1:11" x14ac:dyDescent="0.25">
      <c r="A59" s="1">
        <f>CCMFUT_F_0_Diário!B58</f>
        <v>45569</v>
      </c>
      <c r="B59" s="2">
        <f>CCMFUT_F_0_Diário!F58</f>
        <v>70.28</v>
      </c>
      <c r="C59" s="9">
        <f t="shared" si="0"/>
        <v>-2.1578727551162427E-2</v>
      </c>
      <c r="D59" s="2">
        <f>MAX($B$3:B59)</f>
        <v>71.97</v>
      </c>
      <c r="E59" s="9">
        <f t="shared" si="1"/>
        <v>-2.3482006391552006E-2</v>
      </c>
      <c r="G59" t="s">
        <v>72</v>
      </c>
      <c r="H59" s="2">
        <v>79.75</v>
      </c>
      <c r="I59" s="9">
        <f t="shared" si="2"/>
        <v>-2.6370406543767509E-2</v>
      </c>
      <c r="J59" s="2">
        <f>MAX($H$3:H59)</f>
        <v>86.54</v>
      </c>
      <c r="K59" s="9">
        <f t="shared" si="3"/>
        <v>-7.8460827363069169E-2</v>
      </c>
    </row>
    <row r="60" spans="1:11" x14ac:dyDescent="0.25">
      <c r="A60" s="1">
        <f>CCMFUT_F_0_Diário!B59</f>
        <v>45572</v>
      </c>
      <c r="B60" s="2">
        <f>CCMFUT_F_0_Diário!F59</f>
        <v>69.23</v>
      </c>
      <c r="C60" s="9">
        <f t="shared" si="0"/>
        <v>-1.494023904382466E-2</v>
      </c>
      <c r="D60" s="2">
        <f>MAX($B$3:B60)</f>
        <v>71.97</v>
      </c>
      <c r="E60" s="9">
        <f t="shared" si="1"/>
        <v>-3.8071418646658257E-2</v>
      </c>
      <c r="G60" t="s">
        <v>73</v>
      </c>
      <c r="H60" s="2">
        <v>79.28</v>
      </c>
      <c r="I60" s="9">
        <f t="shared" si="2"/>
        <v>-5.8934169278996723E-3</v>
      </c>
      <c r="J60" s="2">
        <f>MAX($H$3:H60)</f>
        <v>86.54</v>
      </c>
      <c r="K60" s="9">
        <f t="shared" si="3"/>
        <v>-8.3891841922810309E-2</v>
      </c>
    </row>
    <row r="61" spans="1:11" x14ac:dyDescent="0.25">
      <c r="A61" s="1">
        <f>CCMFUT_F_0_Diário!B60</f>
        <v>45573</v>
      </c>
      <c r="B61" s="2">
        <f>CCMFUT_F_0_Diário!F60</f>
        <v>70.02</v>
      </c>
      <c r="C61" s="9">
        <f t="shared" si="0"/>
        <v>1.1411237902643248E-2</v>
      </c>
      <c r="D61" s="2">
        <f>MAX($B$3:B61)</f>
        <v>71.97</v>
      </c>
      <c r="E61" s="9">
        <f t="shared" si="1"/>
        <v>-2.7094622759483159E-2</v>
      </c>
      <c r="G61" t="s">
        <v>74</v>
      </c>
      <c r="H61" s="2">
        <v>80.86</v>
      </c>
      <c r="I61" s="9">
        <f t="shared" si="2"/>
        <v>1.9929364278506539E-2</v>
      </c>
      <c r="J61" s="2">
        <f>MAX($H$3:H61)</f>
        <v>86.54</v>
      </c>
      <c r="K61" s="9">
        <f t="shared" si="3"/>
        <v>-6.5634388721978354E-2</v>
      </c>
    </row>
    <row r="62" spans="1:11" x14ac:dyDescent="0.25">
      <c r="A62" s="1">
        <f>CCMFUT_F_0_Diário!B61</f>
        <v>45574</v>
      </c>
      <c r="B62" s="2">
        <f>CCMFUT_F_0_Diário!F61</f>
        <v>70.52</v>
      </c>
      <c r="C62" s="9">
        <f t="shared" si="0"/>
        <v>7.1408169094544418E-3</v>
      </c>
      <c r="D62" s="2">
        <f>MAX($B$3:B62)</f>
        <v>71.97</v>
      </c>
      <c r="E62" s="9">
        <f t="shared" si="1"/>
        <v>-2.0147283590384923E-2</v>
      </c>
      <c r="G62" t="s">
        <v>75</v>
      </c>
      <c r="H62" s="2">
        <v>80.069999999999993</v>
      </c>
      <c r="I62" s="9">
        <f t="shared" si="2"/>
        <v>-9.7699727924809091E-3</v>
      </c>
      <c r="J62" s="2">
        <f>MAX($H$3:H62)</f>
        <v>86.54</v>
      </c>
      <c r="K62" s="9">
        <f t="shared" si="3"/>
        <v>-7.4763115322394408E-2</v>
      </c>
    </row>
    <row r="63" spans="1:11" x14ac:dyDescent="0.25">
      <c r="A63" s="1">
        <f>CCMFUT_F_0_Diário!B62</f>
        <v>45575</v>
      </c>
      <c r="B63" s="2">
        <f>CCMFUT_F_0_Diário!F62</f>
        <v>71.11</v>
      </c>
      <c r="C63" s="9">
        <f t="shared" si="0"/>
        <v>8.3664208735111101E-3</v>
      </c>
      <c r="D63" s="2">
        <f>MAX($B$3:B63)</f>
        <v>71.97</v>
      </c>
      <c r="E63" s="9">
        <f t="shared" si="1"/>
        <v>-1.1949423370848956E-2</v>
      </c>
      <c r="G63" t="s">
        <v>76</v>
      </c>
      <c r="H63" s="2">
        <v>79.260000000000005</v>
      </c>
      <c r="I63" s="9">
        <f t="shared" si="2"/>
        <v>-1.0116148370175947E-2</v>
      </c>
      <c r="J63" s="2">
        <f>MAX($H$3:H63)</f>
        <v>86.54</v>
      </c>
      <c r="K63" s="9">
        <f t="shared" si="3"/>
        <v>-8.412294892535245E-2</v>
      </c>
    </row>
    <row r="64" spans="1:11" x14ac:dyDescent="0.25">
      <c r="A64" s="1">
        <f>CCMFUT_F_0_Diário!B63</f>
        <v>45576</v>
      </c>
      <c r="B64" s="2">
        <f>CCMFUT_F_0_Diário!F63</f>
        <v>70.78</v>
      </c>
      <c r="C64" s="9">
        <f t="shared" si="0"/>
        <v>-4.6406975108985839E-3</v>
      </c>
      <c r="D64" s="2">
        <f>MAX($B$3:B64)</f>
        <v>71.97</v>
      </c>
      <c r="E64" s="9">
        <f t="shared" si="1"/>
        <v>-1.653466722245377E-2</v>
      </c>
      <c r="G64" t="s">
        <v>77</v>
      </c>
      <c r="H64" s="2">
        <v>79.400000000000006</v>
      </c>
      <c r="I64" s="9">
        <f t="shared" si="2"/>
        <v>1.7663386323492375E-3</v>
      </c>
      <c r="J64" s="2">
        <f>MAX($H$3:H64)</f>
        <v>86.54</v>
      </c>
      <c r="K64" s="9">
        <f t="shared" si="3"/>
        <v>-8.2505199907557197E-2</v>
      </c>
    </row>
    <row r="65" spans="1:11" x14ac:dyDescent="0.25">
      <c r="A65" s="1">
        <f>CCMFUT_F_0_Diário!B64</f>
        <v>45579</v>
      </c>
      <c r="B65" s="2">
        <f>CCMFUT_F_0_Diário!F64</f>
        <v>69.62</v>
      </c>
      <c r="C65" s="9">
        <f t="shared" si="0"/>
        <v>-1.6388810398417584E-2</v>
      </c>
      <c r="D65" s="2">
        <f>MAX($B$3:B65)</f>
        <v>71.97</v>
      </c>
      <c r="E65" s="9">
        <f t="shared" si="1"/>
        <v>-3.2652494094761626E-2</v>
      </c>
      <c r="G65" t="s">
        <v>78</v>
      </c>
      <c r="H65" s="2">
        <v>78.41</v>
      </c>
      <c r="I65" s="9">
        <f t="shared" si="2"/>
        <v>-1.2468513853904396E-2</v>
      </c>
      <c r="J65" s="2">
        <f>MAX($H$3:H65)</f>
        <v>86.54</v>
      </c>
      <c r="K65" s="9">
        <f t="shared" si="3"/>
        <v>-9.3944996533395067E-2</v>
      </c>
    </row>
    <row r="66" spans="1:11" x14ac:dyDescent="0.25">
      <c r="A66" s="1">
        <f>CCMFUT_F_0_Diário!B65</f>
        <v>45580</v>
      </c>
      <c r="B66" s="2">
        <f>CCMFUT_F_0_Diário!F65</f>
        <v>70.88</v>
      </c>
      <c r="C66" s="9">
        <f t="shared" si="0"/>
        <v>1.8098247629991251E-2</v>
      </c>
      <c r="D66" s="2">
        <f>MAX($B$3:B66)</f>
        <v>71.97</v>
      </c>
      <c r="E66" s="9">
        <f t="shared" si="1"/>
        <v>-1.5145199388634201E-2</v>
      </c>
      <c r="G66" t="s">
        <v>79</v>
      </c>
      <c r="H66" s="2">
        <v>77.069999999999993</v>
      </c>
      <c r="I66" s="9">
        <f t="shared" si="2"/>
        <v>-1.7089656931513882E-2</v>
      </c>
      <c r="J66" s="2">
        <f>MAX($H$3:H66)</f>
        <v>86.54</v>
      </c>
      <c r="K66" s="9">
        <f t="shared" si="3"/>
        <v>-0.10942916570372097</v>
      </c>
    </row>
    <row r="67" spans="1:11" x14ac:dyDescent="0.25">
      <c r="A67" s="1">
        <f>CCMFUT_F_0_Diário!B66</f>
        <v>45581</v>
      </c>
      <c r="B67" s="2">
        <f>CCMFUT_F_0_Diário!F66</f>
        <v>70.73</v>
      </c>
      <c r="C67" s="9">
        <f t="shared" si="0"/>
        <v>-2.1162528216703089E-3</v>
      </c>
      <c r="D67" s="2">
        <f>MAX($B$3:B67)</f>
        <v>71.97</v>
      </c>
      <c r="E67" s="9">
        <f t="shared" si="1"/>
        <v>-1.7229401139363554E-2</v>
      </c>
      <c r="G67" t="s">
        <v>80</v>
      </c>
      <c r="H67" s="2">
        <v>76.83</v>
      </c>
      <c r="I67" s="9">
        <f t="shared" si="2"/>
        <v>-3.1140521603736202E-3</v>
      </c>
      <c r="J67" s="2">
        <f>MAX($H$3:H67)</f>
        <v>86.54</v>
      </c>
      <c r="K67" s="9">
        <f t="shared" si="3"/>
        <v>-0.11220244973422704</v>
      </c>
    </row>
    <row r="68" spans="1:11" x14ac:dyDescent="0.25">
      <c r="A68" s="1">
        <f>CCMFUT_F_0_Diário!B67</f>
        <v>45582</v>
      </c>
      <c r="B68" s="2">
        <f>CCMFUT_F_0_Diário!F67</f>
        <v>71.319999999999993</v>
      </c>
      <c r="C68" s="9">
        <f t="shared" si="0"/>
        <v>8.341580658843337E-3</v>
      </c>
      <c r="D68" s="2">
        <f>MAX($B$3:B68)</f>
        <v>71.97</v>
      </c>
      <c r="E68" s="9">
        <f t="shared" si="1"/>
        <v>-9.0315409198277845E-3</v>
      </c>
      <c r="G68" t="s">
        <v>81</v>
      </c>
      <c r="H68" s="2">
        <v>79.02</v>
      </c>
      <c r="I68" s="9">
        <f t="shared" si="2"/>
        <v>2.8504490433424415E-2</v>
      </c>
      <c r="J68" s="2">
        <f>MAX($H$3:H68)</f>
        <v>86.54</v>
      </c>
      <c r="K68" s="9">
        <f t="shared" si="3"/>
        <v>-8.6896232955858674E-2</v>
      </c>
    </row>
    <row r="69" spans="1:11" x14ac:dyDescent="0.25">
      <c r="A69" s="1">
        <f>CCMFUT_F_0_Diário!B68</f>
        <v>45583</v>
      </c>
      <c r="B69" s="2">
        <f>CCMFUT_F_0_Diário!F68</f>
        <v>71.56</v>
      </c>
      <c r="C69" s="9">
        <f t="shared" ref="C69:C132" si="6">(B69-B68)/B68</f>
        <v>3.3651149747617654E-3</v>
      </c>
      <c r="D69" s="2">
        <f>MAX($B$3:B69)</f>
        <v>71.97</v>
      </c>
      <c r="E69" s="9">
        <f t="shared" ref="E69:E132" si="7">(B69-D69)/D69</f>
        <v>-5.6968181186605061E-3</v>
      </c>
      <c r="G69" t="s">
        <v>82</v>
      </c>
      <c r="H69" s="2">
        <v>79.709999999999994</v>
      </c>
      <c r="I69" s="9">
        <f t="shared" ref="I69:I109" si="8">(H69-H68)/H68</f>
        <v>8.7319665907364934E-3</v>
      </c>
      <c r="J69" s="2">
        <f>MAX($H$3:H69)</f>
        <v>86.54</v>
      </c>
      <c r="K69" s="9">
        <f t="shared" ref="K69:K109" si="9">(H69-J69)/J69</f>
        <v>-7.892304136815359E-2</v>
      </c>
    </row>
    <row r="70" spans="1:11" x14ac:dyDescent="0.25">
      <c r="A70" s="1">
        <f>CCMFUT_F_0_Diário!B69</f>
        <v>45586</v>
      </c>
      <c r="B70" s="2">
        <f>CCMFUT_F_0_Diário!F69</f>
        <v>72.38</v>
      </c>
      <c r="C70" s="9">
        <f t="shared" si="6"/>
        <v>1.1458915595304544E-2</v>
      </c>
      <c r="D70" s="2">
        <f>MAX($B$3:B70)</f>
        <v>72.38</v>
      </c>
      <c r="E70" s="9">
        <f t="shared" si="7"/>
        <v>0</v>
      </c>
      <c r="G70" t="s">
        <v>83</v>
      </c>
      <c r="H70" s="2">
        <v>78.23</v>
      </c>
      <c r="I70" s="9">
        <f t="shared" si="8"/>
        <v>-1.8567306486011667E-2</v>
      </c>
      <c r="J70" s="2">
        <f>MAX($H$3:H70)</f>
        <v>86.54</v>
      </c>
      <c r="K70" s="9">
        <f t="shared" si="9"/>
        <v>-9.6024959556274575E-2</v>
      </c>
    </row>
    <row r="71" spans="1:11" x14ac:dyDescent="0.25">
      <c r="A71" s="1">
        <f>CCMFUT_F_0_Diário!B70</f>
        <v>45587</v>
      </c>
      <c r="B71" s="2">
        <f>CCMFUT_F_0_Diário!F70</f>
        <v>73.3</v>
      </c>
      <c r="C71" s="9">
        <f t="shared" si="6"/>
        <v>1.2710693561757415E-2</v>
      </c>
      <c r="D71" s="2">
        <f>MAX($B$3:B71)</f>
        <v>73.3</v>
      </c>
      <c r="E71" s="9">
        <f t="shared" si="7"/>
        <v>0</v>
      </c>
      <c r="G71" t="s">
        <v>84</v>
      </c>
      <c r="H71" s="2">
        <v>79.209999999999994</v>
      </c>
      <c r="I71" s="9">
        <f t="shared" si="8"/>
        <v>1.2527163492266263E-2</v>
      </c>
      <c r="J71" s="2">
        <f>MAX($H$3:H71)</f>
        <v>86.54</v>
      </c>
      <c r="K71" s="9">
        <f t="shared" si="9"/>
        <v>-8.4700716431708026E-2</v>
      </c>
    </row>
    <row r="72" spans="1:11" x14ac:dyDescent="0.25">
      <c r="A72" s="1">
        <f>CCMFUT_F_0_Diário!B71</f>
        <v>45588</v>
      </c>
      <c r="B72" s="2">
        <f>CCMFUT_F_0_Diário!F71</f>
        <v>73.98</v>
      </c>
      <c r="C72" s="9">
        <f t="shared" si="6"/>
        <v>9.2769440654844049E-3</v>
      </c>
      <c r="D72" s="2">
        <f>MAX($B$3:B72)</f>
        <v>73.98</v>
      </c>
      <c r="E72" s="9">
        <f t="shared" si="7"/>
        <v>0</v>
      </c>
      <c r="G72" t="s">
        <v>85</v>
      </c>
      <c r="H72" s="2">
        <v>78.84</v>
      </c>
      <c r="I72" s="9">
        <f t="shared" si="8"/>
        <v>-4.6711273829060772E-3</v>
      </c>
      <c r="J72" s="2">
        <f>MAX($H$3:H72)</f>
        <v>86.54</v>
      </c>
      <c r="K72" s="9">
        <f t="shared" si="9"/>
        <v>-8.8976195978738182E-2</v>
      </c>
    </row>
    <row r="73" spans="1:11" x14ac:dyDescent="0.25">
      <c r="A73" s="1">
        <f>CCMFUT_F_0_Diário!B72</f>
        <v>45589</v>
      </c>
      <c r="B73" s="2">
        <f>CCMFUT_F_0_Diário!F72</f>
        <v>74.59</v>
      </c>
      <c r="C73" s="9">
        <f t="shared" si="6"/>
        <v>8.2454717491213768E-3</v>
      </c>
      <c r="D73" s="2">
        <f>MAX($B$3:B73)</f>
        <v>74.59</v>
      </c>
      <c r="E73" s="9">
        <f t="shared" si="7"/>
        <v>0</v>
      </c>
      <c r="G73" t="s">
        <v>86</v>
      </c>
      <c r="H73" s="2">
        <v>79.459999999999994</v>
      </c>
      <c r="I73" s="9">
        <f t="shared" si="8"/>
        <v>7.8640284119734939E-3</v>
      </c>
      <c r="J73" s="2">
        <f>MAX($H$3:H73)</f>
        <v>86.54</v>
      </c>
      <c r="K73" s="9">
        <f t="shared" si="9"/>
        <v>-8.1811878899930801E-2</v>
      </c>
    </row>
    <row r="74" spans="1:11" x14ac:dyDescent="0.25">
      <c r="A74" s="1">
        <f>CCMFUT_F_0_Diário!B73</f>
        <v>45590</v>
      </c>
      <c r="B74" s="2">
        <f>CCMFUT_F_0_Diário!F73</f>
        <v>74.97</v>
      </c>
      <c r="C74" s="9">
        <f t="shared" si="6"/>
        <v>5.0945166912454137E-3</v>
      </c>
      <c r="D74" s="2">
        <f>MAX($B$3:B74)</f>
        <v>74.97</v>
      </c>
      <c r="E74" s="9">
        <f t="shared" si="7"/>
        <v>0</v>
      </c>
      <c r="G74" t="s">
        <v>87</v>
      </c>
      <c r="H74" s="2">
        <v>79.739999999999995</v>
      </c>
      <c r="I74" s="9">
        <f t="shared" si="8"/>
        <v>3.5237855524792496E-3</v>
      </c>
      <c r="J74" s="2">
        <f>MAX($H$3:H74)</f>
        <v>86.54</v>
      </c>
      <c r="K74" s="9">
        <f t="shared" si="9"/>
        <v>-7.8576380864340309E-2</v>
      </c>
    </row>
    <row r="75" spans="1:11" x14ac:dyDescent="0.25">
      <c r="A75" s="1">
        <f>CCMFUT_F_0_Diário!B74</f>
        <v>45593</v>
      </c>
      <c r="B75" s="2">
        <f>CCMFUT_F_0_Diário!F74</f>
        <v>74.709999999999994</v>
      </c>
      <c r="C75" s="9">
        <f t="shared" si="6"/>
        <v>-3.4680538882220237E-3</v>
      </c>
      <c r="D75" s="2">
        <f>MAX($B$3:B75)</f>
        <v>74.97</v>
      </c>
      <c r="E75" s="9">
        <f t="shared" si="7"/>
        <v>-3.4680538882220237E-3</v>
      </c>
      <c r="G75" t="s">
        <v>88</v>
      </c>
      <c r="H75" s="2">
        <v>81.99</v>
      </c>
      <c r="I75" s="9">
        <f t="shared" si="8"/>
        <v>2.8216704288939055E-2</v>
      </c>
      <c r="J75" s="2">
        <f>MAX($H$3:H75)</f>
        <v>86.54</v>
      </c>
      <c r="K75" s="9">
        <f t="shared" si="9"/>
        <v>-5.2576843078345405E-2</v>
      </c>
    </row>
    <row r="76" spans="1:11" x14ac:dyDescent="0.25">
      <c r="A76" s="1">
        <f>CCMFUT_F_0_Diário!B75</f>
        <v>45594</v>
      </c>
      <c r="B76" s="2">
        <f>CCMFUT_F_0_Diário!F75</f>
        <v>75.69</v>
      </c>
      <c r="C76" s="9">
        <f t="shared" si="6"/>
        <v>1.3117387230625138E-2</v>
      </c>
      <c r="D76" s="2">
        <f>MAX($B$3:B76)</f>
        <v>75.69</v>
      </c>
      <c r="E76" s="9">
        <f t="shared" si="7"/>
        <v>0</v>
      </c>
      <c r="G76" t="s">
        <v>89</v>
      </c>
      <c r="H76" s="2">
        <v>82.93</v>
      </c>
      <c r="I76" s="9">
        <f t="shared" si="8"/>
        <v>1.1464812782046738E-2</v>
      </c>
      <c r="J76" s="2">
        <f>MAX($H$3:H76)</f>
        <v>86.54</v>
      </c>
      <c r="K76" s="9">
        <f t="shared" si="9"/>
        <v>-4.1714813958862944E-2</v>
      </c>
    </row>
    <row r="77" spans="1:11" x14ac:dyDescent="0.25">
      <c r="A77" s="1">
        <f>CCMFUT_F_0_Diário!B76</f>
        <v>45595</v>
      </c>
      <c r="B77" s="2">
        <f>CCMFUT_F_0_Diário!F76</f>
        <v>75.59</v>
      </c>
      <c r="C77" s="9">
        <f t="shared" si="6"/>
        <v>-1.321178491214088E-3</v>
      </c>
      <c r="D77" s="2">
        <f>MAX($B$3:B77)</f>
        <v>75.69</v>
      </c>
      <c r="E77" s="9">
        <f t="shared" si="7"/>
        <v>-1.321178491214088E-3</v>
      </c>
      <c r="G77" t="s">
        <v>90</v>
      </c>
      <c r="H77" s="2">
        <v>80.63</v>
      </c>
      <c r="I77" s="9">
        <f t="shared" si="8"/>
        <v>-2.773423369106489E-2</v>
      </c>
      <c r="J77" s="2">
        <f>MAX($H$3:H77)</f>
        <v>86.54</v>
      </c>
      <c r="K77" s="9">
        <f t="shared" si="9"/>
        <v>-6.8292119251213437E-2</v>
      </c>
    </row>
    <row r="78" spans="1:11" x14ac:dyDescent="0.25">
      <c r="A78" s="1">
        <f>CCMFUT_F_0_Diário!B77</f>
        <v>45596</v>
      </c>
      <c r="B78" s="2">
        <f>CCMFUT_F_0_Diário!F77</f>
        <v>75.34</v>
      </c>
      <c r="C78" s="9">
        <f t="shared" si="6"/>
        <v>-3.307315782510914E-3</v>
      </c>
      <c r="D78" s="2">
        <f>MAX($B$3:B78)</f>
        <v>75.69</v>
      </c>
      <c r="E78" s="9">
        <f t="shared" si="7"/>
        <v>-4.6241247192494953E-3</v>
      </c>
      <c r="G78" t="s">
        <v>91</v>
      </c>
      <c r="H78" s="2">
        <v>79.459999999999994</v>
      </c>
      <c r="I78" s="9">
        <f t="shared" si="8"/>
        <v>-1.4510728016867192E-2</v>
      </c>
      <c r="J78" s="2">
        <f>MAX($H$3:H78)</f>
        <v>86.54</v>
      </c>
      <c r="K78" s="9">
        <f t="shared" si="9"/>
        <v>-8.1811878899930801E-2</v>
      </c>
    </row>
    <row r="79" spans="1:11" x14ac:dyDescent="0.25">
      <c r="A79" s="1">
        <f>CCMFUT_F_0_Diário!B78</f>
        <v>45597</v>
      </c>
      <c r="B79" s="2">
        <f>CCMFUT_F_0_Diário!F78</f>
        <v>75.48</v>
      </c>
      <c r="C79" s="9">
        <f t="shared" si="6"/>
        <v>1.8582426333952822E-3</v>
      </c>
      <c r="D79" s="2">
        <f>MAX($B$3:B79)</f>
        <v>75.69</v>
      </c>
      <c r="E79" s="9">
        <f t="shared" si="7"/>
        <v>-2.7744748315496597E-3</v>
      </c>
      <c r="G79" t="s">
        <v>92</v>
      </c>
      <c r="H79" s="2">
        <v>78.489999999999995</v>
      </c>
      <c r="I79" s="9">
        <f t="shared" si="8"/>
        <v>-1.2207399949660193E-2</v>
      </c>
      <c r="J79" s="2">
        <f>MAX($H$3:H79)</f>
        <v>86.54</v>
      </c>
      <c r="K79" s="9">
        <f t="shared" si="9"/>
        <v>-9.3020568523226377E-2</v>
      </c>
    </row>
    <row r="80" spans="1:11" x14ac:dyDescent="0.25">
      <c r="A80" s="1">
        <f>CCMFUT_F_0_Diário!B79</f>
        <v>45600</v>
      </c>
      <c r="B80" s="2">
        <f>CCMFUT_F_0_Diário!F79</f>
        <v>75.319999999999993</v>
      </c>
      <c r="C80" s="9">
        <f t="shared" si="6"/>
        <v>-2.1197668256493214E-3</v>
      </c>
      <c r="D80" s="2">
        <f>MAX($B$3:B80)</f>
        <v>75.69</v>
      </c>
      <c r="E80" s="9">
        <f t="shared" si="7"/>
        <v>-4.8883604174924638E-3</v>
      </c>
      <c r="G80" t="s">
        <v>93</v>
      </c>
      <c r="H80" s="2">
        <v>78.66</v>
      </c>
      <c r="I80" s="9">
        <f t="shared" si="8"/>
        <v>2.1658810039495695E-3</v>
      </c>
      <c r="J80" s="2">
        <f>MAX($H$3:H80)</f>
        <v>86.54</v>
      </c>
      <c r="K80" s="9">
        <f t="shared" si="9"/>
        <v>-9.1056159001617856E-2</v>
      </c>
    </row>
    <row r="81" spans="1:11" x14ac:dyDescent="0.25">
      <c r="A81" s="1">
        <f>CCMFUT_F_0_Diário!B80</f>
        <v>45601</v>
      </c>
      <c r="B81" s="2">
        <f>CCMFUT_F_0_Diário!F80</f>
        <v>74.55</v>
      </c>
      <c r="C81" s="9">
        <f t="shared" si="6"/>
        <v>-1.0223048327137494E-2</v>
      </c>
      <c r="D81" s="2">
        <f>MAX($B$3:B81)</f>
        <v>75.69</v>
      </c>
      <c r="E81" s="9">
        <f t="shared" si="7"/>
        <v>-1.5061434799841466E-2</v>
      </c>
      <c r="G81" t="s">
        <v>94</v>
      </c>
      <c r="H81" s="2">
        <v>78.34</v>
      </c>
      <c r="I81" s="9">
        <f t="shared" si="8"/>
        <v>-4.0681413679124487E-3</v>
      </c>
      <c r="J81" s="2">
        <f>MAX($H$3:H81)</f>
        <v>86.54</v>
      </c>
      <c r="K81" s="9">
        <f t="shared" si="9"/>
        <v>-9.4753871042292603E-2</v>
      </c>
    </row>
    <row r="82" spans="1:11" x14ac:dyDescent="0.25">
      <c r="A82" s="1">
        <f>CCMFUT_F_0_Diário!B81</f>
        <v>45602</v>
      </c>
      <c r="B82" s="2">
        <f>CCMFUT_F_0_Diário!F81</f>
        <v>74.900000000000006</v>
      </c>
      <c r="C82" s="9">
        <f t="shared" si="6"/>
        <v>4.6948356807512883E-3</v>
      </c>
      <c r="D82" s="2">
        <f>MAX($B$3:B82)</f>
        <v>75.69</v>
      </c>
      <c r="E82" s="9">
        <f t="shared" si="7"/>
        <v>-1.0437310080591783E-2</v>
      </c>
      <c r="G82" t="s">
        <v>95</v>
      </c>
      <c r="H82" s="2">
        <v>76.73</v>
      </c>
      <c r="I82" s="9">
        <f t="shared" si="8"/>
        <v>-2.0551442430431444E-2</v>
      </c>
      <c r="J82" s="2">
        <f>MAX($H$3:H82)</f>
        <v>86.54</v>
      </c>
      <c r="K82" s="9">
        <f t="shared" si="9"/>
        <v>-0.11335798474693785</v>
      </c>
    </row>
    <row r="83" spans="1:11" x14ac:dyDescent="0.25">
      <c r="A83" s="1">
        <f>CCMFUT_F_0_Diário!B82</f>
        <v>45603</v>
      </c>
      <c r="B83" s="2">
        <f>CCMFUT_F_0_Diário!F82</f>
        <v>75.97</v>
      </c>
      <c r="C83" s="9">
        <f t="shared" si="6"/>
        <v>1.4285714285714193E-2</v>
      </c>
      <c r="D83" s="2">
        <f>MAX($B$3:B83)</f>
        <v>75.97</v>
      </c>
      <c r="E83" s="9">
        <f t="shared" si="7"/>
        <v>0</v>
      </c>
      <c r="G83" t="s">
        <v>96</v>
      </c>
      <c r="H83" s="2">
        <v>74.959999999999994</v>
      </c>
      <c r="I83" s="9">
        <f t="shared" si="8"/>
        <v>-2.306790043007963E-2</v>
      </c>
      <c r="J83" s="2">
        <f>MAX($H$3:H83)</f>
        <v>86.54</v>
      </c>
      <c r="K83" s="9">
        <f t="shared" si="9"/>
        <v>-0.13381095447192062</v>
      </c>
    </row>
    <row r="84" spans="1:11" x14ac:dyDescent="0.25">
      <c r="A84" s="1">
        <f>CCMFUT_F_0_Diário!B83</f>
        <v>45604</v>
      </c>
      <c r="B84" s="2">
        <f>CCMFUT_F_0_Diário!F83</f>
        <v>76.33</v>
      </c>
      <c r="C84" s="9">
        <f t="shared" si="6"/>
        <v>4.738712649730149E-3</v>
      </c>
      <c r="D84" s="2">
        <f>MAX($B$3:B84)</f>
        <v>76.33</v>
      </c>
      <c r="E84" s="9">
        <f t="shared" si="7"/>
        <v>0</v>
      </c>
      <c r="G84" t="s">
        <v>97</v>
      </c>
      <c r="H84" s="2">
        <v>72.47</v>
      </c>
      <c r="I84" s="9">
        <f t="shared" si="8"/>
        <v>-3.3217716115261406E-2</v>
      </c>
      <c r="J84" s="2">
        <f>MAX($H$3:H84)</f>
        <v>86.54</v>
      </c>
      <c r="K84" s="9">
        <f t="shared" si="9"/>
        <v>-0.16258377628842161</v>
      </c>
    </row>
    <row r="85" spans="1:11" x14ac:dyDescent="0.25">
      <c r="A85" s="1">
        <f>CCMFUT_F_0_Diário!B84</f>
        <v>45607</v>
      </c>
      <c r="B85" s="2">
        <f>CCMFUT_F_0_Diário!F84</f>
        <v>76.89</v>
      </c>
      <c r="C85" s="9">
        <f t="shared" si="6"/>
        <v>7.3365649154985236E-3</v>
      </c>
      <c r="D85" s="2">
        <f>MAX($B$3:B85)</f>
        <v>76.89</v>
      </c>
      <c r="E85" s="9">
        <f t="shared" si="7"/>
        <v>0</v>
      </c>
      <c r="G85" t="s">
        <v>98</v>
      </c>
      <c r="H85" s="2">
        <v>72.81</v>
      </c>
      <c r="I85" s="9">
        <f t="shared" si="8"/>
        <v>4.6915965226990951E-3</v>
      </c>
      <c r="J85" s="2">
        <f>MAX($H$3:H85)</f>
        <v>86.54</v>
      </c>
      <c r="K85" s="9">
        <f t="shared" si="9"/>
        <v>-0.15865495724520456</v>
      </c>
    </row>
    <row r="86" spans="1:11" x14ac:dyDescent="0.25">
      <c r="A86" s="1">
        <f>CCMFUT_F_0_Diário!B85</f>
        <v>45608</v>
      </c>
      <c r="B86" s="2">
        <f>CCMFUT_F_0_Diário!F85</f>
        <v>76.72</v>
      </c>
      <c r="C86" s="9">
        <f t="shared" si="6"/>
        <v>-2.2109507088048084E-3</v>
      </c>
      <c r="D86" s="2">
        <f>MAX($B$3:B86)</f>
        <v>76.89</v>
      </c>
      <c r="E86" s="9">
        <f t="shared" si="7"/>
        <v>-2.2109507088048084E-3</v>
      </c>
      <c r="G86" t="s">
        <v>99</v>
      </c>
      <c r="H86" s="2">
        <v>72.62</v>
      </c>
      <c r="I86" s="9">
        <f t="shared" si="8"/>
        <v>-2.6095316577392901E-3</v>
      </c>
      <c r="J86" s="2">
        <f>MAX($H$3:H86)</f>
        <v>86.54</v>
      </c>
      <c r="K86" s="9">
        <f t="shared" si="9"/>
        <v>-0.16085047376935521</v>
      </c>
    </row>
    <row r="87" spans="1:11" x14ac:dyDescent="0.25">
      <c r="A87" s="1">
        <f>CCMFUT_F_0_Diário!B86</f>
        <v>45609</v>
      </c>
      <c r="B87" s="2">
        <f>CCMFUT_F_0_Diário!F86</f>
        <v>76.569999999999993</v>
      </c>
      <c r="C87" s="9">
        <f t="shared" si="6"/>
        <v>-1.9551616266945473E-3</v>
      </c>
      <c r="D87" s="2">
        <f>MAX($B$3:B87)</f>
        <v>76.89</v>
      </c>
      <c r="E87" s="9">
        <f t="shared" si="7"/>
        <v>-4.1617895695149872E-3</v>
      </c>
      <c r="G87" t="s">
        <v>100</v>
      </c>
      <c r="H87" s="2">
        <v>74.86</v>
      </c>
      <c r="I87" s="9">
        <f t="shared" si="8"/>
        <v>3.0845497108234574E-2</v>
      </c>
      <c r="J87" s="2">
        <f>MAX($H$3:H87)</f>
        <v>86.54</v>
      </c>
      <c r="K87" s="9">
        <f t="shared" si="9"/>
        <v>-0.13496648948463144</v>
      </c>
    </row>
    <row r="88" spans="1:11" x14ac:dyDescent="0.25">
      <c r="A88" s="1">
        <f>CCMFUT_F_0_Diário!B87</f>
        <v>45610</v>
      </c>
      <c r="B88" s="2">
        <f>CCMFUT_F_0_Diário!F87</f>
        <v>75.53</v>
      </c>
      <c r="C88" s="9">
        <f t="shared" si="6"/>
        <v>-1.358234295415949E-2</v>
      </c>
      <c r="D88" s="2">
        <f>MAX($B$3:B88)</f>
        <v>76.89</v>
      </c>
      <c r="E88" s="9">
        <f t="shared" si="7"/>
        <v>-1.768760567043828E-2</v>
      </c>
      <c r="G88" t="s">
        <v>101</v>
      </c>
      <c r="H88" s="2">
        <v>75.8</v>
      </c>
      <c r="I88" s="9">
        <f t="shared" si="8"/>
        <v>1.2556772642265531E-2</v>
      </c>
      <c r="J88" s="2">
        <f>MAX($H$3:H88)</f>
        <v>86.54</v>
      </c>
      <c r="K88" s="9">
        <f t="shared" si="9"/>
        <v>-0.12410446036514916</v>
      </c>
    </row>
    <row r="89" spans="1:11" x14ac:dyDescent="0.25">
      <c r="A89" s="1">
        <f>CCMFUT_F_0_Diário!B88</f>
        <v>45614</v>
      </c>
      <c r="B89" s="2">
        <f>CCMFUT_F_0_Diário!F88</f>
        <v>74.72</v>
      </c>
      <c r="C89" s="9">
        <f t="shared" si="6"/>
        <v>-1.0724215543492682E-2</v>
      </c>
      <c r="D89" s="2">
        <f>MAX($B$3:B89)</f>
        <v>76.89</v>
      </c>
      <c r="E89" s="9">
        <f t="shared" si="7"/>
        <v>-2.8222135518272878E-2</v>
      </c>
      <c r="G89" t="s">
        <v>102</v>
      </c>
      <c r="H89" s="2">
        <v>76.099999999999994</v>
      </c>
      <c r="I89" s="9">
        <f t="shared" si="8"/>
        <v>3.9577836411609129E-3</v>
      </c>
      <c r="J89" s="2">
        <f>MAX($H$3:H89)</f>
        <v>86.54</v>
      </c>
      <c r="K89" s="9">
        <f t="shared" si="9"/>
        <v>-0.12063785532701654</v>
      </c>
    </row>
    <row r="90" spans="1:11" x14ac:dyDescent="0.25">
      <c r="A90" s="1">
        <f>CCMFUT_F_0_Diário!B89</f>
        <v>45615</v>
      </c>
      <c r="B90" s="2">
        <f>CCMFUT_F_0_Diário!F89</f>
        <v>73.959999999999994</v>
      </c>
      <c r="C90" s="9">
        <f t="shared" si="6"/>
        <v>-1.0171306209850175E-2</v>
      </c>
      <c r="D90" s="2">
        <f>MAX($B$3:B90)</f>
        <v>76.89</v>
      </c>
      <c r="E90" s="9">
        <f t="shared" si="7"/>
        <v>-3.8106385745870816E-2</v>
      </c>
      <c r="G90" t="s">
        <v>103</v>
      </c>
      <c r="H90" s="2">
        <v>77.400000000000006</v>
      </c>
      <c r="I90" s="9">
        <f t="shared" si="8"/>
        <v>1.7082785808147326E-2</v>
      </c>
      <c r="J90" s="2">
        <f>MAX($H$3:H90)</f>
        <v>86.54</v>
      </c>
      <c r="K90" s="9">
        <f t="shared" si="9"/>
        <v>-0.1056159001617749</v>
      </c>
    </row>
    <row r="91" spans="1:11" x14ac:dyDescent="0.25">
      <c r="A91" s="1">
        <f>CCMFUT_F_0_Diário!B90</f>
        <v>45617</v>
      </c>
      <c r="B91" s="2">
        <f>CCMFUT_F_0_Diário!F90</f>
        <v>73.349999999999994</v>
      </c>
      <c r="C91" s="9">
        <f t="shared" si="6"/>
        <v>-8.2477014602487762E-3</v>
      </c>
      <c r="D91" s="2">
        <f>MAX($B$3:B91)</f>
        <v>76.89</v>
      </c>
      <c r="E91" s="9">
        <f t="shared" si="7"/>
        <v>-4.6039797112758567E-2</v>
      </c>
      <c r="G91" t="s">
        <v>104</v>
      </c>
      <c r="H91" s="2">
        <v>77.88</v>
      </c>
      <c r="I91" s="9">
        <f t="shared" si="8"/>
        <v>6.2015503875967664E-3</v>
      </c>
      <c r="J91" s="2">
        <f>MAX($H$3:H91)</f>
        <v>86.54</v>
      </c>
      <c r="K91" s="9">
        <f t="shared" si="9"/>
        <v>-0.10006933210076277</v>
      </c>
    </row>
    <row r="92" spans="1:11" x14ac:dyDescent="0.25">
      <c r="A92" s="1">
        <f>CCMFUT_F_0_Diário!B91</f>
        <v>45618</v>
      </c>
      <c r="B92" s="2">
        <f>CCMFUT_F_0_Diário!F91</f>
        <v>73.09</v>
      </c>
      <c r="C92" s="9">
        <f t="shared" si="6"/>
        <v>-3.544648943421826E-3</v>
      </c>
      <c r="D92" s="2">
        <f>MAX($B$3:B92)</f>
        <v>76.89</v>
      </c>
      <c r="E92" s="9">
        <f t="shared" si="7"/>
        <v>-4.94212511379893E-2</v>
      </c>
      <c r="G92" t="s">
        <v>105</v>
      </c>
      <c r="H92" s="2">
        <v>74.459999999999994</v>
      </c>
      <c r="I92" s="9">
        <f t="shared" si="8"/>
        <v>-4.3913713405238856E-2</v>
      </c>
      <c r="J92" s="2">
        <f>MAX($H$3:H92)</f>
        <v>86.54</v>
      </c>
      <c r="K92" s="9">
        <f t="shared" si="9"/>
        <v>-0.13958862953547507</v>
      </c>
    </row>
    <row r="93" spans="1:11" x14ac:dyDescent="0.25">
      <c r="A93" s="1">
        <f>CCMFUT_F_0_Diário!B92</f>
        <v>45621</v>
      </c>
      <c r="B93" s="2">
        <f>CCMFUT_F_0_Diário!F92</f>
        <v>72.27</v>
      </c>
      <c r="C93" s="9">
        <f t="shared" si="6"/>
        <v>-1.1219045012997775E-2</v>
      </c>
      <c r="D93" s="2">
        <f>MAX($B$3:B93)</f>
        <v>76.89</v>
      </c>
      <c r="E93" s="9">
        <f t="shared" si="7"/>
        <v>-6.00858369098713E-2</v>
      </c>
      <c r="G93" t="s">
        <v>106</v>
      </c>
      <c r="H93" s="2">
        <v>74.650000000000006</v>
      </c>
      <c r="I93" s="9">
        <f t="shared" si="8"/>
        <v>2.5517056137525107E-3</v>
      </c>
      <c r="J93" s="2">
        <f>MAX($H$3:H93)</f>
        <v>86.54</v>
      </c>
      <c r="K93" s="9">
        <f t="shared" si="9"/>
        <v>-0.13739311301132423</v>
      </c>
    </row>
    <row r="94" spans="1:11" x14ac:dyDescent="0.25">
      <c r="A94" s="1">
        <f>CCMFUT_F_0_Diário!B93</f>
        <v>45622</v>
      </c>
      <c r="B94" s="2">
        <f>CCMFUT_F_0_Diário!F93</f>
        <v>71.459999999999994</v>
      </c>
      <c r="C94" s="9">
        <f t="shared" si="6"/>
        <v>-1.1207970112079734E-2</v>
      </c>
      <c r="D94" s="2">
        <f>MAX($B$3:B94)</f>
        <v>76.89</v>
      </c>
      <c r="E94" s="9">
        <f t="shared" si="7"/>
        <v>-7.0620366757705902E-2</v>
      </c>
      <c r="G94" t="s">
        <v>107</v>
      </c>
      <c r="H94" s="2">
        <v>74.180000000000007</v>
      </c>
      <c r="I94" s="9">
        <f t="shared" si="8"/>
        <v>-6.2960482250502183E-3</v>
      </c>
      <c r="J94" s="2">
        <f>MAX($H$3:H94)</f>
        <v>86.54</v>
      </c>
      <c r="K94" s="9">
        <f t="shared" si="9"/>
        <v>-0.14282412757106538</v>
      </c>
    </row>
    <row r="95" spans="1:11" x14ac:dyDescent="0.25">
      <c r="A95" s="1">
        <f>CCMFUT_F_0_Diário!B94</f>
        <v>45623</v>
      </c>
      <c r="B95" s="2">
        <f>CCMFUT_F_0_Diário!F94</f>
        <v>71.73</v>
      </c>
      <c r="C95" s="9">
        <f t="shared" si="6"/>
        <v>3.7783375314862895E-3</v>
      </c>
      <c r="D95" s="2">
        <f>MAX($B$3:B95)</f>
        <v>76.89</v>
      </c>
      <c r="E95" s="9">
        <f t="shared" si="7"/>
        <v>-6.7108856808427583E-2</v>
      </c>
      <c r="G95" t="s">
        <v>108</v>
      </c>
      <c r="H95" s="2">
        <v>70.61</v>
      </c>
      <c r="I95" s="9">
        <f t="shared" si="8"/>
        <v>-4.8126179563224687E-2</v>
      </c>
      <c r="J95" s="2">
        <f>MAX($H$3:H95)</f>
        <v>86.54</v>
      </c>
      <c r="K95" s="9">
        <f t="shared" si="9"/>
        <v>-0.18407672752484408</v>
      </c>
    </row>
    <row r="96" spans="1:11" x14ac:dyDescent="0.25">
      <c r="A96" s="1">
        <f>CCMFUT_F_0_Diário!B95</f>
        <v>45624</v>
      </c>
      <c r="B96" s="2">
        <f>CCMFUT_F_0_Diário!F95</f>
        <v>71.52</v>
      </c>
      <c r="C96" s="9">
        <f t="shared" si="6"/>
        <v>-2.9276453366793246E-3</v>
      </c>
      <c r="D96" s="2">
        <f>MAX($B$3:B96)</f>
        <v>76.89</v>
      </c>
      <c r="E96" s="9">
        <f t="shared" si="7"/>
        <v>-6.9840031213421833E-2</v>
      </c>
      <c r="G96" t="s">
        <v>109</v>
      </c>
      <c r="H96" s="2">
        <v>67.959999999999994</v>
      </c>
      <c r="I96" s="9">
        <f t="shared" si="8"/>
        <v>-3.7530094887409798E-2</v>
      </c>
      <c r="J96" s="2">
        <f>MAX($H$3:H96)</f>
        <v>86.54</v>
      </c>
      <c r="K96" s="9">
        <f t="shared" si="9"/>
        <v>-0.21469840536168258</v>
      </c>
    </row>
    <row r="97" spans="1:11" x14ac:dyDescent="0.25">
      <c r="A97" s="1">
        <f>CCMFUT_F_0_Diário!B96</f>
        <v>45625</v>
      </c>
      <c r="B97" s="2">
        <f>CCMFUT_F_0_Diário!F96</f>
        <v>72.62</v>
      </c>
      <c r="C97" s="9">
        <f t="shared" si="6"/>
        <v>1.5380313199105265E-2</v>
      </c>
      <c r="D97" s="2">
        <f>MAX($B$3:B97)</f>
        <v>76.89</v>
      </c>
      <c r="E97" s="9">
        <f t="shared" si="7"/>
        <v>-5.5533879568214282E-2</v>
      </c>
      <c r="G97" t="s">
        <v>110</v>
      </c>
      <c r="H97" s="2">
        <v>71.400000000000006</v>
      </c>
      <c r="I97" s="9">
        <f t="shared" si="8"/>
        <v>5.0618010594467515E-2</v>
      </c>
      <c r="J97" s="2">
        <f>MAX($H$3:H97)</f>
        <v>86.54</v>
      </c>
      <c r="K97" s="9">
        <f t="shared" si="9"/>
        <v>-0.174948000924428</v>
      </c>
    </row>
    <row r="98" spans="1:11" x14ac:dyDescent="0.25">
      <c r="A98" s="1">
        <f>CCMFUT_F_0_Diário!B97</f>
        <v>45628</v>
      </c>
      <c r="B98" s="2">
        <f>CCMFUT_F_0_Diário!F97</f>
        <v>73.52</v>
      </c>
      <c r="C98" s="9">
        <f t="shared" si="6"/>
        <v>1.2393280088129873E-2</v>
      </c>
      <c r="D98" s="2">
        <f>MAX($B$3:B98)</f>
        <v>76.89</v>
      </c>
      <c r="E98" s="9">
        <f t="shared" si="7"/>
        <v>-4.3828846403953757E-2</v>
      </c>
      <c r="G98" t="s">
        <v>111</v>
      </c>
      <c r="H98" s="2">
        <v>71.599999999999994</v>
      </c>
      <c r="I98" s="9">
        <f t="shared" si="8"/>
        <v>2.8011204481791121E-3</v>
      </c>
      <c r="J98" s="2">
        <f>MAX($H$3:H98)</f>
        <v>86.54</v>
      </c>
      <c r="K98" s="9">
        <f t="shared" si="9"/>
        <v>-0.17263693089900636</v>
      </c>
    </row>
    <row r="99" spans="1:11" x14ac:dyDescent="0.25">
      <c r="A99" s="1">
        <f>CCMFUT_F_0_Diário!B98</f>
        <v>45629</v>
      </c>
      <c r="B99" s="2">
        <f>CCMFUT_F_0_Diário!F98</f>
        <v>73.27</v>
      </c>
      <c r="C99" s="9">
        <f t="shared" si="6"/>
        <v>-3.4004352557127312E-3</v>
      </c>
      <c r="D99" s="2">
        <f>MAX($B$3:B99)</f>
        <v>76.89</v>
      </c>
      <c r="E99" s="9">
        <f t="shared" si="7"/>
        <v>-4.7080244505137266E-2</v>
      </c>
      <c r="G99" t="s">
        <v>112</v>
      </c>
      <c r="H99" s="2">
        <v>69.72</v>
      </c>
      <c r="I99" s="9">
        <f t="shared" si="8"/>
        <v>-2.6256983240223401E-2</v>
      </c>
      <c r="J99" s="2">
        <f>MAX($H$3:H99)</f>
        <v>86.54</v>
      </c>
      <c r="K99" s="9">
        <f t="shared" si="9"/>
        <v>-0.19436098913797095</v>
      </c>
    </row>
    <row r="100" spans="1:11" x14ac:dyDescent="0.25">
      <c r="A100" s="1">
        <f>CCMFUT_F_0_Diário!B99</f>
        <v>45630</v>
      </c>
      <c r="B100" s="2">
        <f>CCMFUT_F_0_Diário!F99</f>
        <v>72.11</v>
      </c>
      <c r="C100" s="9">
        <f t="shared" si="6"/>
        <v>-1.5831854783676765E-2</v>
      </c>
      <c r="D100" s="2">
        <f>MAX($B$3:B100)</f>
        <v>76.89</v>
      </c>
      <c r="E100" s="9">
        <f t="shared" si="7"/>
        <v>-6.2166731694628705E-2</v>
      </c>
      <c r="G100" t="s">
        <v>113</v>
      </c>
      <c r="H100" s="2">
        <v>69.63</v>
      </c>
      <c r="I100" s="9">
        <f t="shared" si="8"/>
        <v>-1.2908777969019422E-3</v>
      </c>
      <c r="J100" s="2">
        <f>MAX($H$3:H100)</f>
        <v>86.54</v>
      </c>
      <c r="K100" s="9">
        <f t="shared" si="9"/>
        <v>-0.19540097064941078</v>
      </c>
    </row>
    <row r="101" spans="1:11" x14ac:dyDescent="0.25">
      <c r="A101" s="1">
        <f>CCMFUT_F_0_Diário!B100</f>
        <v>45631</v>
      </c>
      <c r="B101" s="2">
        <f>CCMFUT_F_0_Diário!F100</f>
        <v>73.319999999999993</v>
      </c>
      <c r="C101" s="9">
        <f t="shared" si="6"/>
        <v>1.6779919567327606E-2</v>
      </c>
      <c r="D101" s="2">
        <f>MAX($B$3:B101)</f>
        <v>76.89</v>
      </c>
      <c r="E101" s="9">
        <f t="shared" si="7"/>
        <v>-4.6429964884900601E-2</v>
      </c>
      <c r="G101" t="s">
        <v>114</v>
      </c>
      <c r="H101" s="2">
        <v>69.94</v>
      </c>
      <c r="I101" s="9">
        <f t="shared" si="8"/>
        <v>4.4521039781703622E-3</v>
      </c>
      <c r="J101" s="2">
        <f>MAX($H$3:H101)</f>
        <v>86.54</v>
      </c>
      <c r="K101" s="9">
        <f t="shared" si="9"/>
        <v>-0.19181881211000701</v>
      </c>
    </row>
    <row r="102" spans="1:11" x14ac:dyDescent="0.25">
      <c r="A102" s="1">
        <f>CCMFUT_F_0_Diário!B101</f>
        <v>45632</v>
      </c>
      <c r="B102" s="2">
        <f>CCMFUT_F_0_Diário!F101</f>
        <v>74.95</v>
      </c>
      <c r="C102" s="9">
        <f t="shared" si="6"/>
        <v>2.2231314784506406E-2</v>
      </c>
      <c r="D102" s="2">
        <f>MAX($B$3:B102)</f>
        <v>76.89</v>
      </c>
      <c r="E102" s="9">
        <f t="shared" si="7"/>
        <v>-2.5230849265183999E-2</v>
      </c>
      <c r="G102" t="s">
        <v>115</v>
      </c>
      <c r="H102" s="2">
        <v>68.099999999999994</v>
      </c>
      <c r="I102" s="9">
        <f t="shared" si="8"/>
        <v>-2.6308264226479888E-2</v>
      </c>
      <c r="J102" s="2">
        <f>MAX($H$3:H102)</f>
        <v>86.54</v>
      </c>
      <c r="K102" s="9">
        <f t="shared" si="9"/>
        <v>-0.21308065634388734</v>
      </c>
    </row>
    <row r="103" spans="1:11" x14ac:dyDescent="0.25">
      <c r="A103" s="1">
        <f>CCMFUT_F_0_Diário!B102</f>
        <v>45635</v>
      </c>
      <c r="B103" s="2">
        <f>CCMFUT_F_0_Diário!F102</f>
        <v>75.86</v>
      </c>
      <c r="C103" s="9">
        <f t="shared" si="6"/>
        <v>1.2141427618412229E-2</v>
      </c>
      <c r="D103" s="2">
        <f>MAX($B$3:B103)</f>
        <v>76.89</v>
      </c>
      <c r="E103" s="9">
        <f t="shared" si="7"/>
        <v>-1.3395760176876071E-2</v>
      </c>
      <c r="G103" t="s">
        <v>116</v>
      </c>
      <c r="H103" s="2">
        <v>68.8</v>
      </c>
      <c r="I103" s="9">
        <f t="shared" si="8"/>
        <v>1.0279001468428825E-2</v>
      </c>
      <c r="J103" s="2">
        <f>MAX($H$3:H103)</f>
        <v>86.54</v>
      </c>
      <c r="K103" s="9">
        <f t="shared" si="9"/>
        <v>-0.20499191125491112</v>
      </c>
    </row>
    <row r="104" spans="1:11" x14ac:dyDescent="0.25">
      <c r="A104" s="1">
        <f>CCMFUT_F_0_Diário!B103</f>
        <v>45636</v>
      </c>
      <c r="B104" s="2">
        <f>CCMFUT_F_0_Diário!F103</f>
        <v>76.86</v>
      </c>
      <c r="C104" s="9">
        <f t="shared" si="6"/>
        <v>1.3182177695755339E-2</v>
      </c>
      <c r="D104" s="2">
        <f>MAX($B$3:B104)</f>
        <v>76.89</v>
      </c>
      <c r="E104" s="9">
        <f t="shared" si="7"/>
        <v>-3.9016777214203588E-4</v>
      </c>
      <c r="G104" t="s">
        <v>117</v>
      </c>
      <c r="H104" s="2">
        <v>66.83</v>
      </c>
      <c r="I104" s="9">
        <f t="shared" si="8"/>
        <v>-2.8633720930232542E-2</v>
      </c>
      <c r="J104" s="2">
        <f>MAX($H$3:H104)</f>
        <v>86.54</v>
      </c>
      <c r="K104" s="9">
        <f t="shared" si="9"/>
        <v>-0.22775595100531554</v>
      </c>
    </row>
    <row r="105" spans="1:11" x14ac:dyDescent="0.25">
      <c r="A105" s="1">
        <f>CCMFUT_F_0_Diário!B104</f>
        <v>45637</v>
      </c>
      <c r="B105" s="2">
        <f>CCMFUT_F_0_Diário!F104</f>
        <v>77.48</v>
      </c>
      <c r="C105" s="9">
        <f t="shared" si="6"/>
        <v>8.066614623991733E-3</v>
      </c>
      <c r="D105" s="2">
        <f>MAX($B$3:B105)</f>
        <v>77.48</v>
      </c>
      <c r="E105" s="9">
        <f t="shared" si="7"/>
        <v>0</v>
      </c>
      <c r="G105" t="s">
        <v>118</v>
      </c>
      <c r="H105" s="2">
        <v>66.8</v>
      </c>
      <c r="I105" s="9">
        <f t="shared" si="8"/>
        <v>-4.4890019452343465E-4</v>
      </c>
      <c r="J105" s="2">
        <f>MAX($H$3:H105)</f>
        <v>86.54</v>
      </c>
      <c r="K105" s="9">
        <f t="shared" si="9"/>
        <v>-0.22810261150912881</v>
      </c>
    </row>
    <row r="106" spans="1:11" x14ac:dyDescent="0.25">
      <c r="A106" s="1">
        <f>CCMFUT_F_0_Diário!B105</f>
        <v>45638</v>
      </c>
      <c r="B106" s="2">
        <f>CCMFUT_F_0_Diário!F105</f>
        <v>76.209999999999994</v>
      </c>
      <c r="C106" s="9">
        <f t="shared" si="6"/>
        <v>-1.639132679401149E-2</v>
      </c>
      <c r="D106" s="2">
        <f>MAX($B$3:B106)</f>
        <v>77.48</v>
      </c>
      <c r="E106" s="9">
        <f t="shared" si="7"/>
        <v>-1.639132679401149E-2</v>
      </c>
      <c r="G106" t="s">
        <v>119</v>
      </c>
      <c r="H106" s="2">
        <v>67.959999999999994</v>
      </c>
      <c r="I106" s="9">
        <f t="shared" si="8"/>
        <v>1.7365269461077793E-2</v>
      </c>
      <c r="J106" s="2">
        <f>MAX($H$3:H106)</f>
        <v>86.54</v>
      </c>
      <c r="K106" s="9">
        <f t="shared" si="9"/>
        <v>-0.21469840536168258</v>
      </c>
    </row>
    <row r="107" spans="1:11" x14ac:dyDescent="0.25">
      <c r="A107" s="1">
        <f>CCMFUT_F_0_Diário!B106</f>
        <v>45639</v>
      </c>
      <c r="B107" s="2">
        <f>CCMFUT_F_0_Diário!F106</f>
        <v>75.489999999999995</v>
      </c>
      <c r="C107" s="9">
        <f t="shared" si="6"/>
        <v>-9.4475790578664072E-3</v>
      </c>
      <c r="D107" s="2">
        <f>MAX($B$3:B107)</f>
        <v>77.48</v>
      </c>
      <c r="E107" s="9">
        <f t="shared" si="7"/>
        <v>-2.568404749612815E-2</v>
      </c>
      <c r="G107" t="s">
        <v>120</v>
      </c>
      <c r="H107" s="2">
        <v>67</v>
      </c>
      <c r="I107" s="9">
        <f t="shared" si="8"/>
        <v>-1.4125956444967537E-2</v>
      </c>
      <c r="J107" s="2">
        <f>MAX($H$3:H107)</f>
        <v>86.54</v>
      </c>
      <c r="K107" s="9">
        <f t="shared" si="9"/>
        <v>-0.225791541483707</v>
      </c>
    </row>
    <row r="108" spans="1:11" x14ac:dyDescent="0.25">
      <c r="A108" s="1">
        <f>CCMFUT_F_0_Diário!B107</f>
        <v>45642</v>
      </c>
      <c r="B108" s="2">
        <f>CCMFUT_F_0_Diário!F107</f>
        <v>75</v>
      </c>
      <c r="C108" s="9">
        <f t="shared" si="6"/>
        <v>-6.4909259504569465E-3</v>
      </c>
      <c r="D108" s="2">
        <f>MAX($B$3:B108)</f>
        <v>77.48</v>
      </c>
      <c r="E108" s="9">
        <f t="shared" si="7"/>
        <v>-3.2008260196179708E-2</v>
      </c>
      <c r="G108" t="s">
        <v>121</v>
      </c>
      <c r="H108" s="2">
        <v>67.25</v>
      </c>
      <c r="I108" s="9">
        <f t="shared" si="8"/>
        <v>3.7313432835820895E-3</v>
      </c>
      <c r="J108" s="2">
        <f>MAX($H$3:H108)</f>
        <v>86.54</v>
      </c>
      <c r="K108" s="9">
        <f t="shared" si="9"/>
        <v>-0.22290270395192979</v>
      </c>
    </row>
    <row r="109" spans="1:11" x14ac:dyDescent="0.25">
      <c r="A109" s="1">
        <f>CCMFUT_F_0_Diário!B108</f>
        <v>45643</v>
      </c>
      <c r="B109" s="2">
        <f>CCMFUT_F_0_Diário!F108</f>
        <v>75.61</v>
      </c>
      <c r="C109" s="9">
        <f t="shared" si="6"/>
        <v>8.1333333333333258E-3</v>
      </c>
      <c r="D109" s="2">
        <f>MAX($B$3:B109)</f>
        <v>77.48</v>
      </c>
      <c r="E109" s="9">
        <f t="shared" si="7"/>
        <v>-2.4135260712441979E-2</v>
      </c>
      <c r="G109" t="s">
        <v>122</v>
      </c>
      <c r="H109" s="2">
        <v>68.8</v>
      </c>
      <c r="I109" s="9">
        <f t="shared" si="8"/>
        <v>2.3048327137546426E-2</v>
      </c>
      <c r="J109" s="2">
        <f>MAX($H$3:H109)</f>
        <v>86.54</v>
      </c>
      <c r="K109" s="9">
        <f t="shared" si="9"/>
        <v>-0.20499191125491112</v>
      </c>
    </row>
    <row r="110" spans="1:11" x14ac:dyDescent="0.25">
      <c r="A110" s="1">
        <f>CCMFUT_F_0_Diário!B109</f>
        <v>45644</v>
      </c>
      <c r="B110" s="2">
        <f>CCMFUT_F_0_Diário!F109</f>
        <v>75.790000000000006</v>
      </c>
      <c r="C110" s="9">
        <f t="shared" si="6"/>
        <v>2.3806374818146651E-3</v>
      </c>
      <c r="D110" s="2">
        <f>MAX($B$3:B110)</f>
        <v>77.48</v>
      </c>
      <c r="E110" s="9">
        <f t="shared" si="7"/>
        <v>-2.181208053691272E-2</v>
      </c>
    </row>
    <row r="111" spans="1:11" x14ac:dyDescent="0.25">
      <c r="A111" s="1">
        <f>CCMFUT_F_0_Diário!B110</f>
        <v>45645</v>
      </c>
      <c r="B111" s="2">
        <f>CCMFUT_F_0_Diário!F110</f>
        <v>74.95</v>
      </c>
      <c r="C111" s="9">
        <f t="shared" si="6"/>
        <v>-1.1083256366275279E-2</v>
      </c>
      <c r="D111" s="2">
        <f>MAX($B$3:B111)</f>
        <v>77.48</v>
      </c>
      <c r="E111" s="9">
        <f t="shared" si="7"/>
        <v>-3.2653588022715556E-2</v>
      </c>
    </row>
    <row r="112" spans="1:11" x14ac:dyDescent="0.25">
      <c r="A112" s="1">
        <f>CCMFUT_F_0_Diário!B111</f>
        <v>45646</v>
      </c>
      <c r="B112" s="2">
        <f>CCMFUT_F_0_Diário!F111</f>
        <v>74.34</v>
      </c>
      <c r="C112" s="9">
        <f t="shared" si="6"/>
        <v>-8.1387591727818467E-3</v>
      </c>
      <c r="D112" s="2">
        <f>MAX($B$3:B112)</f>
        <v>77.48</v>
      </c>
      <c r="E112" s="9">
        <f t="shared" si="7"/>
        <v>-4.0526587506453285E-2</v>
      </c>
    </row>
    <row r="113" spans="1:5" x14ac:dyDescent="0.25">
      <c r="A113" s="1">
        <f>CCMFUT_F_0_Diário!B112</f>
        <v>45649</v>
      </c>
      <c r="B113" s="2">
        <f>CCMFUT_F_0_Diário!F112</f>
        <v>74.44</v>
      </c>
      <c r="C113" s="9">
        <f t="shared" si="6"/>
        <v>1.3451708366961838E-3</v>
      </c>
      <c r="D113" s="2">
        <f>MAX($B$3:B113)</f>
        <v>77.48</v>
      </c>
      <c r="E113" s="9">
        <f t="shared" si="7"/>
        <v>-3.9235931853381596E-2</v>
      </c>
    </row>
    <row r="114" spans="1:5" x14ac:dyDescent="0.25">
      <c r="A114" s="1">
        <f>CCMFUT_F_0_Diário!B113</f>
        <v>45652</v>
      </c>
      <c r="B114" s="2">
        <f>CCMFUT_F_0_Diário!F113</f>
        <v>74.19</v>
      </c>
      <c r="C114" s="9">
        <f t="shared" si="6"/>
        <v>-3.3584094572810318E-3</v>
      </c>
      <c r="D114" s="2">
        <f>MAX($B$3:B114)</f>
        <v>77.48</v>
      </c>
      <c r="E114" s="9">
        <f t="shared" si="7"/>
        <v>-4.2462570986060995E-2</v>
      </c>
    </row>
    <row r="115" spans="1:5" x14ac:dyDescent="0.25">
      <c r="A115" s="1">
        <f>CCMFUT_F_0_Diário!B114</f>
        <v>45653</v>
      </c>
      <c r="B115" s="2">
        <f>CCMFUT_F_0_Diário!F114</f>
        <v>74.2</v>
      </c>
      <c r="C115" s="9">
        <f t="shared" si="6"/>
        <v>1.3478905512879252E-4</v>
      </c>
      <c r="D115" s="2">
        <f>MAX($B$3:B115)</f>
        <v>77.48</v>
      </c>
      <c r="E115" s="9">
        <f t="shared" si="7"/>
        <v>-4.2333505420753759E-2</v>
      </c>
    </row>
    <row r="116" spans="1:5" x14ac:dyDescent="0.25">
      <c r="A116" s="1">
        <f>CCMFUT_F_0_Diário!B115</f>
        <v>45656</v>
      </c>
      <c r="B116" s="2">
        <f>CCMFUT_F_0_Diário!F115</f>
        <v>74.69</v>
      </c>
      <c r="C116" s="9">
        <f t="shared" si="6"/>
        <v>6.6037735849055913E-3</v>
      </c>
      <c r="D116" s="2">
        <f>MAX($B$3:B116)</f>
        <v>77.48</v>
      </c>
      <c r="E116" s="9">
        <f t="shared" si="7"/>
        <v>-3.6009292720702198E-2</v>
      </c>
    </row>
    <row r="117" spans="1:5" x14ac:dyDescent="0.25">
      <c r="A117" s="1">
        <f>CCMFUT_F_0_Diário!B116</f>
        <v>45659</v>
      </c>
      <c r="B117" s="2">
        <f>CCMFUT_F_0_Diário!F116</f>
        <v>74.25</v>
      </c>
      <c r="C117" s="9">
        <f t="shared" si="6"/>
        <v>-5.8910162002945203E-3</v>
      </c>
      <c r="D117" s="2">
        <f>MAX($B$3:B117)</f>
        <v>77.48</v>
      </c>
      <c r="E117" s="9">
        <f t="shared" si="7"/>
        <v>-4.1688177594217911E-2</v>
      </c>
    </row>
    <row r="118" spans="1:5" x14ac:dyDescent="0.25">
      <c r="A118" s="1">
        <f>CCMFUT_F_0_Diário!B117</f>
        <v>45660</v>
      </c>
      <c r="B118" s="2">
        <f>CCMFUT_F_0_Diário!F117</f>
        <v>73.73</v>
      </c>
      <c r="C118" s="9">
        <f t="shared" si="6"/>
        <v>-7.0033670033669499E-3</v>
      </c>
      <c r="D118" s="2">
        <f>MAX($B$3:B118)</f>
        <v>77.48</v>
      </c>
      <c r="E118" s="9">
        <f t="shared" si="7"/>
        <v>-4.8399586990191014E-2</v>
      </c>
    </row>
    <row r="119" spans="1:5" x14ac:dyDescent="0.25">
      <c r="A119" s="1">
        <f>CCMFUT_F_0_Diário!B118</f>
        <v>45663</v>
      </c>
      <c r="B119" s="2">
        <f>CCMFUT_F_0_Diário!F118</f>
        <v>74.95</v>
      </c>
      <c r="C119" s="9">
        <f t="shared" si="6"/>
        <v>1.6546860165468587E-2</v>
      </c>
      <c r="D119" s="2">
        <f>MAX($B$3:B119)</f>
        <v>77.48</v>
      </c>
      <c r="E119" s="9">
        <f t="shared" si="7"/>
        <v>-3.2653588022715556E-2</v>
      </c>
    </row>
    <row r="120" spans="1:5" x14ac:dyDescent="0.25">
      <c r="A120" s="1">
        <f>CCMFUT_F_0_Diário!B119</f>
        <v>45664</v>
      </c>
      <c r="B120" s="2">
        <f>CCMFUT_F_0_Diário!F119</f>
        <v>74.59</v>
      </c>
      <c r="C120" s="9">
        <f t="shared" si="6"/>
        <v>-4.8032021347564962E-3</v>
      </c>
      <c r="D120" s="2">
        <f>MAX($B$3:B120)</f>
        <v>77.48</v>
      </c>
      <c r="E120" s="9">
        <f t="shared" si="7"/>
        <v>-3.7299948373773879E-2</v>
      </c>
    </row>
    <row r="121" spans="1:5" x14ac:dyDescent="0.25">
      <c r="A121" s="1">
        <f>CCMFUT_F_0_Diário!B120</f>
        <v>45665</v>
      </c>
      <c r="B121" s="2">
        <f>CCMFUT_F_0_Diário!F120</f>
        <v>75.010000000000005</v>
      </c>
      <c r="C121" s="9">
        <f t="shared" si="6"/>
        <v>5.6307816061134429E-3</v>
      </c>
      <c r="D121" s="2">
        <f>MAX($B$3:B121)</f>
        <v>77.48</v>
      </c>
      <c r="E121" s="9">
        <f t="shared" si="7"/>
        <v>-3.1879194630872465E-2</v>
      </c>
    </row>
    <row r="122" spans="1:5" x14ac:dyDescent="0.25">
      <c r="A122" s="1">
        <f>CCMFUT_F_0_Diário!B121</f>
        <v>45666</v>
      </c>
      <c r="B122" s="2">
        <f>CCMFUT_F_0_Diário!F121</f>
        <v>75.709999999999994</v>
      </c>
      <c r="C122" s="9">
        <f t="shared" si="6"/>
        <v>9.332089054792542E-3</v>
      </c>
      <c r="D122" s="2">
        <f>MAX($B$3:B122)</f>
        <v>77.48</v>
      </c>
      <c r="E122" s="9">
        <f t="shared" si="7"/>
        <v>-2.284460505937029E-2</v>
      </c>
    </row>
    <row r="123" spans="1:5" x14ac:dyDescent="0.25">
      <c r="A123" s="1">
        <f>CCMFUT_F_0_Diário!B122</f>
        <v>45667</v>
      </c>
      <c r="B123" s="2">
        <f>CCMFUT_F_0_Diário!F122</f>
        <v>76.900000000000006</v>
      </c>
      <c r="C123" s="9">
        <f t="shared" si="6"/>
        <v>1.5717870822876925E-2</v>
      </c>
      <c r="D123" s="2">
        <f>MAX($B$3:B123)</f>
        <v>77.48</v>
      </c>
      <c r="E123" s="9">
        <f t="shared" si="7"/>
        <v>-7.4858027878161879E-3</v>
      </c>
    </row>
    <row r="124" spans="1:5" x14ac:dyDescent="0.25">
      <c r="A124" s="1">
        <f>CCMFUT_F_0_Diário!B123</f>
        <v>45670</v>
      </c>
      <c r="B124" s="2">
        <f>CCMFUT_F_0_Diário!F123</f>
        <v>78.84</v>
      </c>
      <c r="C124" s="9">
        <f t="shared" si="6"/>
        <v>2.5227568270481112E-2</v>
      </c>
      <c r="D124" s="2">
        <f>MAX($B$3:B124)</f>
        <v>78.84</v>
      </c>
      <c r="E124" s="9">
        <f t="shared" si="7"/>
        <v>0</v>
      </c>
    </row>
    <row r="125" spans="1:5" x14ac:dyDescent="0.25">
      <c r="A125" s="1">
        <f>CCMFUT_F_0_Diário!B124</f>
        <v>45671</v>
      </c>
      <c r="B125" s="2">
        <f>CCMFUT_F_0_Diário!F124</f>
        <v>78.099999999999994</v>
      </c>
      <c r="C125" s="9">
        <f t="shared" si="6"/>
        <v>-9.3860984271944333E-3</v>
      </c>
      <c r="D125" s="2">
        <f>MAX($B$3:B125)</f>
        <v>78.84</v>
      </c>
      <c r="E125" s="9">
        <f t="shared" si="7"/>
        <v>-9.3860984271944333E-3</v>
      </c>
    </row>
    <row r="126" spans="1:5" x14ac:dyDescent="0.25">
      <c r="A126" s="1">
        <f>CCMFUT_F_0_Diário!B125</f>
        <v>45672</v>
      </c>
      <c r="B126" s="2">
        <f>CCMFUT_F_0_Diário!F125</f>
        <v>76.95</v>
      </c>
      <c r="C126" s="9">
        <f t="shared" si="6"/>
        <v>-1.4724711907810391E-2</v>
      </c>
      <c r="D126" s="2">
        <f>MAX($B$3:B126)</f>
        <v>78.84</v>
      </c>
      <c r="E126" s="9">
        <f t="shared" si="7"/>
        <v>-2.3972602739726033E-2</v>
      </c>
    </row>
    <row r="127" spans="1:5" x14ac:dyDescent="0.25">
      <c r="A127" s="1">
        <f>CCMFUT_F_0_Diário!B126</f>
        <v>45673</v>
      </c>
      <c r="B127" s="2">
        <f>CCMFUT_F_0_Diário!F126</f>
        <v>75.16</v>
      </c>
      <c r="C127" s="9">
        <f t="shared" si="6"/>
        <v>-2.3261858349577728E-2</v>
      </c>
      <c r="D127" s="2">
        <f>MAX($B$3:B127)</f>
        <v>78.84</v>
      </c>
      <c r="E127" s="9">
        <f t="shared" si="7"/>
        <v>-4.6676813800101559E-2</v>
      </c>
    </row>
    <row r="128" spans="1:5" x14ac:dyDescent="0.25">
      <c r="A128" s="1">
        <f>CCMFUT_F_0_Diário!B127</f>
        <v>45674</v>
      </c>
      <c r="B128" s="2">
        <f>CCMFUT_F_0_Diário!F127</f>
        <v>75.67</v>
      </c>
      <c r="C128" s="9">
        <f t="shared" si="6"/>
        <v>6.7855242150080515E-3</v>
      </c>
      <c r="D128" s="2">
        <f>MAX($B$3:B128)</f>
        <v>78.84</v>
      </c>
      <c r="E128" s="9">
        <f t="shared" si="7"/>
        <v>-4.0208016235413514E-2</v>
      </c>
    </row>
    <row r="129" spans="1:5" x14ac:dyDescent="0.25">
      <c r="A129" s="1">
        <f>CCMFUT_F_0_Diário!B128</f>
        <v>45677</v>
      </c>
      <c r="B129" s="2">
        <f>CCMFUT_F_0_Diário!F128</f>
        <v>77.12</v>
      </c>
      <c r="C129" s="9">
        <f t="shared" si="6"/>
        <v>1.9162151447072853E-2</v>
      </c>
      <c r="D129" s="2">
        <f>MAX($B$3:B129)</f>
        <v>78.84</v>
      </c>
      <c r="E129" s="9">
        <f t="shared" si="7"/>
        <v>-2.181633688483002E-2</v>
      </c>
    </row>
    <row r="130" spans="1:5" x14ac:dyDescent="0.25">
      <c r="A130" s="1">
        <f>CCMFUT_F_0_Diário!B129</f>
        <v>45678</v>
      </c>
      <c r="B130" s="2">
        <f>CCMFUT_F_0_Diário!F129</f>
        <v>76.42</v>
      </c>
      <c r="C130" s="9">
        <f t="shared" si="6"/>
        <v>-9.0767634854772156E-3</v>
      </c>
      <c r="D130" s="2">
        <f>MAX($B$3:B130)</f>
        <v>78.84</v>
      </c>
      <c r="E130" s="9">
        <f t="shared" si="7"/>
        <v>-3.0695078640284139E-2</v>
      </c>
    </row>
    <row r="131" spans="1:5" x14ac:dyDescent="0.25">
      <c r="A131" s="1">
        <f>CCMFUT_F_0_Diário!B130</f>
        <v>45679</v>
      </c>
      <c r="B131" s="2">
        <f>CCMFUT_F_0_Diário!F130</f>
        <v>75.09</v>
      </c>
      <c r="C131" s="9">
        <f t="shared" si="6"/>
        <v>-1.7403820989269802E-2</v>
      </c>
      <c r="D131" s="2">
        <f>MAX($B$3:B131)</f>
        <v>78.84</v>
      </c>
      <c r="E131" s="9">
        <f t="shared" si="7"/>
        <v>-4.7564687975646877E-2</v>
      </c>
    </row>
    <row r="132" spans="1:5" x14ac:dyDescent="0.25">
      <c r="A132" s="1">
        <f>CCMFUT_F_0_Diário!B131</f>
        <v>45680</v>
      </c>
      <c r="B132" s="2">
        <f>CCMFUT_F_0_Diário!F131</f>
        <v>75.400000000000006</v>
      </c>
      <c r="C132" s="9">
        <f t="shared" si="6"/>
        <v>4.1283792781995239E-3</v>
      </c>
      <c r="D132" s="2">
        <f>MAX($B$3:B132)</f>
        <v>78.84</v>
      </c>
      <c r="E132" s="9">
        <f t="shared" si="7"/>
        <v>-4.3632673769660041E-2</v>
      </c>
    </row>
    <row r="133" spans="1:5" x14ac:dyDescent="0.25">
      <c r="A133" s="1">
        <f>CCMFUT_F_0_Diário!B132</f>
        <v>45681</v>
      </c>
      <c r="B133" s="2">
        <f>CCMFUT_F_0_Diário!F132</f>
        <v>74.14</v>
      </c>
      <c r="C133" s="9">
        <f t="shared" ref="C133:C196" si="10">(B133-B132)/B132</f>
        <v>-1.6710875331565053E-2</v>
      </c>
      <c r="D133" s="2">
        <f>MAX($B$3:B133)</f>
        <v>78.84</v>
      </c>
      <c r="E133" s="9">
        <f t="shared" ref="E133:E196" si="11">(B133-D133)/D133</f>
        <v>-5.9614408929477454E-2</v>
      </c>
    </row>
    <row r="134" spans="1:5" x14ac:dyDescent="0.25">
      <c r="A134" s="1">
        <f>CCMFUT_F_0_Diário!B133</f>
        <v>45684</v>
      </c>
      <c r="B134" s="2">
        <f>CCMFUT_F_0_Diário!F133</f>
        <v>74.040000000000006</v>
      </c>
      <c r="C134" s="9">
        <f t="shared" si="10"/>
        <v>-1.3487995683840615E-3</v>
      </c>
      <c r="D134" s="2">
        <f>MAX($B$3:B134)</f>
        <v>78.84</v>
      </c>
      <c r="E134" s="9">
        <f t="shared" si="11"/>
        <v>-6.0882800608827968E-2</v>
      </c>
    </row>
    <row r="135" spans="1:5" x14ac:dyDescent="0.25">
      <c r="A135" s="1">
        <f>CCMFUT_F_0_Diário!B134</f>
        <v>45685</v>
      </c>
      <c r="B135" s="2">
        <f>CCMFUT_F_0_Diário!F134</f>
        <v>73.84</v>
      </c>
      <c r="C135" s="9">
        <f t="shared" si="10"/>
        <v>-2.7012425715829663E-3</v>
      </c>
      <c r="D135" s="2">
        <f>MAX($B$3:B135)</f>
        <v>78.84</v>
      </c>
      <c r="E135" s="9">
        <f t="shared" si="11"/>
        <v>-6.3419583967529169E-2</v>
      </c>
    </row>
    <row r="136" spans="1:5" x14ac:dyDescent="0.25">
      <c r="A136" s="1">
        <f>CCMFUT_F_0_Diário!B135</f>
        <v>45686</v>
      </c>
      <c r="B136" s="2">
        <f>CCMFUT_F_0_Diário!F135</f>
        <v>74.7</v>
      </c>
      <c r="C136" s="9">
        <f t="shared" si="10"/>
        <v>1.1646803900325018E-2</v>
      </c>
      <c r="D136" s="2">
        <f>MAX($B$3:B136)</f>
        <v>78.84</v>
      </c>
      <c r="E136" s="9">
        <f t="shared" si="11"/>
        <v>-5.2511415525114159E-2</v>
      </c>
    </row>
    <row r="137" spans="1:5" x14ac:dyDescent="0.25">
      <c r="A137" s="1">
        <f>CCMFUT_F_0_Diário!B136</f>
        <v>45687</v>
      </c>
      <c r="B137" s="2">
        <f>CCMFUT_F_0_Diário!F136</f>
        <v>75.010000000000005</v>
      </c>
      <c r="C137" s="9">
        <f t="shared" si="10"/>
        <v>4.1499330655957465E-3</v>
      </c>
      <c r="D137" s="2">
        <f>MAX($B$3:B137)</f>
        <v>78.84</v>
      </c>
      <c r="E137" s="9">
        <f t="shared" si="11"/>
        <v>-4.8579401319127323E-2</v>
      </c>
    </row>
    <row r="138" spans="1:5" x14ac:dyDescent="0.25">
      <c r="A138" s="1">
        <f>CCMFUT_F_0_Diário!B137</f>
        <v>45688</v>
      </c>
      <c r="B138" s="2">
        <f>CCMFUT_F_0_Diário!F137</f>
        <v>74.48</v>
      </c>
      <c r="C138" s="9">
        <f t="shared" si="10"/>
        <v>-7.0657245700573405E-3</v>
      </c>
      <c r="D138" s="2">
        <f>MAX($B$3:B138)</f>
        <v>78.84</v>
      </c>
      <c r="E138" s="9">
        <f t="shared" si="11"/>
        <v>-5.5301877219685429E-2</v>
      </c>
    </row>
    <row r="139" spans="1:5" x14ac:dyDescent="0.25">
      <c r="A139" s="1">
        <f>CCMFUT_F_0_Diário!B138</f>
        <v>45691</v>
      </c>
      <c r="B139" s="2">
        <f>CCMFUT_F_0_Diário!F138</f>
        <v>74.62</v>
      </c>
      <c r="C139" s="9">
        <f t="shared" si="10"/>
        <v>1.8796992481203082E-3</v>
      </c>
      <c r="D139" s="2">
        <f>MAX($B$3:B139)</f>
        <v>78.84</v>
      </c>
      <c r="E139" s="9">
        <f t="shared" si="11"/>
        <v>-5.3526128868594605E-2</v>
      </c>
    </row>
    <row r="140" spans="1:5" x14ac:dyDescent="0.25">
      <c r="A140" s="1">
        <f>CCMFUT_F_0_Diário!B139</f>
        <v>45692</v>
      </c>
      <c r="B140" s="2">
        <f>CCMFUT_F_0_Diário!F139</f>
        <v>75.650000000000006</v>
      </c>
      <c r="C140" s="9">
        <f t="shared" si="10"/>
        <v>1.3803269900830891E-2</v>
      </c>
      <c r="D140" s="2">
        <f>MAX($B$3:B140)</f>
        <v>78.84</v>
      </c>
      <c r="E140" s="9">
        <f t="shared" si="11"/>
        <v>-4.0461694571283582E-2</v>
      </c>
    </row>
    <row r="141" spans="1:5" x14ac:dyDescent="0.25">
      <c r="A141" s="1">
        <f>CCMFUT_F_0_Diário!B140</f>
        <v>45693</v>
      </c>
      <c r="B141" s="2">
        <f>CCMFUT_F_0_Diário!F140</f>
        <v>76.86</v>
      </c>
      <c r="C141" s="9">
        <f t="shared" si="10"/>
        <v>1.5994712491738186E-2</v>
      </c>
      <c r="D141" s="2">
        <f>MAX($B$3:B141)</f>
        <v>78.84</v>
      </c>
      <c r="E141" s="9">
        <f t="shared" si="11"/>
        <v>-2.5114155251141603E-2</v>
      </c>
    </row>
    <row r="142" spans="1:5" x14ac:dyDescent="0.25">
      <c r="A142" s="1">
        <f>CCMFUT_F_0_Diário!B141</f>
        <v>45694</v>
      </c>
      <c r="B142" s="2">
        <f>CCMFUT_F_0_Diário!F141</f>
        <v>77.02</v>
      </c>
      <c r="C142" s="9">
        <f t="shared" si="10"/>
        <v>2.0817069997397424E-3</v>
      </c>
      <c r="D142" s="2">
        <f>MAX($B$3:B142)</f>
        <v>78.84</v>
      </c>
      <c r="E142" s="9">
        <f t="shared" si="11"/>
        <v>-2.3084728564180711E-2</v>
      </c>
    </row>
    <row r="143" spans="1:5" x14ac:dyDescent="0.25">
      <c r="A143" s="1">
        <f>CCMFUT_F_0_Diário!B142</f>
        <v>45695</v>
      </c>
      <c r="B143" s="2">
        <f>CCMFUT_F_0_Diário!F142</f>
        <v>77.05</v>
      </c>
      <c r="C143" s="9">
        <f t="shared" si="10"/>
        <v>3.8950921838484988E-4</v>
      </c>
      <c r="D143" s="2">
        <f>MAX($B$3:B143)</f>
        <v>78.84</v>
      </c>
      <c r="E143" s="9">
        <f t="shared" si="11"/>
        <v>-2.2704211060375522E-2</v>
      </c>
    </row>
    <row r="144" spans="1:5" x14ac:dyDescent="0.25">
      <c r="A144" s="1">
        <f>CCMFUT_F_0_Diário!B143</f>
        <v>45698</v>
      </c>
      <c r="B144" s="2">
        <f>CCMFUT_F_0_Diário!F143</f>
        <v>78.09</v>
      </c>
      <c r="C144" s="9">
        <f t="shared" si="10"/>
        <v>1.3497728747566598E-2</v>
      </c>
      <c r="D144" s="2">
        <f>MAX($B$3:B144)</f>
        <v>78.84</v>
      </c>
      <c r="E144" s="9">
        <f t="shared" si="11"/>
        <v>-9.5129375951293754E-3</v>
      </c>
    </row>
    <row r="145" spans="1:5" x14ac:dyDescent="0.25">
      <c r="A145" s="1">
        <f>CCMFUT_F_0_Diário!B144</f>
        <v>45699</v>
      </c>
      <c r="B145" s="2">
        <f>CCMFUT_F_0_Diário!F144</f>
        <v>77.25</v>
      </c>
      <c r="C145" s="9">
        <f t="shared" si="10"/>
        <v>-1.0756819054936655E-2</v>
      </c>
      <c r="D145" s="2">
        <f>MAX($B$3:B145)</f>
        <v>78.84</v>
      </c>
      <c r="E145" s="9">
        <f t="shared" si="11"/>
        <v>-2.0167427701674321E-2</v>
      </c>
    </row>
    <row r="146" spans="1:5" x14ac:dyDescent="0.25">
      <c r="A146" s="1">
        <f>CCMFUT_F_0_Diário!B145</f>
        <v>45700</v>
      </c>
      <c r="B146" s="2">
        <f>CCMFUT_F_0_Diário!F145</f>
        <v>77.45</v>
      </c>
      <c r="C146" s="9">
        <f t="shared" si="10"/>
        <v>2.5889967637540822E-3</v>
      </c>
      <c r="D146" s="2">
        <f>MAX($B$3:B146)</f>
        <v>78.84</v>
      </c>
      <c r="E146" s="9">
        <f t="shared" si="11"/>
        <v>-1.7630644342973116E-2</v>
      </c>
    </row>
    <row r="147" spans="1:5" x14ac:dyDescent="0.25">
      <c r="A147" s="1">
        <f>CCMFUT_F_0_Diário!B146</f>
        <v>45701</v>
      </c>
      <c r="B147" s="2">
        <f>CCMFUT_F_0_Diário!F146</f>
        <v>78.7</v>
      </c>
      <c r="C147" s="9">
        <f t="shared" si="10"/>
        <v>1.6139444803098774E-2</v>
      </c>
      <c r="D147" s="2">
        <f>MAX($B$3:B147)</f>
        <v>78.84</v>
      </c>
      <c r="E147" s="9">
        <f t="shared" si="11"/>
        <v>-1.7757483510908239E-3</v>
      </c>
    </row>
    <row r="148" spans="1:5" x14ac:dyDescent="0.25">
      <c r="A148" s="1">
        <f>CCMFUT_F_0_Diário!B147</f>
        <v>45702</v>
      </c>
      <c r="B148" s="2">
        <f>CCMFUT_F_0_Diário!F147</f>
        <v>79.59</v>
      </c>
      <c r="C148" s="9">
        <f t="shared" si="10"/>
        <v>1.1308767471410425E-2</v>
      </c>
      <c r="D148" s="2">
        <f>MAX($B$3:B148)</f>
        <v>79.59</v>
      </c>
      <c r="E148" s="9">
        <f t="shared" si="11"/>
        <v>0</v>
      </c>
    </row>
    <row r="149" spans="1:5" x14ac:dyDescent="0.25">
      <c r="A149" s="1">
        <f>CCMFUT_F_0_Diário!B148</f>
        <v>45705</v>
      </c>
      <c r="B149" s="2">
        <f>CCMFUT_F_0_Diário!F148</f>
        <v>79.319999999999993</v>
      </c>
      <c r="C149" s="9">
        <f t="shared" si="10"/>
        <v>-3.3923859781380857E-3</v>
      </c>
      <c r="D149" s="2">
        <f>MAX($B$3:B149)</f>
        <v>79.59</v>
      </c>
      <c r="E149" s="9">
        <f t="shared" si="11"/>
        <v>-3.3923859781380857E-3</v>
      </c>
    </row>
    <row r="150" spans="1:5" x14ac:dyDescent="0.25">
      <c r="A150" s="1">
        <f>CCMFUT_F_0_Diário!B149</f>
        <v>45706</v>
      </c>
      <c r="B150" s="2">
        <f>CCMFUT_F_0_Diário!F149</f>
        <v>79.66</v>
      </c>
      <c r="C150" s="9">
        <f t="shared" si="10"/>
        <v>4.2864346949067506E-3</v>
      </c>
      <c r="D150" s="2">
        <f>MAX($B$3:B150)</f>
        <v>79.66</v>
      </c>
      <c r="E150" s="9">
        <f t="shared" si="11"/>
        <v>0</v>
      </c>
    </row>
    <row r="151" spans="1:5" x14ac:dyDescent="0.25">
      <c r="A151" s="1">
        <f>CCMFUT_F_0_Diário!B150</f>
        <v>45707</v>
      </c>
      <c r="B151" s="2">
        <f>CCMFUT_F_0_Diário!F150</f>
        <v>79.709999999999994</v>
      </c>
      <c r="C151" s="9">
        <f t="shared" si="10"/>
        <v>6.2766758724575901E-4</v>
      </c>
      <c r="D151" s="2">
        <f>MAX($B$3:B151)</f>
        <v>79.709999999999994</v>
      </c>
      <c r="E151" s="9">
        <f t="shared" si="11"/>
        <v>0</v>
      </c>
    </row>
    <row r="152" spans="1:5" x14ac:dyDescent="0.25">
      <c r="A152" s="1">
        <f>CCMFUT_F_0_Diário!B151</f>
        <v>45708</v>
      </c>
      <c r="B152" s="2">
        <f>CCMFUT_F_0_Diário!F151</f>
        <v>81.69</v>
      </c>
      <c r="C152" s="9">
        <f t="shared" si="10"/>
        <v>2.484004516371853E-2</v>
      </c>
      <c r="D152" s="2">
        <f>MAX($B$3:B152)</f>
        <v>81.69</v>
      </c>
      <c r="E152" s="9">
        <f t="shared" si="11"/>
        <v>0</v>
      </c>
    </row>
    <row r="153" spans="1:5" x14ac:dyDescent="0.25">
      <c r="A153" s="1">
        <f>CCMFUT_F_0_Diário!B152</f>
        <v>45709</v>
      </c>
      <c r="B153" s="2">
        <f>CCMFUT_F_0_Diário!F152</f>
        <v>83.96</v>
      </c>
      <c r="C153" s="9">
        <f t="shared" si="10"/>
        <v>2.7787978944791236E-2</v>
      </c>
      <c r="D153" s="2">
        <f>MAX($B$3:B153)</f>
        <v>83.96</v>
      </c>
      <c r="E153" s="9">
        <f t="shared" si="11"/>
        <v>0</v>
      </c>
    </row>
    <row r="154" spans="1:5" x14ac:dyDescent="0.25">
      <c r="A154" s="1">
        <f>CCMFUT_F_0_Diário!B153</f>
        <v>45712</v>
      </c>
      <c r="B154" s="2">
        <f>CCMFUT_F_0_Diário!F153</f>
        <v>82.57</v>
      </c>
      <c r="C154" s="9">
        <f t="shared" si="10"/>
        <v>-1.6555502620295388E-2</v>
      </c>
      <c r="D154" s="2">
        <f>MAX($B$3:B154)</f>
        <v>83.96</v>
      </c>
      <c r="E154" s="9">
        <f t="shared" si="11"/>
        <v>-1.6555502620295388E-2</v>
      </c>
    </row>
    <row r="155" spans="1:5" x14ac:dyDescent="0.25">
      <c r="A155" s="1">
        <f>CCMFUT_F_0_Diário!B154</f>
        <v>45713</v>
      </c>
      <c r="B155" s="2">
        <f>CCMFUT_F_0_Diário!F154</f>
        <v>83.71</v>
      </c>
      <c r="C155" s="9">
        <f t="shared" si="10"/>
        <v>1.3806467239917653E-2</v>
      </c>
      <c r="D155" s="2">
        <f>MAX($B$3:B155)</f>
        <v>83.96</v>
      </c>
      <c r="E155" s="9">
        <f t="shared" si="11"/>
        <v>-2.9776083849452121E-3</v>
      </c>
    </row>
    <row r="156" spans="1:5" x14ac:dyDescent="0.25">
      <c r="A156" s="1">
        <f>CCMFUT_F_0_Diário!B155</f>
        <v>45714</v>
      </c>
      <c r="B156" s="2">
        <f>CCMFUT_F_0_Diário!F155</f>
        <v>85.24</v>
      </c>
      <c r="C156" s="9">
        <f t="shared" si="10"/>
        <v>1.8277386214311329E-2</v>
      </c>
      <c r="D156" s="2">
        <f>MAX($B$3:B156)</f>
        <v>85.24</v>
      </c>
      <c r="E156" s="9">
        <f t="shared" si="11"/>
        <v>0</v>
      </c>
    </row>
    <row r="157" spans="1:5" x14ac:dyDescent="0.25">
      <c r="A157" s="1">
        <f>CCMFUT_F_0_Diário!B156</f>
        <v>45715</v>
      </c>
      <c r="B157" s="2">
        <f>CCMFUT_F_0_Diário!F156</f>
        <v>85.58</v>
      </c>
      <c r="C157" s="9">
        <f t="shared" si="10"/>
        <v>3.9887376818395518E-3</v>
      </c>
      <c r="D157" s="2">
        <f>MAX($B$3:B157)</f>
        <v>85.58</v>
      </c>
      <c r="E157" s="9">
        <f t="shared" si="11"/>
        <v>0</v>
      </c>
    </row>
    <row r="158" spans="1:5" x14ac:dyDescent="0.25">
      <c r="A158" s="1">
        <f>CCMFUT_F_0_Diário!B157</f>
        <v>45716</v>
      </c>
      <c r="B158" s="2">
        <f>CCMFUT_F_0_Diário!F157</f>
        <v>85.48</v>
      </c>
      <c r="C158" s="9">
        <f t="shared" si="10"/>
        <v>-1.1684973124561149E-3</v>
      </c>
      <c r="D158" s="2">
        <f>MAX($B$3:B158)</f>
        <v>85.58</v>
      </c>
      <c r="E158" s="9">
        <f t="shared" si="11"/>
        <v>-1.1684973124561149E-3</v>
      </c>
    </row>
    <row r="159" spans="1:5" x14ac:dyDescent="0.25">
      <c r="A159" s="1">
        <f>CCMFUT_F_0_Diário!B158</f>
        <v>45721</v>
      </c>
      <c r="B159" s="2">
        <f>CCMFUT_F_0_Diário!F158</f>
        <v>85.2</v>
      </c>
      <c r="C159" s="9">
        <f t="shared" si="10"/>
        <v>-3.2756200280767561E-3</v>
      </c>
      <c r="D159" s="2">
        <f>MAX($B$3:B159)</f>
        <v>85.58</v>
      </c>
      <c r="E159" s="9">
        <f t="shared" si="11"/>
        <v>-4.4402897873334363E-3</v>
      </c>
    </row>
    <row r="160" spans="1:5" x14ac:dyDescent="0.25">
      <c r="A160" s="1">
        <f>CCMFUT_F_0_Diário!B159</f>
        <v>45722</v>
      </c>
      <c r="B160" s="2">
        <f>CCMFUT_F_0_Diário!F159</f>
        <v>85.51</v>
      </c>
      <c r="C160" s="9">
        <f t="shared" si="10"/>
        <v>3.6384976525821863E-3</v>
      </c>
      <c r="D160" s="2">
        <f>MAX($B$3:B160)</f>
        <v>85.58</v>
      </c>
      <c r="E160" s="9">
        <f t="shared" si="11"/>
        <v>-8.1794811871924731E-4</v>
      </c>
    </row>
    <row r="161" spans="1:5" x14ac:dyDescent="0.25">
      <c r="A161" s="1">
        <f>CCMFUT_F_0_Diário!B160</f>
        <v>45723</v>
      </c>
      <c r="B161" s="2">
        <f>CCMFUT_F_0_Diário!F160</f>
        <v>84.9</v>
      </c>
      <c r="C161" s="9">
        <f t="shared" si="10"/>
        <v>-7.1336685767746395E-3</v>
      </c>
      <c r="D161" s="2">
        <f>MAX($B$3:B161)</f>
        <v>85.58</v>
      </c>
      <c r="E161" s="9">
        <f t="shared" si="11"/>
        <v>-7.9457817247019467E-3</v>
      </c>
    </row>
    <row r="162" spans="1:5" x14ac:dyDescent="0.25">
      <c r="A162" s="1">
        <f>CCMFUT_F_0_Diário!B161</f>
        <v>45726</v>
      </c>
      <c r="B162" s="2">
        <f>CCMFUT_F_0_Diário!F161</f>
        <v>86.72</v>
      </c>
      <c r="C162" s="9">
        <f t="shared" si="10"/>
        <v>2.1436984687867998E-2</v>
      </c>
      <c r="D162" s="2">
        <f>MAX($B$3:B162)</f>
        <v>86.72</v>
      </c>
      <c r="E162" s="9">
        <f t="shared" si="11"/>
        <v>0</v>
      </c>
    </row>
    <row r="163" spans="1:5" x14ac:dyDescent="0.25">
      <c r="A163" s="1">
        <f>CCMFUT_F_0_Diário!B162</f>
        <v>45727</v>
      </c>
      <c r="B163" s="2">
        <f>CCMFUT_F_0_Diário!F162</f>
        <v>86.42</v>
      </c>
      <c r="C163" s="9">
        <f t="shared" si="10"/>
        <v>-3.4594095940959084E-3</v>
      </c>
      <c r="D163" s="2">
        <f>MAX($B$3:B163)</f>
        <v>86.72</v>
      </c>
      <c r="E163" s="9">
        <f t="shared" si="11"/>
        <v>-3.4594095940959084E-3</v>
      </c>
    </row>
    <row r="164" spans="1:5" x14ac:dyDescent="0.25">
      <c r="A164" s="1">
        <f>CCMFUT_F_0_Diário!B163</f>
        <v>45728</v>
      </c>
      <c r="B164" s="2">
        <f>CCMFUT_F_0_Diário!F163</f>
        <v>86.18</v>
      </c>
      <c r="C164" s="9">
        <f t="shared" si="10"/>
        <v>-2.777134922471591E-3</v>
      </c>
      <c r="D164" s="2">
        <f>MAX($B$3:B164)</f>
        <v>86.72</v>
      </c>
      <c r="E164" s="9">
        <f t="shared" si="11"/>
        <v>-6.2269372693726024E-3</v>
      </c>
    </row>
    <row r="165" spans="1:5" x14ac:dyDescent="0.25">
      <c r="A165" s="1">
        <f>CCMFUT_F_0_Diário!B164</f>
        <v>45729</v>
      </c>
      <c r="B165" s="2">
        <f>CCMFUT_F_0_Diário!F164</f>
        <v>86.39</v>
      </c>
      <c r="C165" s="9">
        <f t="shared" si="10"/>
        <v>2.4367602692039188E-3</v>
      </c>
      <c r="D165" s="2">
        <f>MAX($B$3:B165)</f>
        <v>86.72</v>
      </c>
      <c r="E165" s="9">
        <f t="shared" si="11"/>
        <v>-3.8053505535055156E-3</v>
      </c>
    </row>
    <row r="166" spans="1:5" x14ac:dyDescent="0.25">
      <c r="A166" s="1">
        <f>CCMFUT_F_0_Diário!B165</f>
        <v>45730</v>
      </c>
      <c r="B166" s="2">
        <f>CCMFUT_F_0_Diário!F165</f>
        <v>86.54</v>
      </c>
      <c r="C166" s="9">
        <f t="shared" si="10"/>
        <v>1.7363120731566811E-3</v>
      </c>
      <c r="D166" s="2">
        <f>MAX($B$3:B166)</f>
        <v>86.72</v>
      </c>
      <c r="E166" s="9">
        <f t="shared" si="11"/>
        <v>-2.0756457564574792E-3</v>
      </c>
    </row>
    <row r="167" spans="1:5" x14ac:dyDescent="0.25">
      <c r="A167" s="1">
        <f>CCMFUT_F_0_Diário!B166</f>
        <v>45733</v>
      </c>
      <c r="B167" s="2">
        <f>CCMFUT_F_0_Diário!F166</f>
        <v>88.9</v>
      </c>
      <c r="C167" s="9">
        <f t="shared" si="10"/>
        <v>2.7270626299976879E-2</v>
      </c>
      <c r="D167" s="2">
        <f>MAX($B$3:B167)</f>
        <v>88.9</v>
      </c>
      <c r="E167" s="9">
        <f t="shared" si="11"/>
        <v>0</v>
      </c>
    </row>
    <row r="168" spans="1:5" x14ac:dyDescent="0.25">
      <c r="A168" s="1">
        <f>CCMFUT_F_0_Diário!B167</f>
        <v>45734</v>
      </c>
      <c r="B168" s="2">
        <f>CCMFUT_F_0_Diário!F167</f>
        <v>91.58</v>
      </c>
      <c r="C168" s="9">
        <f t="shared" si="10"/>
        <v>3.0146231721034786E-2</v>
      </c>
      <c r="D168" s="2">
        <f>MAX($B$3:B168)</f>
        <v>91.58</v>
      </c>
      <c r="E168" s="9">
        <f t="shared" si="11"/>
        <v>0</v>
      </c>
    </row>
    <row r="169" spans="1:5" x14ac:dyDescent="0.25">
      <c r="A169" s="1">
        <f>CCMFUT_F_0_Diário!B168</f>
        <v>45735</v>
      </c>
      <c r="B169" s="2">
        <f>CCMFUT_F_0_Diário!F168</f>
        <v>90.31</v>
      </c>
      <c r="C169" s="9">
        <f t="shared" si="10"/>
        <v>-1.3867656693601179E-2</v>
      </c>
      <c r="D169" s="2">
        <f>MAX($B$3:B169)</f>
        <v>91.58</v>
      </c>
      <c r="E169" s="9">
        <f t="shared" si="11"/>
        <v>-1.3867656693601179E-2</v>
      </c>
    </row>
    <row r="170" spans="1:5" x14ac:dyDescent="0.25">
      <c r="A170" s="1">
        <f>CCMFUT_F_0_Diário!B169</f>
        <v>45736</v>
      </c>
      <c r="B170" s="2">
        <f>CCMFUT_F_0_Diário!F169</f>
        <v>87.12</v>
      </c>
      <c r="C170" s="9">
        <f t="shared" si="10"/>
        <v>-3.5322777101096201E-2</v>
      </c>
      <c r="D170" s="2">
        <f>MAX($B$3:B170)</f>
        <v>91.58</v>
      </c>
      <c r="E170" s="9">
        <f t="shared" si="11"/>
        <v>-4.8700589648394778E-2</v>
      </c>
    </row>
    <row r="171" spans="1:5" x14ac:dyDescent="0.25">
      <c r="A171" s="1">
        <f>CCMFUT_F_0_Diário!B170</f>
        <v>45737</v>
      </c>
      <c r="B171" s="2">
        <f>CCMFUT_F_0_Diário!F170</f>
        <v>86.35</v>
      </c>
      <c r="C171" s="9">
        <f t="shared" si="10"/>
        <v>-8.838383838383956E-3</v>
      </c>
      <c r="D171" s="2">
        <f>MAX($B$3:B171)</f>
        <v>91.58</v>
      </c>
      <c r="E171" s="9">
        <f t="shared" si="11"/>
        <v>-5.7108538982310594E-2</v>
      </c>
    </row>
    <row r="172" spans="1:5" x14ac:dyDescent="0.25">
      <c r="A172" s="1">
        <f>CCMFUT_F_0_Diário!B171</f>
        <v>45740</v>
      </c>
      <c r="B172" s="2">
        <f>CCMFUT_F_0_Diário!F171</f>
        <v>86.15</v>
      </c>
      <c r="C172" s="9">
        <f t="shared" si="10"/>
        <v>-2.316155182397089E-3</v>
      </c>
      <c r="D172" s="2">
        <f>MAX($B$3:B172)</f>
        <v>91.58</v>
      </c>
      <c r="E172" s="9">
        <f t="shared" si="11"/>
        <v>-5.9292421926184675E-2</v>
      </c>
    </row>
    <row r="173" spans="1:5" x14ac:dyDescent="0.25">
      <c r="A173" s="1">
        <f>CCMFUT_F_0_Diário!B172</f>
        <v>45741</v>
      </c>
      <c r="B173" s="2">
        <f>CCMFUT_F_0_Diário!F172</f>
        <v>84.25</v>
      </c>
      <c r="C173" s="9">
        <f t="shared" si="10"/>
        <v>-2.2054556006964661E-2</v>
      </c>
      <c r="D173" s="2">
        <f>MAX($B$3:B173)</f>
        <v>91.58</v>
      </c>
      <c r="E173" s="9">
        <f t="shared" si="11"/>
        <v>-8.0039309892989713E-2</v>
      </c>
    </row>
    <row r="174" spans="1:5" x14ac:dyDescent="0.25">
      <c r="A174" s="1">
        <f>CCMFUT_F_0_Diário!B173</f>
        <v>45742</v>
      </c>
      <c r="B174" s="2">
        <f>CCMFUT_F_0_Diário!F173</f>
        <v>83.56</v>
      </c>
      <c r="C174" s="9">
        <f t="shared" si="10"/>
        <v>-8.1899109792284604E-3</v>
      </c>
      <c r="D174" s="2">
        <f>MAX($B$3:B174)</f>
        <v>91.58</v>
      </c>
      <c r="E174" s="9">
        <f t="shared" si="11"/>
        <v>-8.7573706049355715E-2</v>
      </c>
    </row>
    <row r="175" spans="1:5" x14ac:dyDescent="0.25">
      <c r="A175" s="1">
        <f>CCMFUT_F_0_Diário!B174</f>
        <v>45743</v>
      </c>
      <c r="B175" s="2">
        <f>CCMFUT_F_0_Diário!F174</f>
        <v>83.83</v>
      </c>
      <c r="C175" s="9">
        <f t="shared" si="10"/>
        <v>3.2312111057921974E-3</v>
      </c>
      <c r="D175" s="2">
        <f>MAX($B$3:B175)</f>
        <v>91.58</v>
      </c>
      <c r="E175" s="9">
        <f t="shared" si="11"/>
        <v>-8.462546407512557E-2</v>
      </c>
    </row>
    <row r="176" spans="1:5" x14ac:dyDescent="0.25">
      <c r="A176" s="1">
        <f>CCMFUT_F_0_Diário!B175</f>
        <v>45744</v>
      </c>
      <c r="B176" s="2">
        <f>CCMFUT_F_0_Diário!F175</f>
        <v>83.68</v>
      </c>
      <c r="C176" s="9">
        <f t="shared" si="10"/>
        <v>-1.7893355600619287E-3</v>
      </c>
      <c r="D176" s="2">
        <f>MAX($B$3:B176)</f>
        <v>91.58</v>
      </c>
      <c r="E176" s="9">
        <f t="shared" si="11"/>
        <v>-8.6263376283031143E-2</v>
      </c>
    </row>
    <row r="177" spans="1:5" x14ac:dyDescent="0.25">
      <c r="A177" s="1">
        <f>CCMFUT_F_0_Diário!B176</f>
        <v>45747</v>
      </c>
      <c r="B177" s="2">
        <f>CCMFUT_F_0_Diário!F176</f>
        <v>84.21</v>
      </c>
      <c r="C177" s="9">
        <f t="shared" si="10"/>
        <v>6.3336520076480267E-3</v>
      </c>
      <c r="D177" s="2">
        <f>MAX($B$3:B177)</f>
        <v>91.58</v>
      </c>
      <c r="E177" s="9">
        <f t="shared" si="11"/>
        <v>-8.047608648176463E-2</v>
      </c>
    </row>
    <row r="178" spans="1:5" x14ac:dyDescent="0.25">
      <c r="A178" s="1">
        <f>CCMFUT_F_0_Diário!B177</f>
        <v>45748</v>
      </c>
      <c r="B178" s="2">
        <f>CCMFUT_F_0_Diário!F177</f>
        <v>85.21</v>
      </c>
      <c r="C178" s="9">
        <f t="shared" si="10"/>
        <v>1.187507421921387E-2</v>
      </c>
      <c r="D178" s="2">
        <f>MAX($B$3:B178)</f>
        <v>91.58</v>
      </c>
      <c r="E178" s="9">
        <f t="shared" si="11"/>
        <v>-6.9556671762393593E-2</v>
      </c>
    </row>
    <row r="179" spans="1:5" x14ac:dyDescent="0.25">
      <c r="A179" s="1">
        <f>CCMFUT_F_0_Diário!B178</f>
        <v>45749</v>
      </c>
      <c r="B179" s="2">
        <f>CCMFUT_F_0_Diário!F178</f>
        <v>83.78</v>
      </c>
      <c r="C179" s="9">
        <f t="shared" si="10"/>
        <v>-1.6782067832413951E-2</v>
      </c>
      <c r="D179" s="2">
        <f>MAX($B$3:B179)</f>
        <v>91.58</v>
      </c>
      <c r="E179" s="9">
        <f t="shared" si="11"/>
        <v>-8.5171434811094099E-2</v>
      </c>
    </row>
    <row r="180" spans="1:5" x14ac:dyDescent="0.25">
      <c r="A180" s="1">
        <f>CCMFUT_F_0_Diário!B179</f>
        <v>45750</v>
      </c>
      <c r="B180" s="2">
        <f>CCMFUT_F_0_Diário!F179</f>
        <v>83.06</v>
      </c>
      <c r="C180" s="9">
        <f t="shared" si="10"/>
        <v>-8.5939365003580674E-3</v>
      </c>
      <c r="D180" s="2">
        <f>MAX($B$3:B180)</f>
        <v>91.58</v>
      </c>
      <c r="E180" s="9">
        <f t="shared" si="11"/>
        <v>-9.3033413409041227E-2</v>
      </c>
    </row>
    <row r="181" spans="1:5" x14ac:dyDescent="0.25">
      <c r="A181" s="1">
        <f>CCMFUT_F_0_Diário!B180</f>
        <v>45751</v>
      </c>
      <c r="B181" s="2">
        <f>CCMFUT_F_0_Diário!F180</f>
        <v>82.82</v>
      </c>
      <c r="C181" s="9">
        <f t="shared" si="10"/>
        <v>-2.8894774861546965E-3</v>
      </c>
      <c r="D181" s="2">
        <f>MAX($B$3:B181)</f>
        <v>91.58</v>
      </c>
      <c r="E181" s="9">
        <f t="shared" si="11"/>
        <v>-9.5654072941690385E-2</v>
      </c>
    </row>
    <row r="182" spans="1:5" x14ac:dyDescent="0.25">
      <c r="A182" s="1">
        <f>CCMFUT_F_0_Diário!B181</f>
        <v>45754</v>
      </c>
      <c r="B182" s="2">
        <f>CCMFUT_F_0_Diário!F181</f>
        <v>85.06</v>
      </c>
      <c r="C182" s="9">
        <f t="shared" si="10"/>
        <v>2.7046607099734474E-2</v>
      </c>
      <c r="D182" s="2">
        <f>MAX($B$3:B182)</f>
        <v>91.58</v>
      </c>
      <c r="E182" s="9">
        <f t="shared" si="11"/>
        <v>-7.1194583970299152E-2</v>
      </c>
    </row>
    <row r="183" spans="1:5" x14ac:dyDescent="0.25">
      <c r="A183" s="1">
        <f>CCMFUT_F_0_Diário!B182</f>
        <v>45755</v>
      </c>
      <c r="B183" s="2">
        <f>CCMFUT_F_0_Diário!F182</f>
        <v>86.94</v>
      </c>
      <c r="C183" s="9">
        <f t="shared" si="10"/>
        <v>2.2102045614860046E-2</v>
      </c>
      <c r="D183" s="2">
        <f>MAX($B$3:B183)</f>
        <v>91.58</v>
      </c>
      <c r="E183" s="9">
        <f t="shared" si="11"/>
        <v>-5.0666084297881643E-2</v>
      </c>
    </row>
    <row r="184" spans="1:5" x14ac:dyDescent="0.25">
      <c r="A184" s="1">
        <f>CCMFUT_F_0_Diário!B183</f>
        <v>45756</v>
      </c>
      <c r="B184" s="2">
        <f>CCMFUT_F_0_Diário!F183</f>
        <v>86.29</v>
      </c>
      <c r="C184" s="9">
        <f t="shared" si="10"/>
        <v>-7.4764205198986832E-3</v>
      </c>
      <c r="D184" s="2">
        <f>MAX($B$3:B184)</f>
        <v>91.58</v>
      </c>
      <c r="E184" s="9">
        <f t="shared" si="11"/>
        <v>-5.7763703865472728E-2</v>
      </c>
    </row>
    <row r="185" spans="1:5" x14ac:dyDescent="0.25">
      <c r="A185" s="1">
        <f>CCMFUT_F_0_Diário!B184</f>
        <v>45757</v>
      </c>
      <c r="B185" s="2">
        <f>CCMFUT_F_0_Diário!F184</f>
        <v>87.36</v>
      </c>
      <c r="C185" s="9">
        <f t="shared" si="10"/>
        <v>1.2400046355313398E-2</v>
      </c>
      <c r="D185" s="2">
        <f>MAX($B$3:B185)</f>
        <v>91.58</v>
      </c>
      <c r="E185" s="9">
        <f t="shared" si="11"/>
        <v>-4.6079930115745786E-2</v>
      </c>
    </row>
    <row r="186" spans="1:5" x14ac:dyDescent="0.25">
      <c r="A186" s="1">
        <f>CCMFUT_F_0_Diário!B185</f>
        <v>45758</v>
      </c>
      <c r="B186" s="2">
        <f>CCMFUT_F_0_Diário!F185</f>
        <v>86.01</v>
      </c>
      <c r="C186" s="9">
        <f t="shared" si="10"/>
        <v>-1.5453296703296638E-2</v>
      </c>
      <c r="D186" s="2">
        <f>MAX($B$3:B186)</f>
        <v>91.58</v>
      </c>
      <c r="E186" s="9">
        <f t="shared" si="11"/>
        <v>-6.082113998689663E-2</v>
      </c>
    </row>
    <row r="187" spans="1:5" x14ac:dyDescent="0.25">
      <c r="A187" s="1">
        <f>CCMFUT_F_0_Diário!B186</f>
        <v>45761</v>
      </c>
      <c r="B187" s="2">
        <f>CCMFUT_F_0_Diário!F186</f>
        <v>85.51</v>
      </c>
      <c r="C187" s="9">
        <f t="shared" si="10"/>
        <v>-5.8132775258690848E-3</v>
      </c>
      <c r="D187" s="2">
        <f>MAX($B$3:B187)</f>
        <v>91.58</v>
      </c>
      <c r="E187" s="9">
        <f t="shared" si="11"/>
        <v>-6.6280847346582156E-2</v>
      </c>
    </row>
    <row r="188" spans="1:5" x14ac:dyDescent="0.25">
      <c r="A188" s="1">
        <f>CCMFUT_F_0_Diário!B187</f>
        <v>45762</v>
      </c>
      <c r="B188" s="2">
        <f>CCMFUT_F_0_Diário!F187</f>
        <v>84.88</v>
      </c>
      <c r="C188" s="9">
        <f t="shared" si="10"/>
        <v>-7.3675593497837637E-3</v>
      </c>
      <c r="D188" s="2">
        <f>MAX($B$3:B188)</f>
        <v>91.58</v>
      </c>
      <c r="E188" s="9">
        <f t="shared" si="11"/>
        <v>-7.3160078619786018E-2</v>
      </c>
    </row>
    <row r="189" spans="1:5" x14ac:dyDescent="0.25">
      <c r="A189" s="1">
        <f>CCMFUT_F_0_Diário!B188</f>
        <v>45763</v>
      </c>
      <c r="B189" s="2">
        <f>CCMFUT_F_0_Diário!F188</f>
        <v>83.44</v>
      </c>
      <c r="C189" s="9">
        <f t="shared" si="10"/>
        <v>-1.6965127238454263E-2</v>
      </c>
      <c r="D189" s="2">
        <f>MAX($B$3:B189)</f>
        <v>91.58</v>
      </c>
      <c r="E189" s="9">
        <f t="shared" si="11"/>
        <v>-8.8884035815680287E-2</v>
      </c>
    </row>
    <row r="190" spans="1:5" x14ac:dyDescent="0.25">
      <c r="A190" s="1">
        <f>CCMFUT_F_0_Diário!B189</f>
        <v>45764</v>
      </c>
      <c r="B190" s="2">
        <f>CCMFUT_F_0_Diário!F189</f>
        <v>83.2</v>
      </c>
      <c r="C190" s="9">
        <f t="shared" si="10"/>
        <v>-2.8763183125598622E-3</v>
      </c>
      <c r="D190" s="2">
        <f>MAX($B$3:B190)</f>
        <v>91.58</v>
      </c>
      <c r="E190" s="9">
        <f t="shared" si="11"/>
        <v>-9.1504695348329279E-2</v>
      </c>
    </row>
    <row r="191" spans="1:5" x14ac:dyDescent="0.25">
      <c r="A191" s="1">
        <f>CCMFUT_F_0_Diário!B190</f>
        <v>45769</v>
      </c>
      <c r="B191" s="2">
        <f>CCMFUT_F_0_Diário!F190</f>
        <v>83.99</v>
      </c>
      <c r="C191" s="9">
        <f t="shared" si="10"/>
        <v>9.4951923076922115E-3</v>
      </c>
      <c r="D191" s="2">
        <f>MAX($B$3:B191)</f>
        <v>91.58</v>
      </c>
      <c r="E191" s="9">
        <f t="shared" si="11"/>
        <v>-8.2878357720026247E-2</v>
      </c>
    </row>
    <row r="192" spans="1:5" x14ac:dyDescent="0.25">
      <c r="A192" s="1">
        <f>CCMFUT_F_0_Diário!B191</f>
        <v>45770</v>
      </c>
      <c r="B192" s="2">
        <f>CCMFUT_F_0_Diário!F191</f>
        <v>82.93</v>
      </c>
      <c r="C192" s="9">
        <f t="shared" si="10"/>
        <v>-1.2620550065483845E-2</v>
      </c>
      <c r="D192" s="2">
        <f>MAX($B$3:B192)</f>
        <v>91.58</v>
      </c>
      <c r="E192" s="9">
        <f t="shared" si="11"/>
        <v>-9.4452937322559424E-2</v>
      </c>
    </row>
    <row r="193" spans="1:5" x14ac:dyDescent="0.25">
      <c r="A193" s="1">
        <f>CCMFUT_F_0_Diário!B192</f>
        <v>45771</v>
      </c>
      <c r="B193" s="2">
        <f>CCMFUT_F_0_Diário!F192</f>
        <v>83.56</v>
      </c>
      <c r="C193" s="9">
        <f t="shared" si="10"/>
        <v>7.5967683588568117E-3</v>
      </c>
      <c r="D193" s="2">
        <f>MAX($B$3:B193)</f>
        <v>91.58</v>
      </c>
      <c r="E193" s="9">
        <f t="shared" si="11"/>
        <v>-8.7573706049355715E-2</v>
      </c>
    </row>
    <row r="194" spans="1:5" x14ac:dyDescent="0.25">
      <c r="A194" s="1">
        <f>CCMFUT_F_0_Diário!B193</f>
        <v>45772</v>
      </c>
      <c r="B194" s="2">
        <f>CCMFUT_F_0_Diário!F193</f>
        <v>83.66</v>
      </c>
      <c r="C194" s="9">
        <f t="shared" si="10"/>
        <v>1.1967448539970597E-3</v>
      </c>
      <c r="D194" s="2">
        <f>MAX($B$3:B194)</f>
        <v>91.58</v>
      </c>
      <c r="E194" s="9">
        <f t="shared" si="11"/>
        <v>-8.6481764577418671E-2</v>
      </c>
    </row>
    <row r="195" spans="1:5" x14ac:dyDescent="0.25">
      <c r="A195" s="1">
        <f>CCMFUT_F_0_Diário!B194</f>
        <v>45775</v>
      </c>
      <c r="B195" s="2">
        <f>CCMFUT_F_0_Diário!F194</f>
        <v>81.94</v>
      </c>
      <c r="C195" s="9">
        <f t="shared" si="10"/>
        <v>-2.0559407124073618E-2</v>
      </c>
      <c r="D195" s="2">
        <f>MAX($B$3:B195)</f>
        <v>91.58</v>
      </c>
      <c r="E195" s="9">
        <f t="shared" si="11"/>
        <v>-0.10526315789473685</v>
      </c>
    </row>
    <row r="196" spans="1:5" x14ac:dyDescent="0.25">
      <c r="A196" s="1">
        <f>CCMFUT_F_0_Diário!B195</f>
        <v>45776</v>
      </c>
      <c r="B196" s="2">
        <f>CCMFUT_F_0_Diário!F195</f>
        <v>82.82</v>
      </c>
      <c r="C196" s="9">
        <f t="shared" si="10"/>
        <v>1.0739565535757816E-2</v>
      </c>
      <c r="D196" s="2">
        <f>MAX($B$3:B196)</f>
        <v>91.58</v>
      </c>
      <c r="E196" s="9">
        <f t="shared" si="11"/>
        <v>-9.5654072941690385E-2</v>
      </c>
    </row>
    <row r="197" spans="1:5" x14ac:dyDescent="0.25">
      <c r="A197" s="1">
        <f>CCMFUT_F_0_Diário!B196</f>
        <v>45777</v>
      </c>
      <c r="B197" s="2">
        <f>CCMFUT_F_0_Diário!F196</f>
        <v>82.39</v>
      </c>
      <c r="C197" s="9">
        <f t="shared" ref="C197:C260" si="12">(B197-B196)/B196</f>
        <v>-5.1919826128953468E-3</v>
      </c>
      <c r="D197" s="2">
        <f>MAX($B$3:B197)</f>
        <v>91.58</v>
      </c>
      <c r="E197" s="9">
        <f t="shared" ref="E197:E260" si="13">(B197-D197)/D197</f>
        <v>-0.10034942127101985</v>
      </c>
    </row>
    <row r="198" spans="1:5" x14ac:dyDescent="0.25">
      <c r="A198" s="1">
        <f>CCMFUT_F_0_Diário!B197</f>
        <v>45779</v>
      </c>
      <c r="B198" s="2">
        <f>CCMFUT_F_0_Diário!F197</f>
        <v>83.12</v>
      </c>
      <c r="C198" s="9">
        <f t="shared" si="12"/>
        <v>8.8602985799247965E-3</v>
      </c>
      <c r="D198" s="2">
        <f>MAX($B$3:B198)</f>
        <v>91.58</v>
      </c>
      <c r="E198" s="9">
        <f t="shared" si="13"/>
        <v>-9.2378248525878948E-2</v>
      </c>
    </row>
    <row r="199" spans="1:5" x14ac:dyDescent="0.25">
      <c r="A199" s="1">
        <f>CCMFUT_F_0_Diário!B198</f>
        <v>45782</v>
      </c>
      <c r="B199" s="2">
        <f>CCMFUT_F_0_Diário!F198</f>
        <v>81.62</v>
      </c>
      <c r="C199" s="9">
        <f t="shared" si="12"/>
        <v>-1.8046198267564966E-2</v>
      </c>
      <c r="D199" s="2">
        <f>MAX($B$3:B199)</f>
        <v>91.58</v>
      </c>
      <c r="E199" s="9">
        <f t="shared" si="13"/>
        <v>-0.10875737060493551</v>
      </c>
    </row>
    <row r="200" spans="1:5" x14ac:dyDescent="0.25">
      <c r="A200" s="1">
        <f>CCMFUT_F_0_Diário!B199</f>
        <v>45783</v>
      </c>
      <c r="B200" s="2">
        <f>CCMFUT_F_0_Diário!F199</f>
        <v>81.19</v>
      </c>
      <c r="C200" s="9">
        <f t="shared" si="12"/>
        <v>-5.2683165890713892E-3</v>
      </c>
      <c r="D200" s="2">
        <f>MAX($B$3:B200)</f>
        <v>91.58</v>
      </c>
      <c r="E200" s="9">
        <f t="shared" si="13"/>
        <v>-0.11345271893426513</v>
      </c>
    </row>
    <row r="201" spans="1:5" x14ac:dyDescent="0.25">
      <c r="A201" s="1">
        <f>CCMFUT_F_0_Diário!B200</f>
        <v>45784</v>
      </c>
      <c r="B201" s="2">
        <f>CCMFUT_F_0_Diário!F200</f>
        <v>80.89</v>
      </c>
      <c r="C201" s="9">
        <f t="shared" si="12"/>
        <v>-3.6950363345239212E-3</v>
      </c>
      <c r="D201" s="2">
        <f>MAX($B$3:B201)</f>
        <v>91.58</v>
      </c>
      <c r="E201" s="9">
        <f t="shared" si="13"/>
        <v>-0.11672854335007642</v>
      </c>
    </row>
    <row r="202" spans="1:5" x14ac:dyDescent="0.25">
      <c r="A202" s="1">
        <f>CCMFUT_F_0_Diário!B201</f>
        <v>45785</v>
      </c>
      <c r="B202" s="2">
        <f>CCMFUT_F_0_Diário!F201</f>
        <v>80.430000000000007</v>
      </c>
      <c r="C202" s="9">
        <f t="shared" si="12"/>
        <v>-5.6867350723203581E-3</v>
      </c>
      <c r="D202" s="2">
        <f>MAX($B$3:B202)</f>
        <v>91.58</v>
      </c>
      <c r="E202" s="9">
        <f t="shared" si="13"/>
        <v>-0.12175147412098702</v>
      </c>
    </row>
    <row r="203" spans="1:5" x14ac:dyDescent="0.25">
      <c r="A203" s="1">
        <f>CCMFUT_F_0_Diário!B202</f>
        <v>45786</v>
      </c>
      <c r="B203" s="2">
        <f>CCMFUT_F_0_Diário!F202</f>
        <v>79.8</v>
      </c>
      <c r="C203" s="9">
        <f t="shared" si="12"/>
        <v>-7.8328981723238787E-3</v>
      </c>
      <c r="D203" s="2">
        <f>MAX($B$3:B203)</f>
        <v>91.58</v>
      </c>
      <c r="E203" s="9">
        <f t="shared" si="13"/>
        <v>-0.12863070539419089</v>
      </c>
    </row>
    <row r="204" spans="1:5" x14ac:dyDescent="0.25">
      <c r="A204" s="1">
        <f>CCMFUT_F_0_Diário!B203</f>
        <v>45789</v>
      </c>
      <c r="B204" s="2">
        <f>CCMFUT_F_0_Diário!F203</f>
        <v>78.89</v>
      </c>
      <c r="C204" s="9">
        <f t="shared" si="12"/>
        <v>-1.1403508771929782E-2</v>
      </c>
      <c r="D204" s="2">
        <f>MAX($B$3:B204)</f>
        <v>91.58</v>
      </c>
      <c r="E204" s="9">
        <f t="shared" si="13"/>
        <v>-0.1385673727888185</v>
      </c>
    </row>
    <row r="205" spans="1:5" x14ac:dyDescent="0.25">
      <c r="A205" s="1">
        <f>CCMFUT_F_0_Diário!B204</f>
        <v>45790</v>
      </c>
      <c r="B205" s="2">
        <f>CCMFUT_F_0_Diário!F204</f>
        <v>78.06</v>
      </c>
      <c r="C205" s="9">
        <f t="shared" si="12"/>
        <v>-1.0520978577766489E-2</v>
      </c>
      <c r="D205" s="2">
        <f>MAX($B$3:B205)</f>
        <v>91.58</v>
      </c>
      <c r="E205" s="9">
        <f t="shared" si="13"/>
        <v>-0.14763048700589645</v>
      </c>
    </row>
    <row r="206" spans="1:5" x14ac:dyDescent="0.25">
      <c r="A206" s="1">
        <f>CCMFUT_F_0_Diário!B205</f>
        <v>45791</v>
      </c>
      <c r="B206" s="2">
        <f>CCMFUT_F_0_Diário!F205</f>
        <v>79.150000000000006</v>
      </c>
      <c r="C206" s="9">
        <f t="shared" si="12"/>
        <v>1.3963617729951363E-2</v>
      </c>
      <c r="D206" s="2">
        <f>MAX($B$3:B206)</f>
        <v>91.58</v>
      </c>
      <c r="E206" s="9">
        <f t="shared" si="13"/>
        <v>-0.13572832496178197</v>
      </c>
    </row>
    <row r="207" spans="1:5" x14ac:dyDescent="0.25">
      <c r="A207" s="1">
        <f>CCMFUT_F_0_Diário!B206</f>
        <v>45792</v>
      </c>
      <c r="B207" s="2">
        <f>CCMFUT_F_0_Diário!F206</f>
        <v>78.77</v>
      </c>
      <c r="C207" s="9">
        <f t="shared" si="12"/>
        <v>-4.8010107391030909E-3</v>
      </c>
      <c r="D207" s="2">
        <f>MAX($B$3:B207)</f>
        <v>91.58</v>
      </c>
      <c r="E207" s="9">
        <f t="shared" si="13"/>
        <v>-0.13987770255514306</v>
      </c>
    </row>
    <row r="208" spans="1:5" x14ac:dyDescent="0.25">
      <c r="A208" s="1">
        <f>CCMFUT_F_0_Diário!B207</f>
        <v>45793</v>
      </c>
      <c r="B208" s="2">
        <f>CCMFUT_F_0_Diário!F207</f>
        <v>78.290000000000006</v>
      </c>
      <c r="C208" s="9">
        <f t="shared" si="12"/>
        <v>-6.0936904913036659E-3</v>
      </c>
      <c r="D208" s="2">
        <f>MAX($B$3:B208)</f>
        <v>91.58</v>
      </c>
      <c r="E208" s="9">
        <f t="shared" si="13"/>
        <v>-0.14511902162044105</v>
      </c>
    </row>
    <row r="209" spans="1:5" x14ac:dyDescent="0.25">
      <c r="A209" s="1">
        <f>CCMFUT_F_0_Diário!B208</f>
        <v>45796</v>
      </c>
      <c r="B209" s="2">
        <f>CCMFUT_F_0_Diário!F208</f>
        <v>77.42</v>
      </c>
      <c r="C209" s="9">
        <f t="shared" si="12"/>
        <v>-1.1112530335930572E-2</v>
      </c>
      <c r="D209" s="2">
        <f>MAX($B$3:B209)</f>
        <v>91.58</v>
      </c>
      <c r="E209" s="9">
        <f t="shared" si="13"/>
        <v>-0.15461891242629391</v>
      </c>
    </row>
    <row r="210" spans="1:5" x14ac:dyDescent="0.25">
      <c r="A210" s="1">
        <f>CCMFUT_F_0_Diário!B209</f>
        <v>45797</v>
      </c>
      <c r="B210" s="2">
        <f>CCMFUT_F_0_Diário!F209</f>
        <v>78.650000000000006</v>
      </c>
      <c r="C210" s="9">
        <f t="shared" si="12"/>
        <v>1.5887367605270007E-2</v>
      </c>
      <c r="D210" s="2">
        <f>MAX($B$3:B210)</f>
        <v>91.58</v>
      </c>
      <c r="E210" s="9">
        <f t="shared" si="13"/>
        <v>-0.14118803232146748</v>
      </c>
    </row>
    <row r="211" spans="1:5" x14ac:dyDescent="0.25">
      <c r="A211" s="1">
        <f>CCMFUT_F_0_Diário!B210</f>
        <v>45798</v>
      </c>
      <c r="B211" s="2">
        <f>CCMFUT_F_0_Diário!F210</f>
        <v>81.11</v>
      </c>
      <c r="C211" s="9">
        <f t="shared" si="12"/>
        <v>3.1277813095994832E-2</v>
      </c>
      <c r="D211" s="2">
        <f>MAX($B$3:B211)</f>
        <v>91.58</v>
      </c>
      <c r="E211" s="9">
        <f t="shared" si="13"/>
        <v>-0.1143262721118148</v>
      </c>
    </row>
    <row r="212" spans="1:5" x14ac:dyDescent="0.25">
      <c r="A212" s="1">
        <f>CCMFUT_F_0_Diário!B211</f>
        <v>45799</v>
      </c>
      <c r="B212" s="2">
        <f>CCMFUT_F_0_Diário!F211</f>
        <v>78.900000000000006</v>
      </c>
      <c r="C212" s="9">
        <f t="shared" si="12"/>
        <v>-2.7246948588336751E-2</v>
      </c>
      <c r="D212" s="2">
        <f>MAX($B$3:B212)</f>
        <v>91.58</v>
      </c>
      <c r="E212" s="9">
        <f t="shared" si="13"/>
        <v>-0.13845817864162474</v>
      </c>
    </row>
    <row r="213" spans="1:5" x14ac:dyDescent="0.25">
      <c r="A213" s="1">
        <f>CCMFUT_F_0_Diário!B212</f>
        <v>45800</v>
      </c>
      <c r="B213" s="2">
        <f>CCMFUT_F_0_Diário!F212</f>
        <v>78.66</v>
      </c>
      <c r="C213" s="9">
        <f t="shared" si="12"/>
        <v>-3.0418250950571494E-3</v>
      </c>
      <c r="D213" s="2">
        <f>MAX($B$3:B213)</f>
        <v>91.58</v>
      </c>
      <c r="E213" s="9">
        <f t="shared" si="13"/>
        <v>-0.14107883817427389</v>
      </c>
    </row>
    <row r="214" spans="1:5" x14ac:dyDescent="0.25">
      <c r="A214" s="1">
        <f>CCMFUT_F_0_Diário!B213</f>
        <v>45803</v>
      </c>
      <c r="B214" s="2">
        <f>CCMFUT_F_0_Diário!F213</f>
        <v>79.47</v>
      </c>
      <c r="C214" s="9">
        <f t="shared" si="12"/>
        <v>1.0297482837528633E-2</v>
      </c>
      <c r="D214" s="2">
        <f>MAX($B$3:B214)</f>
        <v>91.58</v>
      </c>
      <c r="E214" s="9">
        <f t="shared" si="13"/>
        <v>-0.13223411225158332</v>
      </c>
    </row>
    <row r="215" spans="1:5" x14ac:dyDescent="0.25">
      <c r="A215" s="1">
        <f>CCMFUT_F_0_Diário!B214</f>
        <v>45804</v>
      </c>
      <c r="B215" s="2">
        <f>CCMFUT_F_0_Diário!F214</f>
        <v>80.760000000000005</v>
      </c>
      <c r="C215" s="9">
        <f t="shared" si="12"/>
        <v>1.6232540581351533E-2</v>
      </c>
      <c r="D215" s="2">
        <f>MAX($B$3:B215)</f>
        <v>91.58</v>
      </c>
      <c r="E215" s="9">
        <f t="shared" si="13"/>
        <v>-0.1181480672635946</v>
      </c>
    </row>
    <row r="216" spans="1:5" x14ac:dyDescent="0.25">
      <c r="A216" s="1">
        <f>CCMFUT_F_0_Diário!B215</f>
        <v>45805</v>
      </c>
      <c r="B216" s="2">
        <f>CCMFUT_F_0_Diário!F215</f>
        <v>78.98</v>
      </c>
      <c r="C216" s="9">
        <f t="shared" si="12"/>
        <v>-2.2040614165428442E-2</v>
      </c>
      <c r="D216" s="2">
        <f>MAX($B$3:B216)</f>
        <v>91.58</v>
      </c>
      <c r="E216" s="9">
        <f t="shared" si="13"/>
        <v>-0.13758462546407507</v>
      </c>
    </row>
    <row r="217" spans="1:5" x14ac:dyDescent="0.25">
      <c r="A217" s="1">
        <f>CCMFUT_F_0_Diário!B216</f>
        <v>45806</v>
      </c>
      <c r="B217" s="2">
        <f>CCMFUT_F_0_Diário!F216</f>
        <v>77.95</v>
      </c>
      <c r="C217" s="9">
        <f t="shared" si="12"/>
        <v>-1.3041276272474058E-2</v>
      </c>
      <c r="D217" s="2">
        <f>MAX($B$3:B217)</f>
        <v>91.58</v>
      </c>
      <c r="E217" s="9">
        <f t="shared" si="13"/>
        <v>-0.14883162262502725</v>
      </c>
    </row>
    <row r="218" spans="1:5" x14ac:dyDescent="0.25">
      <c r="A218" s="1">
        <f>CCMFUT_F_0_Diário!B217</f>
        <v>45807</v>
      </c>
      <c r="B218" s="2">
        <f>CCMFUT_F_0_Diário!F217</f>
        <v>78.77</v>
      </c>
      <c r="C218" s="9">
        <f t="shared" si="12"/>
        <v>1.0519563822963349E-2</v>
      </c>
      <c r="D218" s="2">
        <f>MAX($B$3:B218)</f>
        <v>91.58</v>
      </c>
      <c r="E218" s="9">
        <f t="shared" si="13"/>
        <v>-0.13987770255514306</v>
      </c>
    </row>
    <row r="219" spans="1:5" x14ac:dyDescent="0.25">
      <c r="A219" s="1">
        <f>CCMFUT_F_0_Diário!B218</f>
        <v>45810</v>
      </c>
      <c r="B219" s="2">
        <f>CCMFUT_F_0_Diário!F218</f>
        <v>78.22</v>
      </c>
      <c r="C219" s="9">
        <f t="shared" si="12"/>
        <v>-6.9823536879522301E-3</v>
      </c>
      <c r="D219" s="2">
        <f>MAX($B$3:B219)</f>
        <v>91.58</v>
      </c>
      <c r="E219" s="9">
        <f t="shared" si="13"/>
        <v>-0.14588338065079712</v>
      </c>
    </row>
    <row r="220" spans="1:5" x14ac:dyDescent="0.25">
      <c r="A220" s="1">
        <f>CCMFUT_F_0_Diário!B219</f>
        <v>45811</v>
      </c>
      <c r="B220" s="2">
        <f>CCMFUT_F_0_Diário!F219</f>
        <v>79.27</v>
      </c>
      <c r="C220" s="9">
        <f t="shared" si="12"/>
        <v>1.342367680900022E-2</v>
      </c>
      <c r="D220" s="2">
        <f>MAX($B$3:B220)</f>
        <v>91.58</v>
      </c>
      <c r="E220" s="9">
        <f t="shared" si="13"/>
        <v>-0.13441799519545755</v>
      </c>
    </row>
    <row r="221" spans="1:5" x14ac:dyDescent="0.25">
      <c r="A221" s="1">
        <f>CCMFUT_F_0_Diário!B220</f>
        <v>45812</v>
      </c>
      <c r="B221" s="2">
        <f>CCMFUT_F_0_Diário!F220</f>
        <v>80.069999999999993</v>
      </c>
      <c r="C221" s="9">
        <f t="shared" si="12"/>
        <v>1.0092090324208366E-2</v>
      </c>
      <c r="D221" s="2">
        <f>MAX($B$3:B221)</f>
        <v>91.58</v>
      </c>
      <c r="E221" s="9">
        <f t="shared" si="13"/>
        <v>-0.12568246341996075</v>
      </c>
    </row>
    <row r="222" spans="1:5" x14ac:dyDescent="0.25">
      <c r="A222" s="1">
        <f>CCMFUT_F_0_Diário!B221</f>
        <v>45813</v>
      </c>
      <c r="B222" s="2">
        <f>CCMFUT_F_0_Diário!F221</f>
        <v>79.989999999999995</v>
      </c>
      <c r="C222" s="9">
        <f t="shared" si="12"/>
        <v>-9.9912576495564268E-4</v>
      </c>
      <c r="D222" s="2">
        <f>MAX($B$3:B222)</f>
        <v>91.58</v>
      </c>
      <c r="E222" s="9">
        <f t="shared" si="13"/>
        <v>-0.12655601659751042</v>
      </c>
    </row>
    <row r="223" spans="1:5" x14ac:dyDescent="0.25">
      <c r="A223" s="1">
        <f>CCMFUT_F_0_Diário!B222</f>
        <v>45814</v>
      </c>
      <c r="B223" s="2">
        <f>CCMFUT_F_0_Diário!F222</f>
        <v>80.16</v>
      </c>
      <c r="C223" s="9">
        <f t="shared" si="12"/>
        <v>2.1252656582072976E-3</v>
      </c>
      <c r="D223" s="2">
        <f>MAX($B$3:B223)</f>
        <v>91.58</v>
      </c>
      <c r="E223" s="9">
        <f t="shared" si="13"/>
        <v>-0.12469971609521732</v>
      </c>
    </row>
    <row r="224" spans="1:5" x14ac:dyDescent="0.25">
      <c r="A224" s="1">
        <f>CCMFUT_F_0_Diário!B223</f>
        <v>45817</v>
      </c>
      <c r="B224" s="2">
        <f>CCMFUT_F_0_Diário!F223</f>
        <v>79.55</v>
      </c>
      <c r="C224" s="9">
        <f t="shared" si="12"/>
        <v>-7.6097804391217494E-3</v>
      </c>
      <c r="D224" s="2">
        <f>MAX($B$3:B224)</f>
        <v>91.58</v>
      </c>
      <c r="E224" s="9">
        <f t="shared" si="13"/>
        <v>-0.13136055907403366</v>
      </c>
    </row>
    <row r="225" spans="1:5" x14ac:dyDescent="0.25">
      <c r="A225" s="1">
        <f>CCMFUT_F_0_Diário!B224</f>
        <v>45818</v>
      </c>
      <c r="B225" s="2">
        <f>CCMFUT_F_0_Diário!F224</f>
        <v>79.989999999999995</v>
      </c>
      <c r="C225" s="9">
        <f t="shared" si="12"/>
        <v>5.5311125078566659E-3</v>
      </c>
      <c r="D225" s="2">
        <f>MAX($B$3:B225)</f>
        <v>91.58</v>
      </c>
      <c r="E225" s="9">
        <f t="shared" si="13"/>
        <v>-0.12655601659751042</v>
      </c>
    </row>
    <row r="226" spans="1:5" x14ac:dyDescent="0.25">
      <c r="A226" s="1">
        <f>CCMFUT_F_0_Diário!B225</f>
        <v>45819</v>
      </c>
      <c r="B226" s="2">
        <f>CCMFUT_F_0_Diário!F225</f>
        <v>79.069999999999993</v>
      </c>
      <c r="C226" s="9">
        <f t="shared" si="12"/>
        <v>-1.1501437679709986E-2</v>
      </c>
      <c r="D226" s="2">
        <f>MAX($B$3:B226)</f>
        <v>91.58</v>
      </c>
      <c r="E226" s="9">
        <f t="shared" si="13"/>
        <v>-0.13660187813933178</v>
      </c>
    </row>
    <row r="227" spans="1:5" x14ac:dyDescent="0.25">
      <c r="A227" s="1">
        <f>CCMFUT_F_0_Diário!B226</f>
        <v>45820</v>
      </c>
      <c r="B227" s="2">
        <f>CCMFUT_F_0_Diário!F226</f>
        <v>78.08</v>
      </c>
      <c r="C227" s="9">
        <f t="shared" si="12"/>
        <v>-1.2520551410142848E-2</v>
      </c>
      <c r="D227" s="2">
        <f>MAX($B$3:B227)</f>
        <v>91.58</v>
      </c>
      <c r="E227" s="9">
        <f t="shared" si="13"/>
        <v>-0.14741209871150907</v>
      </c>
    </row>
    <row r="228" spans="1:5" x14ac:dyDescent="0.25">
      <c r="A228" s="1">
        <f>CCMFUT_F_0_Diário!B227</f>
        <v>45821</v>
      </c>
      <c r="B228" s="2">
        <f>CCMFUT_F_0_Diário!F227</f>
        <v>78.400000000000006</v>
      </c>
      <c r="C228" s="9">
        <f t="shared" si="12"/>
        <v>4.0983606557377997E-3</v>
      </c>
      <c r="D228" s="2">
        <f>MAX($B$3:B228)</f>
        <v>91.58</v>
      </c>
      <c r="E228" s="9">
        <f t="shared" si="13"/>
        <v>-0.14391788600131025</v>
      </c>
    </row>
    <row r="229" spans="1:5" x14ac:dyDescent="0.25">
      <c r="A229" s="1">
        <f>CCMFUT_F_0_Diário!B228</f>
        <v>45824</v>
      </c>
      <c r="B229" s="2">
        <f>CCMFUT_F_0_Diário!F228</f>
        <v>77.52</v>
      </c>
      <c r="C229" s="9">
        <f t="shared" si="12"/>
        <v>-1.122448979591849E-2</v>
      </c>
      <c r="D229" s="2">
        <f>MAX($B$3:B229)</f>
        <v>91.58</v>
      </c>
      <c r="E229" s="9">
        <f t="shared" si="13"/>
        <v>-0.15352697095435688</v>
      </c>
    </row>
    <row r="230" spans="1:5" x14ac:dyDescent="0.25">
      <c r="A230" s="1">
        <f>CCMFUT_F_0_Diário!B229</f>
        <v>45825</v>
      </c>
      <c r="B230" s="2">
        <f>CCMFUT_F_0_Diário!F229</f>
        <v>78.17</v>
      </c>
      <c r="C230" s="9">
        <f t="shared" si="12"/>
        <v>8.3849329205367088E-3</v>
      </c>
      <c r="D230" s="2">
        <f>MAX($B$3:B230)</f>
        <v>91.58</v>
      </c>
      <c r="E230" s="9">
        <f t="shared" si="13"/>
        <v>-0.14642935138676563</v>
      </c>
    </row>
    <row r="231" spans="1:5" x14ac:dyDescent="0.25">
      <c r="A231" s="1">
        <f>CCMFUT_F_0_Diário!B230</f>
        <v>45826</v>
      </c>
      <c r="B231" s="2">
        <f>CCMFUT_F_0_Diário!F230</f>
        <v>77.86</v>
      </c>
      <c r="C231" s="9">
        <f t="shared" si="12"/>
        <v>-3.9657157477293366E-3</v>
      </c>
      <c r="D231" s="2">
        <f>MAX($B$3:B231)</f>
        <v>91.58</v>
      </c>
      <c r="E231" s="9">
        <f t="shared" si="13"/>
        <v>-0.14981436994977068</v>
      </c>
    </row>
    <row r="232" spans="1:5" x14ac:dyDescent="0.25">
      <c r="A232" s="1">
        <f>CCMFUT_F_0_Diário!B231</f>
        <v>45828</v>
      </c>
      <c r="B232" s="2">
        <f>CCMFUT_F_0_Diário!F231</f>
        <v>77.73</v>
      </c>
      <c r="C232" s="9">
        <f t="shared" si="12"/>
        <v>-1.6696634985871495E-3</v>
      </c>
      <c r="D232" s="2">
        <f>MAX($B$3:B232)</f>
        <v>91.58</v>
      </c>
      <c r="E232" s="9">
        <f t="shared" si="13"/>
        <v>-0.15123389386328887</v>
      </c>
    </row>
    <row r="233" spans="1:5" x14ac:dyDescent="0.25">
      <c r="A233" s="1">
        <f>CCMFUT_F_0_Diário!B232</f>
        <v>45831</v>
      </c>
      <c r="B233" s="2">
        <f>CCMFUT_F_0_Diário!F232</f>
        <v>78</v>
      </c>
      <c r="C233" s="9">
        <f t="shared" si="12"/>
        <v>3.4735623311462241E-3</v>
      </c>
      <c r="D233" s="2">
        <f>MAX($B$3:B233)</f>
        <v>91.58</v>
      </c>
      <c r="E233" s="9">
        <f t="shared" si="13"/>
        <v>-0.14828565188905873</v>
      </c>
    </row>
    <row r="234" spans="1:5" x14ac:dyDescent="0.25">
      <c r="A234" s="1">
        <f>CCMFUT_F_0_Diário!B233</f>
        <v>45832</v>
      </c>
      <c r="B234" s="2">
        <f>CCMFUT_F_0_Diário!F233</f>
        <v>78.77</v>
      </c>
      <c r="C234" s="9">
        <f t="shared" si="12"/>
        <v>9.8717948717948201E-3</v>
      </c>
      <c r="D234" s="2">
        <f>MAX($B$3:B234)</f>
        <v>91.58</v>
      </c>
      <c r="E234" s="9">
        <f t="shared" si="13"/>
        <v>-0.13987770255514306</v>
      </c>
    </row>
    <row r="235" spans="1:5" x14ac:dyDescent="0.25">
      <c r="A235" s="1">
        <f>CCMFUT_F_0_Diário!B234</f>
        <v>45833</v>
      </c>
      <c r="B235" s="2">
        <f>CCMFUT_F_0_Diário!F234</f>
        <v>77.03</v>
      </c>
      <c r="C235" s="9">
        <f t="shared" si="12"/>
        <v>-2.2089628030976197E-2</v>
      </c>
      <c r="D235" s="2">
        <f>MAX($B$3:B235)</f>
        <v>91.58</v>
      </c>
      <c r="E235" s="9">
        <f t="shared" si="13"/>
        <v>-0.15887748416684863</v>
      </c>
    </row>
    <row r="236" spans="1:5" x14ac:dyDescent="0.25">
      <c r="A236" s="1">
        <f>CCMFUT_F_0_Diário!B235</f>
        <v>45834</v>
      </c>
      <c r="B236" s="2">
        <f>CCMFUT_F_0_Diário!F235</f>
        <v>76.150000000000006</v>
      </c>
      <c r="C236" s="9">
        <f t="shared" si="12"/>
        <v>-1.1424120472543106E-2</v>
      </c>
      <c r="D236" s="2">
        <f>MAX($B$3:B236)</f>
        <v>91.58</v>
      </c>
      <c r="E236" s="9">
        <f t="shared" si="13"/>
        <v>-0.1684865691198951</v>
      </c>
    </row>
    <row r="237" spans="1:5" x14ac:dyDescent="0.25">
      <c r="A237" s="1">
        <f>CCMFUT_F_0_Diário!B236</f>
        <v>45835</v>
      </c>
      <c r="B237" s="2">
        <f>CCMFUT_F_0_Diário!F236</f>
        <v>76.13</v>
      </c>
      <c r="C237" s="9">
        <f t="shared" si="12"/>
        <v>-2.6263952724898531E-4</v>
      </c>
      <c r="D237" s="2">
        <f>MAX($B$3:B237)</f>
        <v>91.58</v>
      </c>
      <c r="E237" s="9">
        <f t="shared" si="13"/>
        <v>-0.16870495741428262</v>
      </c>
    </row>
    <row r="238" spans="1:5" x14ac:dyDescent="0.25">
      <c r="A238" s="1">
        <f>CCMFUT_F_0_Diário!B237</f>
        <v>45838</v>
      </c>
      <c r="B238" s="2">
        <f>CCMFUT_F_0_Diário!F237</f>
        <v>75.81</v>
      </c>
      <c r="C238" s="9">
        <f t="shared" si="12"/>
        <v>-4.2033363982660341E-3</v>
      </c>
      <c r="D238" s="2">
        <f>MAX($B$3:B238)</f>
        <v>91.58</v>
      </c>
      <c r="E238" s="9">
        <f t="shared" si="13"/>
        <v>-0.1721991701244813</v>
      </c>
    </row>
    <row r="239" spans="1:5" x14ac:dyDescent="0.25">
      <c r="A239" s="1">
        <f>CCMFUT_F_0_Diário!B238</f>
        <v>45839</v>
      </c>
      <c r="B239" s="2">
        <f>CCMFUT_F_0_Diário!F238</f>
        <v>75.33</v>
      </c>
      <c r="C239" s="9">
        <f t="shared" si="12"/>
        <v>-6.331618519984223E-3</v>
      </c>
      <c r="D239" s="2">
        <f>MAX($B$3:B239)</f>
        <v>91.58</v>
      </c>
      <c r="E239" s="9">
        <f t="shared" si="13"/>
        <v>-0.17744048918977942</v>
      </c>
    </row>
    <row r="240" spans="1:5" x14ac:dyDescent="0.25">
      <c r="A240" s="1">
        <f>CCMFUT_F_0_Diário!B239</f>
        <v>45840</v>
      </c>
      <c r="B240" s="2">
        <f>CCMFUT_F_0_Diário!F239</f>
        <v>75.61</v>
      </c>
      <c r="C240" s="9">
        <f t="shared" si="12"/>
        <v>3.7169786273729077E-3</v>
      </c>
      <c r="D240" s="2">
        <f>MAX($B$3:B240)</f>
        <v>91.58</v>
      </c>
      <c r="E240" s="9">
        <f t="shared" si="13"/>
        <v>-0.17438305306835553</v>
      </c>
    </row>
    <row r="241" spans="1:5" x14ac:dyDescent="0.25">
      <c r="A241" s="1">
        <f>CCMFUT_F_0_Diário!B240</f>
        <v>45841</v>
      </c>
      <c r="B241" s="2">
        <f>CCMFUT_F_0_Diário!F240</f>
        <v>76.64</v>
      </c>
      <c r="C241" s="9">
        <f t="shared" si="12"/>
        <v>1.3622536701494527E-2</v>
      </c>
      <c r="D241" s="2">
        <f>MAX($B$3:B241)</f>
        <v>91.58</v>
      </c>
      <c r="E241" s="9">
        <f t="shared" si="13"/>
        <v>-0.16313605590740335</v>
      </c>
    </row>
    <row r="242" spans="1:5" x14ac:dyDescent="0.25">
      <c r="A242" s="1">
        <f>CCMFUT_F_0_Diário!B241</f>
        <v>45842</v>
      </c>
      <c r="B242" s="2">
        <f>CCMFUT_F_0_Diário!F241</f>
        <v>75.930000000000007</v>
      </c>
      <c r="C242" s="9">
        <f t="shared" si="12"/>
        <v>-9.2640918580374973E-3</v>
      </c>
      <c r="D242" s="2">
        <f>MAX($B$3:B242)</f>
        <v>91.58</v>
      </c>
      <c r="E242" s="9">
        <f t="shared" si="13"/>
        <v>-0.17088884035815671</v>
      </c>
    </row>
    <row r="243" spans="1:5" x14ac:dyDescent="0.25">
      <c r="A243" s="1">
        <f>CCMFUT_F_0_Diário!B242</f>
        <v>45845</v>
      </c>
      <c r="B243" s="2">
        <f>CCMFUT_F_0_Diário!F242</f>
        <v>75.849999999999994</v>
      </c>
      <c r="C243" s="9">
        <f t="shared" si="12"/>
        <v>-1.0536020018439682E-3</v>
      </c>
      <c r="D243" s="2">
        <f>MAX($B$3:B243)</f>
        <v>91.58</v>
      </c>
      <c r="E243" s="9">
        <f t="shared" si="13"/>
        <v>-0.17176239353570652</v>
      </c>
    </row>
    <row r="244" spans="1:5" x14ac:dyDescent="0.25">
      <c r="A244" s="1">
        <f>CCMFUT_F_0_Diário!B243</f>
        <v>45846</v>
      </c>
      <c r="B244" s="2">
        <f>CCMFUT_F_0_Diário!F243</f>
        <v>76.33</v>
      </c>
      <c r="C244" s="9">
        <f t="shared" si="12"/>
        <v>6.3282794990112594E-3</v>
      </c>
      <c r="D244" s="2">
        <f>MAX($B$3:B244)</f>
        <v>91.58</v>
      </c>
      <c r="E244" s="9">
        <f t="shared" si="13"/>
        <v>-0.1665210744704084</v>
      </c>
    </row>
    <row r="245" spans="1:5" x14ac:dyDescent="0.25">
      <c r="A245" s="1">
        <f>CCMFUT_F_0_Diário!B244</f>
        <v>45847</v>
      </c>
      <c r="B245" s="2">
        <f>CCMFUT_F_0_Diário!F244</f>
        <v>78.03</v>
      </c>
      <c r="C245" s="9">
        <f t="shared" si="12"/>
        <v>2.2271714922049036E-2</v>
      </c>
      <c r="D245" s="2">
        <f>MAX($B$3:B245)</f>
        <v>91.58</v>
      </c>
      <c r="E245" s="9">
        <f t="shared" si="13"/>
        <v>-0.14795806944747758</v>
      </c>
    </row>
    <row r="246" spans="1:5" x14ac:dyDescent="0.25">
      <c r="A246" s="1">
        <f>CCMFUT_F_0_Diário!B245</f>
        <v>45848</v>
      </c>
      <c r="B246" s="2">
        <f>CCMFUT_F_0_Diário!F245</f>
        <v>76.819999999999993</v>
      </c>
      <c r="C246" s="9">
        <f t="shared" si="12"/>
        <v>-1.5506856337306266E-2</v>
      </c>
      <c r="D246" s="2">
        <f>MAX($B$3:B246)</f>
        <v>91.58</v>
      </c>
      <c r="E246" s="9">
        <f t="shared" si="13"/>
        <v>-0.16117056125791662</v>
      </c>
    </row>
    <row r="247" spans="1:5" x14ac:dyDescent="0.25">
      <c r="A247" s="1">
        <f>CCMFUT_F_0_Diário!B246</f>
        <v>45849</v>
      </c>
      <c r="B247" s="2">
        <f>CCMFUT_F_0_Diário!F246</f>
        <v>78.17</v>
      </c>
      <c r="C247" s="9">
        <f t="shared" si="12"/>
        <v>1.7573548555063899E-2</v>
      </c>
      <c r="D247" s="2">
        <f>MAX($B$3:B247)</f>
        <v>91.58</v>
      </c>
      <c r="E247" s="9">
        <f t="shared" si="13"/>
        <v>-0.14642935138676563</v>
      </c>
    </row>
    <row r="248" spans="1:5" x14ac:dyDescent="0.25">
      <c r="A248" s="1">
        <f>CCMFUT_F_0_Diário!B247</f>
        <v>45852</v>
      </c>
      <c r="B248" s="2">
        <f>CCMFUT_F_0_Diário!F247</f>
        <v>78.400000000000006</v>
      </c>
      <c r="C248" s="9">
        <f t="shared" si="12"/>
        <v>2.9423052321863115E-3</v>
      </c>
      <c r="D248" s="2">
        <f>MAX($B$3:B248)</f>
        <v>91.58</v>
      </c>
      <c r="E248" s="9">
        <f t="shared" si="13"/>
        <v>-0.14391788600131025</v>
      </c>
    </row>
    <row r="249" spans="1:5" x14ac:dyDescent="0.25">
      <c r="A249" s="1">
        <f>CCMFUT_F_0_Diário!B248</f>
        <v>45853</v>
      </c>
      <c r="B249" s="2">
        <f>CCMFUT_F_0_Diário!F248</f>
        <v>77.56</v>
      </c>
      <c r="C249" s="9">
        <f t="shared" si="12"/>
        <v>-1.0714285714285758E-2</v>
      </c>
      <c r="D249" s="2">
        <f>MAX($B$3:B249)</f>
        <v>91.58</v>
      </c>
      <c r="E249" s="9">
        <f t="shared" si="13"/>
        <v>-0.15309019436558197</v>
      </c>
    </row>
    <row r="250" spans="1:5" x14ac:dyDescent="0.25">
      <c r="A250" s="1">
        <f>CCMFUT_F_0_Diário!B249</f>
        <v>45854</v>
      </c>
      <c r="B250" s="2">
        <f>CCMFUT_F_0_Diário!F249</f>
        <v>78.45</v>
      </c>
      <c r="C250" s="9">
        <f t="shared" si="12"/>
        <v>1.1474987106756067E-2</v>
      </c>
      <c r="D250" s="2">
        <f>MAX($B$3:B250)</f>
        <v>91.58</v>
      </c>
      <c r="E250" s="9">
        <f t="shared" si="13"/>
        <v>-0.14337191526534174</v>
      </c>
    </row>
    <row r="251" spans="1:5" x14ac:dyDescent="0.25">
      <c r="A251" s="1">
        <f>CCMFUT_F_0_Diário!B250</f>
        <v>45855</v>
      </c>
      <c r="B251" s="2">
        <f>CCMFUT_F_0_Diário!F250</f>
        <v>79.03</v>
      </c>
      <c r="C251" s="9">
        <f t="shared" si="12"/>
        <v>7.3932441045251535E-3</v>
      </c>
      <c r="D251" s="2">
        <f>MAX($B$3:B251)</f>
        <v>91.58</v>
      </c>
      <c r="E251" s="9">
        <f t="shared" si="13"/>
        <v>-0.13703865472810656</v>
      </c>
    </row>
    <row r="252" spans="1:5" x14ac:dyDescent="0.25">
      <c r="A252" s="1">
        <f>CCMFUT_F_0_Diário!B251</f>
        <v>45856</v>
      </c>
      <c r="B252" s="2">
        <f>CCMFUT_F_0_Diário!F251</f>
        <v>80.069999999999993</v>
      </c>
      <c r="C252" s="9">
        <f t="shared" si="12"/>
        <v>1.315955966088817E-2</v>
      </c>
      <c r="D252" s="2">
        <f>MAX($B$3:B252)</f>
        <v>91.58</v>
      </c>
      <c r="E252" s="9">
        <f t="shared" si="13"/>
        <v>-0.12568246341996075</v>
      </c>
    </row>
    <row r="253" spans="1:5" x14ac:dyDescent="0.25">
      <c r="A253" s="1">
        <f>CCMFUT_F_0_Diário!B252</f>
        <v>45859</v>
      </c>
      <c r="B253" s="2">
        <f>CCMFUT_F_0_Diário!F252</f>
        <v>79.599999999999994</v>
      </c>
      <c r="C253" s="9">
        <f t="shared" si="12"/>
        <v>-5.8698638691145107E-3</v>
      </c>
      <c r="D253" s="2">
        <f>MAX($B$3:B253)</f>
        <v>91.58</v>
      </c>
      <c r="E253" s="9">
        <f t="shared" si="13"/>
        <v>-0.13081458833806511</v>
      </c>
    </row>
    <row r="254" spans="1:5" x14ac:dyDescent="0.25">
      <c r="A254" s="1">
        <f>CCMFUT_F_0_Diário!B253</f>
        <v>45860</v>
      </c>
      <c r="B254" s="2">
        <f>CCMFUT_F_0_Diário!F253</f>
        <v>79.88</v>
      </c>
      <c r="C254" s="9">
        <f t="shared" si="12"/>
        <v>3.5175879396985069E-3</v>
      </c>
      <c r="D254" s="2">
        <f>MAX($B$3:B254)</f>
        <v>91.58</v>
      </c>
      <c r="E254" s="9">
        <f t="shared" si="13"/>
        <v>-0.12775715221664122</v>
      </c>
    </row>
    <row r="255" spans="1:5" x14ac:dyDescent="0.25">
      <c r="A255" s="1">
        <f>CCMFUT_F_0_Diário!B254</f>
        <v>45861</v>
      </c>
      <c r="B255" s="2">
        <f>CCMFUT_F_0_Diário!F254</f>
        <v>79.66</v>
      </c>
      <c r="C255" s="9">
        <f t="shared" si="12"/>
        <v>-2.7541311967951786E-3</v>
      </c>
      <c r="D255" s="2">
        <f>MAX($B$3:B255)</f>
        <v>91.58</v>
      </c>
      <c r="E255" s="9">
        <f t="shared" si="13"/>
        <v>-0.13015942345490283</v>
      </c>
    </row>
    <row r="256" spans="1:5" x14ac:dyDescent="0.25">
      <c r="A256" s="1">
        <f>CCMFUT_F_0_Diário!B255</f>
        <v>45862</v>
      </c>
      <c r="B256" s="2">
        <f>CCMFUT_F_0_Diário!F255</f>
        <v>80.37</v>
      </c>
      <c r="C256" s="9">
        <f t="shared" si="12"/>
        <v>8.9128797388903832E-3</v>
      </c>
      <c r="D256" s="2">
        <f>MAX($B$3:B256)</f>
        <v>91.58</v>
      </c>
      <c r="E256" s="9">
        <f t="shared" si="13"/>
        <v>-0.12240663900414932</v>
      </c>
    </row>
    <row r="257" spans="1:5" x14ac:dyDescent="0.25">
      <c r="A257" s="1">
        <f>CCMFUT_F_0_Diário!B256</f>
        <v>45863</v>
      </c>
      <c r="B257" s="2">
        <f>CCMFUT_F_0_Diário!F256</f>
        <v>80.31</v>
      </c>
      <c r="C257" s="9">
        <f t="shared" si="12"/>
        <v>-7.4654721911163711E-4</v>
      </c>
      <c r="D257" s="2">
        <f>MAX($B$3:B257)</f>
        <v>91.58</v>
      </c>
      <c r="E257" s="9">
        <f t="shared" si="13"/>
        <v>-0.1230618038873116</v>
      </c>
    </row>
    <row r="258" spans="1:5" x14ac:dyDescent="0.25">
      <c r="A258" s="1">
        <f>CCMFUT_F_0_Diário!B257</f>
        <v>45866</v>
      </c>
      <c r="B258" s="2">
        <f>CCMFUT_F_0_Diário!F257</f>
        <v>79.53</v>
      </c>
      <c r="C258" s="9">
        <f t="shared" si="12"/>
        <v>-9.7123645872245184E-3</v>
      </c>
      <c r="D258" s="2">
        <f>MAX($B$3:B258)</f>
        <v>91.58</v>
      </c>
      <c r="E258" s="9">
        <f t="shared" si="13"/>
        <v>-0.13157894736842102</v>
      </c>
    </row>
    <row r="259" spans="1:5" x14ac:dyDescent="0.25">
      <c r="A259" s="1">
        <f>CCMFUT_F_0_Diário!B258</f>
        <v>45867</v>
      </c>
      <c r="B259" s="2">
        <f>CCMFUT_F_0_Diário!F258</f>
        <v>79.7</v>
      </c>
      <c r="C259" s="9">
        <f t="shared" si="12"/>
        <v>2.137558154155686E-3</v>
      </c>
      <c r="D259" s="2">
        <f>MAX($B$3:B259)</f>
        <v>91.58</v>
      </c>
      <c r="E259" s="9">
        <f t="shared" si="13"/>
        <v>-0.12972264686612792</v>
      </c>
    </row>
    <row r="260" spans="1:5" x14ac:dyDescent="0.25">
      <c r="A260" s="1">
        <f>CCMFUT_F_0_Diário!B259</f>
        <v>45868</v>
      </c>
      <c r="B260" s="2">
        <f>CCMFUT_F_0_Diário!F259</f>
        <v>81.73</v>
      </c>
      <c r="C260" s="9">
        <f t="shared" si="12"/>
        <v>2.5470514429109171E-2</v>
      </c>
      <c r="D260" s="2">
        <f>MAX($B$3:B260)</f>
        <v>91.58</v>
      </c>
      <c r="E260" s="9">
        <f t="shared" si="13"/>
        <v>-0.1075562349858047</v>
      </c>
    </row>
    <row r="261" spans="1:5" x14ac:dyDescent="0.25">
      <c r="A261" s="1">
        <f>CCMFUT_F_0_Diário!B260</f>
        <v>45869</v>
      </c>
      <c r="B261" s="2">
        <f>CCMFUT_F_0_Diário!F260</f>
        <v>81.64</v>
      </c>
      <c r="C261" s="9">
        <f t="shared" ref="C261:C324" si="14">(B261-B260)/B260</f>
        <v>-1.1011868346996623E-3</v>
      </c>
      <c r="D261" s="2">
        <f>MAX($B$3:B261)</f>
        <v>91.58</v>
      </c>
      <c r="E261" s="9">
        <f t="shared" ref="E261:E324" si="15">(B261-D261)/D261</f>
        <v>-0.10853898231054813</v>
      </c>
    </row>
    <row r="262" spans="1:5" x14ac:dyDescent="0.25">
      <c r="A262" s="1">
        <f>CCMFUT_F_0_Diário!B261</f>
        <v>45870</v>
      </c>
      <c r="B262" s="2">
        <f>CCMFUT_F_0_Diário!F261</f>
        <v>81.91</v>
      </c>
      <c r="C262" s="9">
        <f t="shared" si="14"/>
        <v>3.3072023517882903E-3</v>
      </c>
      <c r="D262" s="2">
        <f>MAX($B$3:B262)</f>
        <v>91.58</v>
      </c>
      <c r="E262" s="9">
        <f t="shared" si="15"/>
        <v>-0.10559074033631799</v>
      </c>
    </row>
    <row r="263" spans="1:5" x14ac:dyDescent="0.25">
      <c r="A263" s="1">
        <f>CCMFUT_F_0_Diário!B262</f>
        <v>45873</v>
      </c>
      <c r="B263" s="2">
        <f>CCMFUT_F_0_Diário!F262</f>
        <v>81.47</v>
      </c>
      <c r="C263" s="9">
        <f t="shared" si="14"/>
        <v>-5.371749481137807E-3</v>
      </c>
      <c r="D263" s="2">
        <f>MAX($B$3:B263)</f>
        <v>91.58</v>
      </c>
      <c r="E263" s="9">
        <f t="shared" si="15"/>
        <v>-0.11039528281284122</v>
      </c>
    </row>
    <row r="264" spans="1:5" x14ac:dyDescent="0.25">
      <c r="A264" s="1">
        <f>CCMFUT_F_0_Diário!B263</f>
        <v>45874</v>
      </c>
      <c r="B264" s="2">
        <f>CCMFUT_F_0_Diário!F263</f>
        <v>80.400000000000006</v>
      </c>
      <c r="C264" s="9">
        <f t="shared" si="14"/>
        <v>-1.3133668835153961E-2</v>
      </c>
      <c r="D264" s="2">
        <f>MAX($B$3:B264)</f>
        <v>91.58</v>
      </c>
      <c r="E264" s="9">
        <f t="shared" si="15"/>
        <v>-0.12207905656256816</v>
      </c>
    </row>
    <row r="265" spans="1:5" x14ac:dyDescent="0.25">
      <c r="A265" s="1">
        <f>CCMFUT_F_0_Diário!B264</f>
        <v>45875</v>
      </c>
      <c r="B265" s="2">
        <f>CCMFUT_F_0_Diário!F264</f>
        <v>80.13</v>
      </c>
      <c r="C265" s="9">
        <f t="shared" si="14"/>
        <v>-3.3582089552240076E-3</v>
      </c>
      <c r="D265" s="2">
        <f>MAX($B$3:B265)</f>
        <v>91.58</v>
      </c>
      <c r="E265" s="9">
        <f t="shared" si="15"/>
        <v>-0.12502729853679845</v>
      </c>
    </row>
    <row r="266" spans="1:5" x14ac:dyDescent="0.25">
      <c r="A266" s="1">
        <f>CCMFUT_F_0_Diário!B265</f>
        <v>45876</v>
      </c>
      <c r="B266" s="2">
        <f>CCMFUT_F_0_Diário!F265</f>
        <v>80.47</v>
      </c>
      <c r="C266" s="9">
        <f t="shared" si="14"/>
        <v>4.2431049544490633E-3</v>
      </c>
      <c r="D266" s="2">
        <f>MAX($B$3:B266)</f>
        <v>91.58</v>
      </c>
      <c r="E266" s="9">
        <f t="shared" si="15"/>
        <v>-0.12131469753221227</v>
      </c>
    </row>
    <row r="267" spans="1:5" x14ac:dyDescent="0.25">
      <c r="A267" s="1">
        <f>CCMFUT_F_0_Diário!B266</f>
        <v>45877</v>
      </c>
      <c r="B267" s="2">
        <f>CCMFUT_F_0_Diário!F266</f>
        <v>79.75</v>
      </c>
      <c r="C267" s="9">
        <f t="shared" si="14"/>
        <v>-8.9474338262706451E-3</v>
      </c>
      <c r="D267" s="2">
        <f>MAX($B$3:B267)</f>
        <v>91.58</v>
      </c>
      <c r="E267" s="9">
        <f t="shared" si="15"/>
        <v>-0.1291766761301594</v>
      </c>
    </row>
    <row r="268" spans="1:5" x14ac:dyDescent="0.25">
      <c r="A268" s="1">
        <f>CCMFUT_F_0_Diário!B267</f>
        <v>45880</v>
      </c>
      <c r="B268" s="2">
        <f>CCMFUT_F_0_Diário!F267</f>
        <v>79.88</v>
      </c>
      <c r="C268" s="9">
        <f t="shared" si="14"/>
        <v>1.6300940438870903E-3</v>
      </c>
      <c r="D268" s="2">
        <f>MAX($B$3:B268)</f>
        <v>91.58</v>
      </c>
      <c r="E268" s="9">
        <f t="shared" si="15"/>
        <v>-0.12775715221664122</v>
      </c>
    </row>
    <row r="269" spans="1:5" x14ac:dyDescent="0.25">
      <c r="A269" s="1">
        <f>CCMFUT_F_0_Diário!B268</f>
        <v>45881</v>
      </c>
      <c r="B269" s="2">
        <f>CCMFUT_F_0_Diário!F268</f>
        <v>79.209999999999994</v>
      </c>
      <c r="C269" s="9">
        <f t="shared" si="14"/>
        <v>-8.3875813720581081E-3</v>
      </c>
      <c r="D269" s="2">
        <f>MAX($B$3:B269)</f>
        <v>91.58</v>
      </c>
      <c r="E269" s="9">
        <f t="shared" si="15"/>
        <v>-0.13507316007861983</v>
      </c>
    </row>
    <row r="270" spans="1:5" x14ac:dyDescent="0.25">
      <c r="A270" s="1">
        <f>CCMFUT_F_0_Diário!B269</f>
        <v>45882</v>
      </c>
      <c r="B270" s="2">
        <f>CCMFUT_F_0_Diário!F269</f>
        <v>79.319999999999993</v>
      </c>
      <c r="C270" s="9">
        <f t="shared" si="14"/>
        <v>1.3887135462694034E-3</v>
      </c>
      <c r="D270" s="2">
        <f>MAX($B$3:B270)</f>
        <v>91.58</v>
      </c>
      <c r="E270" s="9">
        <f t="shared" si="15"/>
        <v>-0.13387202445948904</v>
      </c>
    </row>
    <row r="271" spans="1:5" x14ac:dyDescent="0.25">
      <c r="A271" s="1">
        <f>CCMFUT_F_0_Diário!B270</f>
        <v>45883</v>
      </c>
      <c r="B271" s="2">
        <f>CCMFUT_F_0_Diário!F270</f>
        <v>78.95</v>
      </c>
      <c r="C271" s="9">
        <f t="shared" si="14"/>
        <v>-4.6646495209277652E-3</v>
      </c>
      <c r="D271" s="2">
        <f>MAX($B$3:B271)</f>
        <v>91.58</v>
      </c>
      <c r="E271" s="9">
        <f t="shared" si="15"/>
        <v>-0.1379122079056562</v>
      </c>
    </row>
    <row r="272" spans="1:5" x14ac:dyDescent="0.25">
      <c r="A272" s="1">
        <f>CCMFUT_F_0_Diário!B271</f>
        <v>45884</v>
      </c>
      <c r="B272" s="2">
        <f>CCMFUT_F_0_Diário!F271</f>
        <v>79.28</v>
      </c>
      <c r="C272" s="9">
        <f t="shared" si="14"/>
        <v>4.1798606713109344E-3</v>
      </c>
      <c r="D272" s="2">
        <f>MAX($B$3:B272)</f>
        <v>91.58</v>
      </c>
      <c r="E272" s="9">
        <f t="shared" si="15"/>
        <v>-0.13430880104826379</v>
      </c>
    </row>
    <row r="273" spans="1:5" x14ac:dyDescent="0.25">
      <c r="A273" s="1">
        <f>CCMFUT_F_0_Diário!B272</f>
        <v>45887</v>
      </c>
      <c r="B273" s="2">
        <f>CCMFUT_F_0_Diário!F272</f>
        <v>80.62</v>
      </c>
      <c r="C273" s="9">
        <f t="shared" si="14"/>
        <v>1.6902119071644846E-2</v>
      </c>
      <c r="D273" s="2">
        <f>MAX($B$3:B273)</f>
        <v>91.58</v>
      </c>
      <c r="E273" s="9">
        <f t="shared" si="15"/>
        <v>-0.11967678532430655</v>
      </c>
    </row>
    <row r="274" spans="1:5" x14ac:dyDescent="0.25">
      <c r="A274" s="1">
        <f>CCMFUT_F_0_Diário!B273</f>
        <v>45888</v>
      </c>
      <c r="B274" s="2">
        <f>CCMFUT_F_0_Diário!F273</f>
        <v>81</v>
      </c>
      <c r="C274" s="9">
        <f t="shared" si="14"/>
        <v>4.7134706028280253E-3</v>
      </c>
      <c r="D274" s="2">
        <f>MAX($B$3:B274)</f>
        <v>91.58</v>
      </c>
      <c r="E274" s="9">
        <f t="shared" si="15"/>
        <v>-0.11552740773094561</v>
      </c>
    </row>
    <row r="275" spans="1:5" x14ac:dyDescent="0.25">
      <c r="A275" s="1">
        <f>CCMFUT_F_0_Diário!B274</f>
        <v>45889</v>
      </c>
      <c r="B275" s="2">
        <f>CCMFUT_F_0_Diário!F274</f>
        <v>79.819999999999993</v>
      </c>
      <c r="C275" s="9">
        <f t="shared" si="14"/>
        <v>-1.4567901234567986E-2</v>
      </c>
      <c r="D275" s="2">
        <f>MAX($B$3:B275)</f>
        <v>91.58</v>
      </c>
      <c r="E275" s="9">
        <f t="shared" si="15"/>
        <v>-0.1284123170998035</v>
      </c>
    </row>
    <row r="276" spans="1:5" x14ac:dyDescent="0.25">
      <c r="A276" s="1">
        <f>CCMFUT_F_0_Diário!B275</f>
        <v>45890</v>
      </c>
      <c r="B276" s="2">
        <f>CCMFUT_F_0_Diário!F275</f>
        <v>81.14</v>
      </c>
      <c r="C276" s="9">
        <f t="shared" si="14"/>
        <v>1.6537208719619237E-2</v>
      </c>
      <c r="D276" s="2">
        <f>MAX($B$3:B276)</f>
        <v>91.58</v>
      </c>
      <c r="E276" s="9">
        <f t="shared" si="15"/>
        <v>-0.11399868967023365</v>
      </c>
    </row>
    <row r="277" spans="1:5" x14ac:dyDescent="0.25">
      <c r="A277" s="1">
        <f>CCMFUT_F_0_Diário!B276</f>
        <v>45891</v>
      </c>
      <c r="B277" s="2">
        <f>CCMFUT_F_0_Diário!F276</f>
        <v>80.86</v>
      </c>
      <c r="C277" s="9">
        <f t="shared" si="14"/>
        <v>-3.4508257333004822E-3</v>
      </c>
      <c r="D277" s="2">
        <f>MAX($B$3:B277)</f>
        <v>91.58</v>
      </c>
      <c r="E277" s="9">
        <f t="shared" si="15"/>
        <v>-0.11705612579165756</v>
      </c>
    </row>
    <row r="278" spans="1:5" x14ac:dyDescent="0.25">
      <c r="A278" s="1">
        <f>CCMFUT_F_0_Diário!B277</f>
        <v>45894</v>
      </c>
      <c r="B278" s="2">
        <f>CCMFUT_F_0_Diário!F277</f>
        <v>80.849999999999994</v>
      </c>
      <c r="C278" s="9">
        <f t="shared" si="14"/>
        <v>-1.2367054167703581E-4</v>
      </c>
      <c r="D278" s="2">
        <f>MAX($B$3:B278)</f>
        <v>91.58</v>
      </c>
      <c r="E278" s="9">
        <f t="shared" si="15"/>
        <v>-0.11716531993885132</v>
      </c>
    </row>
    <row r="279" spans="1:5" x14ac:dyDescent="0.25">
      <c r="A279" s="1">
        <f>CCMFUT_F_0_Diário!B278</f>
        <v>45895</v>
      </c>
      <c r="B279" s="2">
        <f>CCMFUT_F_0_Diário!F278</f>
        <v>80.89</v>
      </c>
      <c r="C279" s="9">
        <f t="shared" si="14"/>
        <v>4.9474335188628635E-4</v>
      </c>
      <c r="D279" s="2">
        <f>MAX($B$3:B279)</f>
        <v>91.58</v>
      </c>
      <c r="E279" s="9">
        <f t="shared" si="15"/>
        <v>-0.11672854335007642</v>
      </c>
    </row>
    <row r="280" spans="1:5" x14ac:dyDescent="0.25">
      <c r="A280" s="1">
        <f>CCMFUT_F_0_Diário!B279</f>
        <v>45896</v>
      </c>
      <c r="B280" s="2">
        <f>CCMFUT_F_0_Diário!F279</f>
        <v>80.400000000000006</v>
      </c>
      <c r="C280" s="9">
        <f t="shared" si="14"/>
        <v>-6.0576090987760527E-3</v>
      </c>
      <c r="D280" s="2">
        <f>MAX($B$3:B280)</f>
        <v>91.58</v>
      </c>
      <c r="E280" s="9">
        <f t="shared" si="15"/>
        <v>-0.12207905656256816</v>
      </c>
    </row>
    <row r="281" spans="1:5" x14ac:dyDescent="0.25">
      <c r="A281" s="1">
        <f>CCMFUT_F_0_Diário!B280</f>
        <v>45897</v>
      </c>
      <c r="B281" s="2">
        <f>CCMFUT_F_0_Diário!F280</f>
        <v>79.63</v>
      </c>
      <c r="C281" s="9">
        <f t="shared" si="14"/>
        <v>-9.5771144278608226E-3</v>
      </c>
      <c r="D281" s="2">
        <f>MAX($B$3:B281)</f>
        <v>91.58</v>
      </c>
      <c r="E281" s="9">
        <f t="shared" si="15"/>
        <v>-0.13048700589648399</v>
      </c>
    </row>
    <row r="282" spans="1:5" x14ac:dyDescent="0.25">
      <c r="A282" s="1">
        <f>CCMFUT_F_0_Diário!B281</f>
        <v>45898</v>
      </c>
      <c r="B282" s="2">
        <f>CCMFUT_F_0_Diário!F281</f>
        <v>80.069999999999993</v>
      </c>
      <c r="C282" s="9">
        <f t="shared" si="14"/>
        <v>5.5255556950897624E-3</v>
      </c>
      <c r="D282" s="2">
        <f>MAX($B$3:B282)</f>
        <v>91.58</v>
      </c>
      <c r="E282" s="9">
        <f t="shared" si="15"/>
        <v>-0.12568246341996075</v>
      </c>
    </row>
    <row r="283" spans="1:5" x14ac:dyDescent="0.25">
      <c r="A283" s="1">
        <f>CCMFUT_F_0_Diário!B282</f>
        <v>45901</v>
      </c>
      <c r="B283" s="2">
        <f>CCMFUT_F_0_Diário!F282</f>
        <v>79.48</v>
      </c>
      <c r="C283" s="9">
        <f t="shared" si="14"/>
        <v>-7.3685525165478865E-3</v>
      </c>
      <c r="D283" s="2">
        <f>MAX($B$3:B283)</f>
        <v>91.58</v>
      </c>
      <c r="E283" s="9">
        <f t="shared" si="15"/>
        <v>-0.13212491810438953</v>
      </c>
    </row>
    <row r="284" spans="1:5" x14ac:dyDescent="0.25">
      <c r="A284" s="1">
        <f>CCMFUT_F_0_Diário!B283</f>
        <v>45902</v>
      </c>
      <c r="B284" s="2">
        <f>CCMFUT_F_0_Diário!F283</f>
        <v>79.5</v>
      </c>
      <c r="C284" s="9">
        <f t="shared" si="14"/>
        <v>2.5163563160538523E-4</v>
      </c>
      <c r="D284" s="2">
        <f>MAX($B$3:B284)</f>
        <v>91.58</v>
      </c>
      <c r="E284" s="9">
        <f t="shared" si="15"/>
        <v>-0.13190652981000217</v>
      </c>
    </row>
    <row r="285" spans="1:5" x14ac:dyDescent="0.25">
      <c r="A285" s="1">
        <f>CCMFUT_F_0_Diário!B284</f>
        <v>45903</v>
      </c>
      <c r="B285" s="2">
        <f>CCMFUT_F_0_Diário!F284</f>
        <v>79.819999999999993</v>
      </c>
      <c r="C285" s="9">
        <f t="shared" si="14"/>
        <v>4.0251572327043164E-3</v>
      </c>
      <c r="D285" s="2">
        <f>MAX($B$3:B285)</f>
        <v>91.58</v>
      </c>
      <c r="E285" s="9">
        <f t="shared" si="15"/>
        <v>-0.1284123170998035</v>
      </c>
    </row>
    <row r="286" spans="1:5" x14ac:dyDescent="0.25">
      <c r="A286" s="1">
        <f>CCMFUT_F_0_Diário!B285</f>
        <v>45904</v>
      </c>
      <c r="B286" s="2">
        <f>CCMFUT_F_0_Diário!F285</f>
        <v>79.94</v>
      </c>
      <c r="C286" s="9">
        <f t="shared" si="14"/>
        <v>1.5033826108745247E-3</v>
      </c>
      <c r="D286" s="2">
        <f>MAX($B$3:B286)</f>
        <v>91.58</v>
      </c>
      <c r="E286" s="9">
        <f t="shared" si="15"/>
        <v>-0.12710198733347894</v>
      </c>
    </row>
    <row r="287" spans="1:5" x14ac:dyDescent="0.25">
      <c r="A287" s="1">
        <f>CCMFUT_F_0_Diário!B286</f>
        <v>45905</v>
      </c>
      <c r="B287" s="2">
        <f>CCMFUT_F_0_Diário!F286</f>
        <v>79.260000000000005</v>
      </c>
      <c r="C287" s="9">
        <f t="shared" si="14"/>
        <v>-8.5063797848385376E-3</v>
      </c>
      <c r="D287" s="2">
        <f>MAX($B$3:B287)</f>
        <v>91.58</v>
      </c>
      <c r="E287" s="9">
        <f t="shared" si="15"/>
        <v>-0.13452718934265115</v>
      </c>
    </row>
    <row r="288" spans="1:5" x14ac:dyDescent="0.25">
      <c r="A288" s="1">
        <f>CCMFUT_F_0_Diário!B287</f>
        <v>45908</v>
      </c>
      <c r="B288" s="2">
        <f>CCMFUT_F_0_Diário!F287</f>
        <v>79.45</v>
      </c>
      <c r="C288" s="9">
        <f t="shared" si="14"/>
        <v>2.3971738581882122E-3</v>
      </c>
      <c r="D288" s="2">
        <f>MAX($B$3:B288)</f>
        <v>91.58</v>
      </c>
      <c r="E288" s="9">
        <f t="shared" si="15"/>
        <v>-0.13245250054597069</v>
      </c>
    </row>
    <row r="289" spans="1:5" x14ac:dyDescent="0.25">
      <c r="A289" s="1">
        <f>CCMFUT_F_0_Diário!B288</f>
        <v>45909</v>
      </c>
      <c r="B289" s="2">
        <f>CCMFUT_F_0_Diário!F288</f>
        <v>79.430000000000007</v>
      </c>
      <c r="C289" s="9">
        <f t="shared" si="14"/>
        <v>-2.5173064820636904E-4</v>
      </c>
      <c r="D289" s="2">
        <f>MAX($B$3:B289)</f>
        <v>91.58</v>
      </c>
      <c r="E289" s="9">
        <f t="shared" si="15"/>
        <v>-0.13267088884035808</v>
      </c>
    </row>
    <row r="290" spans="1:5" x14ac:dyDescent="0.25">
      <c r="A290" s="1">
        <f>CCMFUT_F_0_Diário!B289</f>
        <v>45910</v>
      </c>
      <c r="B290" s="2">
        <f>CCMFUT_F_0_Diário!F289</f>
        <v>79.23</v>
      </c>
      <c r="C290" s="9">
        <f t="shared" si="14"/>
        <v>-2.5179403248143375E-3</v>
      </c>
      <c r="D290" s="2">
        <f>MAX($B$3:B290)</f>
        <v>91.58</v>
      </c>
      <c r="E290" s="9">
        <f t="shared" si="15"/>
        <v>-0.1348547717842323</v>
      </c>
    </row>
    <row r="291" spans="1:5" x14ac:dyDescent="0.25">
      <c r="A291" s="1">
        <f>CCMFUT_F_0_Diário!B290</f>
        <v>45911</v>
      </c>
      <c r="B291" s="2">
        <f>CCMFUT_F_0_Diário!F290</f>
        <v>79.06</v>
      </c>
      <c r="C291" s="9">
        <f t="shared" si="14"/>
        <v>-2.1456518995330268E-3</v>
      </c>
      <c r="D291" s="2">
        <f>MAX($B$3:B291)</f>
        <v>91.58</v>
      </c>
      <c r="E291" s="9">
        <f t="shared" si="15"/>
        <v>-0.1367110722865254</v>
      </c>
    </row>
    <row r="292" spans="1:5" x14ac:dyDescent="0.25">
      <c r="A292" s="1">
        <f>CCMFUT_F_0_Diário!B291</f>
        <v>45912</v>
      </c>
      <c r="B292" s="2">
        <f>CCMFUT_F_0_Diário!F291</f>
        <v>79.400000000000006</v>
      </c>
      <c r="C292" s="9">
        <f t="shared" si="14"/>
        <v>4.3005312420946549E-3</v>
      </c>
      <c r="D292" s="2">
        <f>MAX($B$3:B292)</f>
        <v>91.58</v>
      </c>
      <c r="E292" s="9">
        <f t="shared" si="15"/>
        <v>-0.1329984712819392</v>
      </c>
    </row>
    <row r="293" spans="1:5" x14ac:dyDescent="0.25">
      <c r="A293" s="1">
        <f>CCMFUT_F_0_Diário!B292</f>
        <v>45915</v>
      </c>
      <c r="B293" s="2">
        <f>CCMFUT_F_0_Diário!F292</f>
        <v>78.42</v>
      </c>
      <c r="C293" s="9">
        <f t="shared" si="14"/>
        <v>-1.234256926952146E-2</v>
      </c>
      <c r="D293" s="2">
        <f>MAX($B$3:B293)</f>
        <v>91.58</v>
      </c>
      <c r="E293" s="9">
        <f t="shared" si="15"/>
        <v>-0.14369949770692286</v>
      </c>
    </row>
    <row r="294" spans="1:5" x14ac:dyDescent="0.25">
      <c r="A294" s="1">
        <f>CCMFUT_F_0_Diário!B293</f>
        <v>45916</v>
      </c>
      <c r="B294" s="2">
        <f>CCMFUT_F_0_Diário!F293</f>
        <v>78.55</v>
      </c>
      <c r="C294" s="9">
        <f t="shared" si="14"/>
        <v>1.6577403723539333E-3</v>
      </c>
      <c r="D294" s="2">
        <f>MAX($B$3:B294)</f>
        <v>91.58</v>
      </c>
      <c r="E294" s="9">
        <f t="shared" si="15"/>
        <v>-0.14227997379340468</v>
      </c>
    </row>
    <row r="295" spans="1:5" x14ac:dyDescent="0.25">
      <c r="A295" s="1">
        <f>CCMFUT_F_0_Diário!B294</f>
        <v>45917</v>
      </c>
      <c r="B295" s="2">
        <f>CCMFUT_F_0_Diário!F294</f>
        <v>78.290000000000006</v>
      </c>
      <c r="C295" s="9">
        <f t="shared" si="14"/>
        <v>-3.3099936346275101E-3</v>
      </c>
      <c r="D295" s="2">
        <f>MAX($B$3:B295)</f>
        <v>91.58</v>
      </c>
      <c r="E295" s="9">
        <f t="shared" si="15"/>
        <v>-0.14511902162044105</v>
      </c>
    </row>
    <row r="296" spans="1:5" x14ac:dyDescent="0.25">
      <c r="A296" s="1">
        <f>CCMFUT_F_0_Diário!B295</f>
        <v>45918</v>
      </c>
      <c r="B296" s="2">
        <f>CCMFUT_F_0_Diário!F295</f>
        <v>78.290000000000006</v>
      </c>
      <c r="C296" s="9">
        <f t="shared" si="14"/>
        <v>0</v>
      </c>
      <c r="D296" s="2">
        <f>MAX($B$3:B296)</f>
        <v>91.58</v>
      </c>
      <c r="E296" s="9">
        <f t="shared" si="15"/>
        <v>-0.14511902162044105</v>
      </c>
    </row>
    <row r="297" spans="1:5" x14ac:dyDescent="0.25">
      <c r="A297" s="1">
        <f>CCMFUT_F_0_Diário!B296</f>
        <v>45919</v>
      </c>
      <c r="B297" s="2">
        <f>CCMFUT_F_0_Diário!F296</f>
        <v>78.41</v>
      </c>
      <c r="C297" s="9">
        <f t="shared" si="14"/>
        <v>1.5327628049558095E-3</v>
      </c>
      <c r="D297" s="2">
        <f>MAX($B$3:B297)</f>
        <v>91.58</v>
      </c>
      <c r="E297" s="9">
        <f t="shared" si="15"/>
        <v>-0.14380869185411663</v>
      </c>
    </row>
    <row r="298" spans="1:5" x14ac:dyDescent="0.25">
      <c r="A298" s="1">
        <f>CCMFUT_F_0_Diário!B297</f>
        <v>45922</v>
      </c>
      <c r="B298" s="2">
        <f>CCMFUT_F_0_Diário!F297</f>
        <v>77.489999999999995</v>
      </c>
      <c r="C298" s="9">
        <f t="shared" si="14"/>
        <v>-1.1733197296263254E-2</v>
      </c>
      <c r="D298" s="2">
        <f>MAX($B$3:B298)</f>
        <v>91.58</v>
      </c>
      <c r="E298" s="9">
        <f t="shared" si="15"/>
        <v>-0.15385455339593801</v>
      </c>
    </row>
    <row r="299" spans="1:5" x14ac:dyDescent="0.25">
      <c r="A299" s="1">
        <f>CCMFUT_F_0_Diário!B298</f>
        <v>45923</v>
      </c>
      <c r="B299" s="2">
        <f>CCMFUT_F_0_Diário!F298</f>
        <v>77.3</v>
      </c>
      <c r="C299" s="9">
        <f t="shared" si="14"/>
        <v>-2.4519292811975447E-3</v>
      </c>
      <c r="D299" s="2">
        <f>MAX($B$3:B299)</f>
        <v>91.58</v>
      </c>
      <c r="E299" s="9">
        <f t="shared" si="15"/>
        <v>-0.1559292421926185</v>
      </c>
    </row>
    <row r="300" spans="1:5" x14ac:dyDescent="0.25">
      <c r="A300" s="1">
        <f>CCMFUT_F_0_Diário!B299</f>
        <v>45924</v>
      </c>
      <c r="B300" s="2">
        <f>CCMFUT_F_0_Diário!F299</f>
        <v>77.040000000000006</v>
      </c>
      <c r="C300" s="9">
        <f t="shared" si="14"/>
        <v>-3.3635187580852641E-3</v>
      </c>
      <c r="D300" s="2">
        <f>MAX($B$3:B300)</f>
        <v>91.58</v>
      </c>
      <c r="E300" s="9">
        <f t="shared" si="15"/>
        <v>-0.15876829001965487</v>
      </c>
    </row>
    <row r="301" spans="1:5" x14ac:dyDescent="0.25">
      <c r="A301" s="1">
        <f>CCMFUT_F_0_Diário!B300</f>
        <v>45925</v>
      </c>
      <c r="B301" s="2">
        <f>CCMFUT_F_0_Diário!F300</f>
        <v>77.37</v>
      </c>
      <c r="C301" s="9">
        <f t="shared" si="14"/>
        <v>4.2834890965731866E-3</v>
      </c>
      <c r="D301" s="2">
        <f>MAX($B$3:B301)</f>
        <v>91.58</v>
      </c>
      <c r="E301" s="9">
        <f t="shared" si="15"/>
        <v>-0.15516488316226243</v>
      </c>
    </row>
    <row r="302" spans="1:5" x14ac:dyDescent="0.25">
      <c r="A302" s="1">
        <f>CCMFUT_F_0_Diário!B301</f>
        <v>45926</v>
      </c>
      <c r="B302" s="2">
        <f>CCMFUT_F_0_Diário!F301</f>
        <v>77.069999999999993</v>
      </c>
      <c r="C302" s="9">
        <f t="shared" si="14"/>
        <v>-3.8774718883289564E-3</v>
      </c>
      <c r="D302" s="2">
        <f>MAX($B$3:B302)</f>
        <v>91.58</v>
      </c>
      <c r="E302" s="9">
        <f t="shared" si="15"/>
        <v>-0.15844070757807388</v>
      </c>
    </row>
    <row r="303" spans="1:5" x14ac:dyDescent="0.25">
      <c r="A303" s="1">
        <f>CCMFUT_F_0_Diário!B302</f>
        <v>45929</v>
      </c>
      <c r="B303" s="2">
        <f>CCMFUT_F_0_Diário!F302</f>
        <v>76.959999999999994</v>
      </c>
      <c r="C303" s="9">
        <f t="shared" si="14"/>
        <v>-1.4272739068379324E-3</v>
      </c>
      <c r="D303" s="2">
        <f>MAX($B$3:B303)</f>
        <v>91.58</v>
      </c>
      <c r="E303" s="9">
        <f t="shared" si="15"/>
        <v>-0.15964184319720467</v>
      </c>
    </row>
    <row r="304" spans="1:5" x14ac:dyDescent="0.25">
      <c r="A304" s="1">
        <f>CCMFUT_F_0_Diário!B303</f>
        <v>45930</v>
      </c>
      <c r="B304" s="2">
        <f>CCMFUT_F_0_Diário!F303</f>
        <v>76</v>
      </c>
      <c r="C304" s="9">
        <f t="shared" si="14"/>
        <v>-1.2474012474012393E-2</v>
      </c>
      <c r="D304" s="2">
        <f>MAX($B$3:B304)</f>
        <v>91.58</v>
      </c>
      <c r="E304" s="9">
        <f t="shared" si="15"/>
        <v>-0.17012448132780081</v>
      </c>
    </row>
    <row r="305" spans="1:5" x14ac:dyDescent="0.25">
      <c r="A305" s="1">
        <f>CCMFUT_F_0_Diário!B304</f>
        <v>45931</v>
      </c>
      <c r="B305" s="2">
        <f>CCMFUT_F_0_Diário!F304</f>
        <v>76.319999999999993</v>
      </c>
      <c r="C305" s="9">
        <f t="shared" si="14"/>
        <v>4.2105263157893843E-3</v>
      </c>
      <c r="D305" s="2">
        <f>MAX($B$3:B305)</f>
        <v>91.58</v>
      </c>
      <c r="E305" s="9">
        <f t="shared" si="15"/>
        <v>-0.16663026861760216</v>
      </c>
    </row>
    <row r="306" spans="1:5" x14ac:dyDescent="0.25">
      <c r="A306" s="1">
        <f>CCMFUT_F_0_Diário!B305</f>
        <v>45932</v>
      </c>
      <c r="B306" s="2">
        <f>CCMFUT_F_0_Diário!F305</f>
        <v>76.459999999999994</v>
      </c>
      <c r="C306" s="9">
        <f t="shared" si="14"/>
        <v>1.8343815513626911E-3</v>
      </c>
      <c r="D306" s="2">
        <f>MAX($B$3:B306)</f>
        <v>91.58</v>
      </c>
      <c r="E306" s="9">
        <f t="shared" si="15"/>
        <v>-0.16510155055689021</v>
      </c>
    </row>
    <row r="307" spans="1:5" x14ac:dyDescent="0.25">
      <c r="A307" s="1">
        <f>CCMFUT_F_0_Diário!B306</f>
        <v>45933</v>
      </c>
      <c r="B307" s="2">
        <f>CCMFUT_F_0_Diário!F306</f>
        <v>76.83</v>
      </c>
      <c r="C307" s="9">
        <f t="shared" si="14"/>
        <v>4.8391315720638841E-3</v>
      </c>
      <c r="D307" s="2">
        <f>MAX($B$3:B307)</f>
        <v>91.58</v>
      </c>
      <c r="E307" s="9">
        <f t="shared" si="15"/>
        <v>-0.16106136711072286</v>
      </c>
    </row>
    <row r="308" spans="1:5" x14ac:dyDescent="0.25">
      <c r="A308" s="1">
        <f>CCMFUT_F_0_Diário!B307</f>
        <v>45936</v>
      </c>
      <c r="B308" s="2">
        <f>CCMFUT_F_0_Diário!F307</f>
        <v>77.28</v>
      </c>
      <c r="C308" s="9">
        <f t="shared" si="14"/>
        <v>5.8570870753612237E-3</v>
      </c>
      <c r="D308" s="2">
        <f>MAX($B$3:B308)</f>
        <v>91.58</v>
      </c>
      <c r="E308" s="9">
        <f t="shared" si="15"/>
        <v>-0.15614763048700586</v>
      </c>
    </row>
    <row r="309" spans="1:5" x14ac:dyDescent="0.25">
      <c r="A309" s="1">
        <f>CCMFUT_F_0_Diário!B308</f>
        <v>45937</v>
      </c>
      <c r="B309" s="2">
        <f>CCMFUT_F_0_Diário!F308</f>
        <v>77.239999999999995</v>
      </c>
      <c r="C309" s="9">
        <f t="shared" si="14"/>
        <v>-5.1759834368538113E-4</v>
      </c>
      <c r="D309" s="2">
        <f>MAX($B$3:B309)</f>
        <v>91.58</v>
      </c>
      <c r="E309" s="9">
        <f t="shared" si="15"/>
        <v>-0.15658440707578078</v>
      </c>
    </row>
    <row r="310" spans="1:5" x14ac:dyDescent="0.25">
      <c r="A310" s="1">
        <f>CCMFUT_F_0_Diário!B309</f>
        <v>45938</v>
      </c>
      <c r="B310" s="2">
        <f>CCMFUT_F_0_Diário!F309</f>
        <v>77.53</v>
      </c>
      <c r="C310" s="9">
        <f t="shared" si="14"/>
        <v>3.7545313309167048E-3</v>
      </c>
      <c r="D310" s="2">
        <f>MAX($B$3:B310)</f>
        <v>91.58</v>
      </c>
      <c r="E310" s="9">
        <f t="shared" si="15"/>
        <v>-0.15341777680716312</v>
      </c>
    </row>
    <row r="311" spans="1:5" x14ac:dyDescent="0.25">
      <c r="A311" s="1">
        <f>CCMFUT_F_0_Diário!B310</f>
        <v>45939</v>
      </c>
      <c r="B311" s="2">
        <f>CCMFUT_F_0_Diário!F310</f>
        <v>78.31</v>
      </c>
      <c r="C311" s="9">
        <f t="shared" si="14"/>
        <v>1.0060621694827823E-2</v>
      </c>
      <c r="D311" s="2">
        <f>MAX($B$3:B311)</f>
        <v>91.58</v>
      </c>
      <c r="E311" s="9">
        <f t="shared" si="15"/>
        <v>-0.14490063332605368</v>
      </c>
    </row>
    <row r="312" spans="1:5" x14ac:dyDescent="0.25">
      <c r="A312" s="1">
        <f>CCMFUT_F_0_Diário!B311</f>
        <v>45940</v>
      </c>
      <c r="B312" s="2">
        <f>CCMFUT_F_0_Diário!F311</f>
        <v>79.02</v>
      </c>
      <c r="C312" s="9">
        <f t="shared" si="14"/>
        <v>9.0665304558803957E-3</v>
      </c>
      <c r="D312" s="2">
        <f>MAX($B$3:B312)</f>
        <v>91.58</v>
      </c>
      <c r="E312" s="9">
        <f t="shared" si="15"/>
        <v>-0.13714784887530032</v>
      </c>
    </row>
    <row r="313" spans="1:5" x14ac:dyDescent="0.25">
      <c r="A313" s="1">
        <f>CCMFUT_F_0_Diário!B312</f>
        <v>45943</v>
      </c>
      <c r="B313" s="2">
        <f>CCMFUT_F_0_Diário!F312</f>
        <v>78.23</v>
      </c>
      <c r="C313" s="9">
        <f t="shared" si="14"/>
        <v>-9.9974689951909911E-3</v>
      </c>
      <c r="D313" s="2">
        <f>MAX($B$3:B313)</f>
        <v>91.58</v>
      </c>
      <c r="E313" s="9">
        <f t="shared" si="15"/>
        <v>-0.14577418650360335</v>
      </c>
    </row>
    <row r="314" spans="1:5" x14ac:dyDescent="0.25">
      <c r="A314" s="1">
        <f>CCMFUT_F_0_Diário!B313</f>
        <v>45944</v>
      </c>
      <c r="B314" s="2">
        <f>CCMFUT_F_0_Diário!F313</f>
        <v>78.989999999999995</v>
      </c>
      <c r="C314" s="9">
        <f t="shared" si="14"/>
        <v>9.714943116451373E-3</v>
      </c>
      <c r="D314" s="2">
        <f>MAX($B$3:B314)</f>
        <v>91.58</v>
      </c>
      <c r="E314" s="9">
        <f t="shared" si="15"/>
        <v>-0.13747543131688145</v>
      </c>
    </row>
    <row r="315" spans="1:5" x14ac:dyDescent="0.25">
      <c r="A315" s="1">
        <f>CCMFUT_F_0_Diário!B314</f>
        <v>45945</v>
      </c>
      <c r="B315" s="2">
        <f>CCMFUT_F_0_Diário!F314</f>
        <v>78.64</v>
      </c>
      <c r="C315" s="9">
        <f t="shared" si="14"/>
        <v>-4.4309406253955482E-3</v>
      </c>
      <c r="D315" s="2">
        <f>MAX($B$3:B315)</f>
        <v>91.58</v>
      </c>
      <c r="E315" s="9">
        <f t="shared" si="15"/>
        <v>-0.14129722646866125</v>
      </c>
    </row>
    <row r="316" spans="1:5" x14ac:dyDescent="0.25">
      <c r="A316" s="1">
        <f>CCMFUT_F_0_Diário!B315</f>
        <v>45946</v>
      </c>
      <c r="B316" s="2">
        <f>CCMFUT_F_0_Diário!F315</f>
        <v>79.069999999999993</v>
      </c>
      <c r="C316" s="9">
        <f t="shared" si="14"/>
        <v>5.4679552390639952E-3</v>
      </c>
      <c r="D316" s="2">
        <f>MAX($B$3:B316)</f>
        <v>91.58</v>
      </c>
      <c r="E316" s="9">
        <f t="shared" si="15"/>
        <v>-0.13660187813933178</v>
      </c>
    </row>
    <row r="317" spans="1:5" x14ac:dyDescent="0.25">
      <c r="A317" s="1">
        <f>CCMFUT_F_0_Diário!B316</f>
        <v>45947</v>
      </c>
      <c r="B317" s="2">
        <f>CCMFUT_F_0_Diário!F316</f>
        <v>79.709999999999994</v>
      </c>
      <c r="C317" s="9">
        <f t="shared" si="14"/>
        <v>8.0940938409004761E-3</v>
      </c>
      <c r="D317" s="2">
        <f>MAX($B$3:B317)</f>
        <v>91.58</v>
      </c>
      <c r="E317" s="9">
        <f t="shared" si="15"/>
        <v>-0.12961345271893432</v>
      </c>
    </row>
    <row r="318" spans="1:5" x14ac:dyDescent="0.25">
      <c r="A318" s="1">
        <f>CCMFUT_F_0_Diário!B317</f>
        <v>45950</v>
      </c>
      <c r="B318" s="2">
        <f>CCMFUT_F_0_Diário!F317</f>
        <v>80.319999999999993</v>
      </c>
      <c r="C318" s="9">
        <f t="shared" si="14"/>
        <v>7.6527411868021512E-3</v>
      </c>
      <c r="D318" s="2">
        <f>MAX($B$3:B318)</f>
        <v>91.58</v>
      </c>
      <c r="E318" s="9">
        <f t="shared" si="15"/>
        <v>-0.12295260974011799</v>
      </c>
    </row>
    <row r="319" spans="1:5" x14ac:dyDescent="0.25">
      <c r="A319" s="1">
        <f>CCMFUT_F_0_Diário!B318</f>
        <v>45951</v>
      </c>
      <c r="B319" s="2">
        <f>CCMFUT_F_0_Diário!F318</f>
        <v>79.73</v>
      </c>
      <c r="C319" s="9">
        <f t="shared" si="14"/>
        <v>-7.3456175298803441E-3</v>
      </c>
      <c r="D319" s="2">
        <f>MAX($B$3:B319)</f>
        <v>91.58</v>
      </c>
      <c r="E319" s="9">
        <f t="shared" si="15"/>
        <v>-0.12939506442454679</v>
      </c>
    </row>
    <row r="320" spans="1:5" x14ac:dyDescent="0.25">
      <c r="A320" s="1">
        <f>CCMFUT_F_0_Diário!B319</f>
        <v>45952</v>
      </c>
      <c r="B320" s="2">
        <f>CCMFUT_F_0_Diário!F319</f>
        <v>79.849999999999994</v>
      </c>
      <c r="C320" s="9">
        <f t="shared" si="14"/>
        <v>1.5050796437976965E-3</v>
      </c>
      <c r="D320" s="2">
        <f>MAX($B$3:B320)</f>
        <v>91.58</v>
      </c>
      <c r="E320" s="9">
        <f t="shared" si="15"/>
        <v>-0.12808473465822237</v>
      </c>
    </row>
    <row r="321" spans="1:5" x14ac:dyDescent="0.25">
      <c r="A321" s="1">
        <f>CCMFUT_F_0_Diário!B320</f>
        <v>45953</v>
      </c>
      <c r="B321" s="2">
        <f>CCMFUT_F_0_Diário!F320</f>
        <v>78.23</v>
      </c>
      <c r="C321" s="9">
        <f t="shared" si="14"/>
        <v>-2.0288040075140769E-2</v>
      </c>
      <c r="D321" s="2">
        <f>MAX($B$3:B321)</f>
        <v>91.58</v>
      </c>
      <c r="E321" s="9">
        <f t="shared" si="15"/>
        <v>-0.14577418650360335</v>
      </c>
    </row>
    <row r="322" spans="1:5" x14ac:dyDescent="0.25">
      <c r="A322" s="1">
        <f>CCMFUT_F_0_Diário!B321</f>
        <v>45954</v>
      </c>
      <c r="B322" s="2">
        <f>CCMFUT_F_0_Diário!F321</f>
        <v>78.23</v>
      </c>
      <c r="C322" s="9">
        <f t="shared" si="14"/>
        <v>0</v>
      </c>
      <c r="D322" s="2">
        <f>MAX($B$3:B322)</f>
        <v>91.58</v>
      </c>
      <c r="E322" s="9">
        <f t="shared" si="15"/>
        <v>-0.14577418650360335</v>
      </c>
    </row>
    <row r="323" spans="1:5" x14ac:dyDescent="0.25">
      <c r="A323" s="1">
        <f>CCMFUT_F_0_Diário!B322</f>
        <v>45957</v>
      </c>
      <c r="B323" s="2">
        <f>CCMFUT_F_0_Diário!F322</f>
        <v>79.05</v>
      </c>
      <c r="C323" s="9">
        <f t="shared" si="14"/>
        <v>1.0481912309855467E-2</v>
      </c>
      <c r="D323" s="2">
        <f>MAX($B$3:B323)</f>
        <v>91.58</v>
      </c>
      <c r="E323" s="9">
        <f t="shared" si="15"/>
        <v>-0.13682026643371917</v>
      </c>
    </row>
    <row r="324" spans="1:5" x14ac:dyDescent="0.25">
      <c r="A324" s="1">
        <f>CCMFUT_F_0_Diário!B323</f>
        <v>45958</v>
      </c>
      <c r="B324" s="2">
        <f>CCMFUT_F_0_Diário!F323</f>
        <v>78.63</v>
      </c>
      <c r="C324" s="9">
        <f t="shared" si="14"/>
        <v>-5.3130929791271563E-3</v>
      </c>
      <c r="D324" s="2">
        <f>MAX($B$3:B324)</f>
        <v>91.58</v>
      </c>
      <c r="E324" s="9">
        <f t="shared" si="15"/>
        <v>-0.14140642061585501</v>
      </c>
    </row>
    <row r="325" spans="1:5" x14ac:dyDescent="0.25">
      <c r="A325" s="1">
        <f>CCMFUT_F_0_Diário!B324</f>
        <v>45959</v>
      </c>
      <c r="B325" s="2">
        <f>CCMFUT_F_0_Diário!F324</f>
        <v>79.709999999999994</v>
      </c>
      <c r="C325" s="9">
        <f t="shared" ref="C325:C388" si="16">(B325-B324)/B324</f>
        <v>1.3735215566577622E-2</v>
      </c>
      <c r="D325" s="2">
        <f>MAX($B$3:B325)</f>
        <v>91.58</v>
      </c>
      <c r="E325" s="9">
        <f t="shared" ref="E325:E388" si="17">(B325-D325)/D325</f>
        <v>-0.12961345271893432</v>
      </c>
    </row>
    <row r="326" spans="1:5" x14ac:dyDescent="0.25">
      <c r="A326" s="1">
        <f>CCMFUT_F_0_Diário!B325</f>
        <v>45960</v>
      </c>
      <c r="B326" s="2">
        <f>CCMFUT_F_0_Diário!F325</f>
        <v>78.77</v>
      </c>
      <c r="C326" s="9">
        <f t="shared" si="16"/>
        <v>-1.1792748714088544E-2</v>
      </c>
      <c r="D326" s="2">
        <f>MAX($B$3:B326)</f>
        <v>91.58</v>
      </c>
      <c r="E326" s="9">
        <f t="shared" si="17"/>
        <v>-0.13987770255514306</v>
      </c>
    </row>
    <row r="327" spans="1:5" x14ac:dyDescent="0.25">
      <c r="A327" s="1">
        <f>CCMFUT_F_0_Diário!B326</f>
        <v>45961</v>
      </c>
      <c r="B327" s="2">
        <f>CCMFUT_F_0_Diário!F326</f>
        <v>79.209999999999994</v>
      </c>
      <c r="C327" s="9">
        <f t="shared" si="16"/>
        <v>5.5858829503617844E-3</v>
      </c>
      <c r="D327" s="2">
        <f>MAX($B$3:B327)</f>
        <v>91.58</v>
      </c>
      <c r="E327" s="9">
        <f t="shared" si="17"/>
        <v>-0.13507316007861983</v>
      </c>
    </row>
    <row r="328" spans="1:5" x14ac:dyDescent="0.25">
      <c r="A328" s="1">
        <f>CCMFUT_F_0_Diário!B327</f>
        <v>45964</v>
      </c>
      <c r="B328" s="2">
        <f>CCMFUT_F_0_Diário!F327</f>
        <v>79.64</v>
      </c>
      <c r="C328" s="9">
        <f t="shared" si="16"/>
        <v>5.4286074990532365E-3</v>
      </c>
      <c r="D328" s="2">
        <f>MAX($B$3:B328)</f>
        <v>91.58</v>
      </c>
      <c r="E328" s="9">
        <f t="shared" si="17"/>
        <v>-0.13037781174929022</v>
      </c>
    </row>
    <row r="329" spans="1:5" x14ac:dyDescent="0.25">
      <c r="A329" s="1">
        <f>CCMFUT_F_0_Diário!B328</f>
        <v>45965</v>
      </c>
      <c r="B329" s="2">
        <f>CCMFUT_F_0_Diário!F328</f>
        <v>79.31</v>
      </c>
      <c r="C329" s="9">
        <f t="shared" si="16"/>
        <v>-4.1436464088397571E-3</v>
      </c>
      <c r="D329" s="2">
        <f>MAX($B$3:B329)</f>
        <v>91.58</v>
      </c>
      <c r="E329" s="9">
        <f t="shared" si="17"/>
        <v>-0.13398121860668263</v>
      </c>
    </row>
    <row r="330" spans="1:5" x14ac:dyDescent="0.25">
      <c r="A330" s="1">
        <f>CCMFUT_F_0_Diário!B329</f>
        <v>45966</v>
      </c>
      <c r="B330" s="2">
        <f>CCMFUT_F_0_Diário!F329</f>
        <v>79.680000000000007</v>
      </c>
      <c r="C330" s="9">
        <f t="shared" si="16"/>
        <v>4.6652376749464703E-3</v>
      </c>
      <c r="D330" s="2">
        <f>MAX($B$3:B330)</f>
        <v>91.58</v>
      </c>
      <c r="E330" s="9">
        <f t="shared" si="17"/>
        <v>-0.12994103516051531</v>
      </c>
    </row>
    <row r="331" spans="1:5" x14ac:dyDescent="0.25">
      <c r="A331" s="1">
        <f>CCMFUT_F_0_Diário!B330</f>
        <v>45967</v>
      </c>
      <c r="B331" s="2">
        <f>CCMFUT_F_0_Diário!F330</f>
        <v>79.400000000000006</v>
      </c>
      <c r="C331" s="9">
        <f t="shared" si="16"/>
        <v>-3.5140562248996122E-3</v>
      </c>
      <c r="D331" s="2">
        <f>MAX($B$3:B331)</f>
        <v>91.58</v>
      </c>
      <c r="E331" s="9">
        <f t="shared" si="17"/>
        <v>-0.1329984712819392</v>
      </c>
    </row>
    <row r="332" spans="1:5" x14ac:dyDescent="0.25">
      <c r="A332" s="1">
        <f>CCMFUT_F_0_Diário!B331</f>
        <v>45968</v>
      </c>
      <c r="B332" s="2">
        <f>CCMFUT_F_0_Diário!F331</f>
        <v>78.84</v>
      </c>
      <c r="C332" s="9">
        <f t="shared" si="16"/>
        <v>-7.0528967254408345E-3</v>
      </c>
      <c r="D332" s="2">
        <f>MAX($B$3:B332)</f>
        <v>91.58</v>
      </c>
      <c r="E332" s="9">
        <f t="shared" si="17"/>
        <v>-0.13911334352478702</v>
      </c>
    </row>
    <row r="333" spans="1:5" x14ac:dyDescent="0.25">
      <c r="A333" s="1">
        <f>CCMFUT_F_0_Diário!B332</f>
        <v>45971</v>
      </c>
      <c r="B333" s="2">
        <f>CCMFUT_F_0_Diário!F332</f>
        <v>78.930000000000007</v>
      </c>
      <c r="C333" s="9">
        <f t="shared" si="16"/>
        <v>1.1415525114155684E-3</v>
      </c>
      <c r="D333" s="2">
        <f>MAX($B$3:B333)</f>
        <v>91.58</v>
      </c>
      <c r="E333" s="9">
        <f t="shared" si="17"/>
        <v>-0.13813059620004359</v>
      </c>
    </row>
    <row r="334" spans="1:5" x14ac:dyDescent="0.25">
      <c r="A334" s="1">
        <f>CCMFUT_F_0_Diário!B333</f>
        <v>45972</v>
      </c>
      <c r="B334" s="2">
        <f>CCMFUT_F_0_Diário!F333</f>
        <v>78.900000000000006</v>
      </c>
      <c r="C334" s="9">
        <f t="shared" si="16"/>
        <v>-3.8008361839606149E-4</v>
      </c>
      <c r="D334" s="2">
        <f>MAX($B$3:B334)</f>
        <v>91.58</v>
      </c>
      <c r="E334" s="9">
        <f t="shared" si="17"/>
        <v>-0.13845817864162474</v>
      </c>
    </row>
    <row r="335" spans="1:5" x14ac:dyDescent="0.25">
      <c r="A335" s="1">
        <f>CCMFUT_F_0_Diário!B334</f>
        <v>45973</v>
      </c>
      <c r="B335" s="2">
        <f>CCMFUT_F_0_Diário!F334</f>
        <v>79.23</v>
      </c>
      <c r="C335" s="9">
        <f t="shared" si="16"/>
        <v>4.1825095057034002E-3</v>
      </c>
      <c r="D335" s="2">
        <f>MAX($B$3:B335)</f>
        <v>91.58</v>
      </c>
      <c r="E335" s="9">
        <f t="shared" si="17"/>
        <v>-0.1348547717842323</v>
      </c>
    </row>
    <row r="336" spans="1:5" x14ac:dyDescent="0.25">
      <c r="A336" s="1">
        <f>CCMFUT_F_0_Diário!B335</f>
        <v>45974</v>
      </c>
      <c r="B336" s="2">
        <f>CCMFUT_F_0_Diário!F335</f>
        <v>79.510000000000005</v>
      </c>
      <c r="C336" s="9">
        <f t="shared" si="16"/>
        <v>3.5340148933484931E-3</v>
      </c>
      <c r="D336" s="2">
        <f>MAX($B$3:B336)</f>
        <v>91.58</v>
      </c>
      <c r="E336" s="9">
        <f t="shared" si="17"/>
        <v>-0.13179733566280841</v>
      </c>
    </row>
    <row r="337" spans="1:5" x14ac:dyDescent="0.25">
      <c r="A337" s="1">
        <f>CCMFUT_F_0_Diário!B336</f>
        <v>45975</v>
      </c>
      <c r="B337" s="2">
        <f>CCMFUT_F_0_Diário!F336</f>
        <v>79.459999999999994</v>
      </c>
      <c r="C337" s="9">
        <f t="shared" si="16"/>
        <v>-6.2885171676532975E-4</v>
      </c>
      <c r="D337" s="2">
        <f>MAX($B$3:B337)</f>
        <v>91.58</v>
      </c>
      <c r="E337" s="9">
        <f t="shared" si="17"/>
        <v>-0.13234330639877709</v>
      </c>
    </row>
    <row r="338" spans="1:5" x14ac:dyDescent="0.25">
      <c r="A338" s="1">
        <f>CCMFUT_F_0_Diário!B337</f>
        <v>45978</v>
      </c>
      <c r="B338" s="2">
        <f>CCMFUT_F_0_Diário!F337</f>
        <v>80.040000000000006</v>
      </c>
      <c r="C338" s="9">
        <f t="shared" si="16"/>
        <v>7.2992700729928583E-3</v>
      </c>
      <c r="D338" s="2">
        <f>MAX($B$3:B338)</f>
        <v>91.58</v>
      </c>
      <c r="E338" s="9">
        <f t="shared" si="17"/>
        <v>-0.12601004586154174</v>
      </c>
    </row>
    <row r="339" spans="1:5" x14ac:dyDescent="0.25">
      <c r="A339" s="1">
        <f>CCMFUT_F_0_Diário!B338</f>
        <v>45979</v>
      </c>
      <c r="B339" s="2">
        <f>CCMFUT_F_0_Diário!F338</f>
        <v>79.849999999999994</v>
      </c>
      <c r="C339" s="9">
        <f t="shared" si="16"/>
        <v>-2.3738130934534223E-3</v>
      </c>
      <c r="D339" s="2">
        <f>MAX($B$3:B339)</f>
        <v>91.58</v>
      </c>
      <c r="E339" s="9">
        <f t="shared" si="17"/>
        <v>-0.12808473465822237</v>
      </c>
    </row>
    <row r="340" spans="1:5" x14ac:dyDescent="0.25">
      <c r="A340" s="1">
        <f>CCMFUT_F_0_Diário!B339</f>
        <v>45980</v>
      </c>
      <c r="B340" s="2">
        <f>CCMFUT_F_0_Diário!F339</f>
        <v>79.400000000000006</v>
      </c>
      <c r="C340" s="9">
        <f t="shared" si="16"/>
        <v>-5.6355666875389943E-3</v>
      </c>
      <c r="D340" s="2">
        <f>MAX($B$3:B340)</f>
        <v>91.58</v>
      </c>
      <c r="E340" s="9">
        <f t="shared" si="17"/>
        <v>-0.1329984712819392</v>
      </c>
    </row>
    <row r="341" spans="1:5" x14ac:dyDescent="0.25">
      <c r="A341" s="1">
        <f>CCMFUT_F_0_Diário!B340</f>
        <v>45982</v>
      </c>
      <c r="B341" s="2">
        <f>CCMFUT_F_0_Diário!F340</f>
        <v>79.739999999999995</v>
      </c>
      <c r="C341" s="9">
        <f t="shared" si="16"/>
        <v>4.2821158690174955E-3</v>
      </c>
      <c r="D341" s="2">
        <f>MAX($B$3:B341)</f>
        <v>91.58</v>
      </c>
      <c r="E341" s="9">
        <f t="shared" si="17"/>
        <v>-0.12928587027735317</v>
      </c>
    </row>
    <row r="342" spans="1:5" x14ac:dyDescent="0.25">
      <c r="A342" s="1">
        <f>CCMFUT_F_0_Diário!B341</f>
        <v>45985</v>
      </c>
      <c r="B342" s="2">
        <f>CCMFUT_F_0_Diário!F341</f>
        <v>79.75</v>
      </c>
      <c r="C342" s="9">
        <f t="shared" si="16"/>
        <v>1.2540757461757107E-4</v>
      </c>
      <c r="D342" s="2">
        <f>MAX($B$3:B342)</f>
        <v>91.58</v>
      </c>
      <c r="E342" s="9">
        <f t="shared" si="17"/>
        <v>-0.1291766761301594</v>
      </c>
    </row>
    <row r="343" spans="1:5" x14ac:dyDescent="0.25">
      <c r="A343" s="1">
        <f>CCMFUT_F_0_Diário!B342</f>
        <v>45986</v>
      </c>
      <c r="B343" s="2">
        <f>CCMFUT_F_0_Diário!F342</f>
        <v>80.59</v>
      </c>
      <c r="C343" s="9">
        <f t="shared" si="16"/>
        <v>1.053291536050161E-2</v>
      </c>
      <c r="D343" s="2">
        <f>MAX($B$3:B343)</f>
        <v>91.58</v>
      </c>
      <c r="E343" s="9">
        <f t="shared" si="17"/>
        <v>-0.1200043677658877</v>
      </c>
    </row>
    <row r="344" spans="1:5" x14ac:dyDescent="0.25">
      <c r="A344" s="1">
        <f>CCMFUT_F_0_Diário!B343</f>
        <v>45987</v>
      </c>
      <c r="B344" s="2">
        <f>CCMFUT_F_0_Diário!F343</f>
        <v>82.06</v>
      </c>
      <c r="C344" s="9">
        <f t="shared" si="16"/>
        <v>1.8240476485916351E-2</v>
      </c>
      <c r="D344" s="2">
        <f>MAX($B$3:B344)</f>
        <v>91.58</v>
      </c>
      <c r="E344" s="9">
        <f t="shared" si="17"/>
        <v>-0.10395282812841228</v>
      </c>
    </row>
    <row r="345" spans="1:5" x14ac:dyDescent="0.25">
      <c r="A345" s="1">
        <f>CCMFUT_F_0_Diário!B344</f>
        <v>45988</v>
      </c>
      <c r="B345" s="2">
        <f>CCMFUT_F_0_Diário!F344</f>
        <v>82.3</v>
      </c>
      <c r="C345" s="9">
        <f t="shared" si="16"/>
        <v>2.9246892517669374E-3</v>
      </c>
      <c r="D345" s="2">
        <f>MAX($B$3:B345)</f>
        <v>91.58</v>
      </c>
      <c r="E345" s="9">
        <f t="shared" si="17"/>
        <v>-0.10133216859576329</v>
      </c>
    </row>
    <row r="346" spans="1:5" x14ac:dyDescent="0.25">
      <c r="A346" s="1">
        <f>CCMFUT_F_0_Diário!B345</f>
        <v>45989</v>
      </c>
      <c r="B346" s="2">
        <f>CCMFUT_F_0_Diário!F345</f>
        <v>81.99</v>
      </c>
      <c r="C346" s="9">
        <f t="shared" si="16"/>
        <v>-3.7667071688943171E-3</v>
      </c>
      <c r="D346" s="2">
        <f>MAX($B$3:B346)</f>
        <v>91.58</v>
      </c>
      <c r="E346" s="9">
        <f t="shared" si="17"/>
        <v>-0.10471718715876834</v>
      </c>
    </row>
    <row r="347" spans="1:5" x14ac:dyDescent="0.25">
      <c r="A347" s="1">
        <f>CCMFUT_F_0_Diário!B346</f>
        <v>45992</v>
      </c>
      <c r="B347" s="2">
        <f>CCMFUT_F_0_Diário!F346</f>
        <v>83.12</v>
      </c>
      <c r="C347" s="9">
        <f t="shared" si="16"/>
        <v>1.3782168557141233E-2</v>
      </c>
      <c r="D347" s="2">
        <f>MAX($B$3:B347)</f>
        <v>91.58</v>
      </c>
      <c r="E347" s="9">
        <f t="shared" si="17"/>
        <v>-9.2378248525878948E-2</v>
      </c>
    </row>
    <row r="348" spans="1:5" x14ac:dyDescent="0.25">
      <c r="A348" s="1">
        <f>CCMFUT_F_0_Diário!B347</f>
        <v>45993</v>
      </c>
      <c r="B348" s="2">
        <f>CCMFUT_F_0_Diário!F347</f>
        <v>85.11</v>
      </c>
      <c r="C348" s="9">
        <f t="shared" si="16"/>
        <v>2.3941289701636125E-2</v>
      </c>
      <c r="D348" s="2">
        <f>MAX($B$3:B348)</f>
        <v>91.58</v>
      </c>
      <c r="E348" s="9">
        <f t="shared" si="17"/>
        <v>-7.0648613234330623E-2</v>
      </c>
    </row>
    <row r="349" spans="1:5" x14ac:dyDescent="0.25">
      <c r="A349" s="1">
        <f>CCMFUT_F_0_Diário!B348</f>
        <v>45994</v>
      </c>
      <c r="B349" s="2">
        <f>CCMFUT_F_0_Diário!F348</f>
        <v>83.99</v>
      </c>
      <c r="C349" s="9">
        <f t="shared" si="16"/>
        <v>-1.3159440723769294E-2</v>
      </c>
      <c r="D349" s="2">
        <f>MAX($B$3:B349)</f>
        <v>91.58</v>
      </c>
      <c r="E349" s="9">
        <f t="shared" si="17"/>
        <v>-8.2878357720026247E-2</v>
      </c>
    </row>
    <row r="350" spans="1:5" x14ac:dyDescent="0.25">
      <c r="A350" s="1">
        <f>CCMFUT_F_0_Diário!B349</f>
        <v>45995</v>
      </c>
      <c r="B350" s="2">
        <f>CCMFUT_F_0_Diário!F349</f>
        <v>83.27</v>
      </c>
      <c r="C350" s="9">
        <f t="shared" si="16"/>
        <v>-8.57244910108345E-3</v>
      </c>
      <c r="D350" s="2">
        <f>MAX($B$3:B350)</f>
        <v>91.58</v>
      </c>
      <c r="E350" s="9">
        <f t="shared" si="17"/>
        <v>-9.0740336317973389E-2</v>
      </c>
    </row>
    <row r="351" spans="1:5" x14ac:dyDescent="0.25">
      <c r="A351" s="1">
        <f>CCMFUT_F_0_Diário!B350</f>
        <v>45996</v>
      </c>
      <c r="B351" s="2">
        <f>CCMFUT_F_0_Diário!F350</f>
        <v>82.93</v>
      </c>
      <c r="C351" s="9">
        <f t="shared" si="16"/>
        <v>-4.083103158400255E-3</v>
      </c>
      <c r="D351" s="2">
        <f>MAX($B$3:B351)</f>
        <v>91.58</v>
      </c>
      <c r="E351" s="9">
        <f t="shared" si="17"/>
        <v>-9.4452937322559424E-2</v>
      </c>
    </row>
    <row r="352" spans="1:5" x14ac:dyDescent="0.25">
      <c r="A352" s="1">
        <f>CCMFUT_F_0_Diário!B351</f>
        <v>45999</v>
      </c>
      <c r="B352" s="2">
        <f>CCMFUT_F_0_Diário!F351</f>
        <v>83.43</v>
      </c>
      <c r="C352" s="9">
        <f t="shared" si="16"/>
        <v>6.0291812371879895E-3</v>
      </c>
      <c r="D352" s="2">
        <f>MAX($B$3:B352)</f>
        <v>91.58</v>
      </c>
      <c r="E352" s="9">
        <f t="shared" si="17"/>
        <v>-8.8993229962873899E-2</v>
      </c>
    </row>
    <row r="353" spans="1:5" x14ac:dyDescent="0.25">
      <c r="A353" s="1">
        <f>CCMFUT_F_0_Diário!B352</f>
        <v>46000</v>
      </c>
      <c r="B353" s="2">
        <f>CCMFUT_F_0_Diário!F352</f>
        <v>83.51</v>
      </c>
      <c r="C353" s="9">
        <f t="shared" si="16"/>
        <v>9.5888769027925548E-4</v>
      </c>
      <c r="D353" s="2">
        <f>MAX($B$3:B353)</f>
        <v>91.58</v>
      </c>
      <c r="E353" s="9">
        <f t="shared" si="17"/>
        <v>-8.811967678532423E-2</v>
      </c>
    </row>
    <row r="354" spans="1:5" x14ac:dyDescent="0.25">
      <c r="A354" s="1">
        <f>CCMFUT_F_0_Diário!B353</f>
        <v>46001</v>
      </c>
      <c r="B354" s="2">
        <f>CCMFUT_F_0_Diário!F353</f>
        <v>81.64</v>
      </c>
      <c r="C354" s="9">
        <f t="shared" si="16"/>
        <v>-2.2392527840977183E-2</v>
      </c>
      <c r="D354" s="2">
        <f>MAX($B$3:B354)</f>
        <v>91.58</v>
      </c>
      <c r="E354" s="9">
        <f t="shared" si="17"/>
        <v>-0.10853898231054813</v>
      </c>
    </row>
    <row r="355" spans="1:5" x14ac:dyDescent="0.25">
      <c r="A355" s="1">
        <f>CCMFUT_F_0_Diário!B354</f>
        <v>46002</v>
      </c>
      <c r="B355" s="2">
        <f>CCMFUT_F_0_Diário!F354</f>
        <v>80.97</v>
      </c>
      <c r="C355" s="9">
        <f t="shared" si="16"/>
        <v>-8.2067613914747883E-3</v>
      </c>
      <c r="D355" s="2">
        <f>MAX($B$3:B355)</f>
        <v>91.58</v>
      </c>
      <c r="E355" s="9">
        <f t="shared" si="17"/>
        <v>-0.11585499017252675</v>
      </c>
    </row>
    <row r="356" spans="1:5" x14ac:dyDescent="0.25">
      <c r="A356" s="1">
        <f>CCMFUT_F_0_Diário!B355</f>
        <v>46003</v>
      </c>
      <c r="B356" s="2">
        <f>CCMFUT_F_0_Diário!F355</f>
        <v>80.63</v>
      </c>
      <c r="C356" s="9">
        <f t="shared" si="16"/>
        <v>-4.1990860812647079E-3</v>
      </c>
      <c r="D356" s="2">
        <f>MAX($B$3:B356)</f>
        <v>91.58</v>
      </c>
      <c r="E356" s="9">
        <f t="shared" si="17"/>
        <v>-0.11956759117711294</v>
      </c>
    </row>
    <row r="357" spans="1:5" x14ac:dyDescent="0.25">
      <c r="A357" s="1">
        <f>CCMFUT_F_0_Diário!B356</f>
        <v>46006</v>
      </c>
      <c r="B357" s="2">
        <f>CCMFUT_F_0_Diário!F356</f>
        <v>80.069999999999993</v>
      </c>
      <c r="C357" s="9">
        <f t="shared" si="16"/>
        <v>-6.9453057174749143E-3</v>
      </c>
      <c r="D357" s="2">
        <f>MAX($B$3:B357)</f>
        <v>91.58</v>
      </c>
      <c r="E357" s="9">
        <f t="shared" si="17"/>
        <v>-0.12568246341996075</v>
      </c>
    </row>
    <row r="358" spans="1:5" x14ac:dyDescent="0.25">
      <c r="A358" s="1">
        <f>CCMFUT_F_0_Diário!B357</f>
        <v>46007</v>
      </c>
      <c r="B358" s="2">
        <f>CCMFUT_F_0_Diário!F357</f>
        <v>80.459999999999994</v>
      </c>
      <c r="C358" s="9">
        <f t="shared" si="16"/>
        <v>4.8707381041588685E-3</v>
      </c>
      <c r="D358" s="2">
        <f>MAX($B$3:B358)</f>
        <v>91.58</v>
      </c>
      <c r="E358" s="9">
        <f t="shared" si="17"/>
        <v>-0.12142389167940604</v>
      </c>
    </row>
    <row r="359" spans="1:5" x14ac:dyDescent="0.25">
      <c r="A359" s="1">
        <f>CCMFUT_F_0_Diário!B358</f>
        <v>46008</v>
      </c>
      <c r="B359" s="2">
        <f>CCMFUT_F_0_Diário!F358</f>
        <v>80.52</v>
      </c>
      <c r="C359" s="9">
        <f t="shared" si="16"/>
        <v>7.4571215510815662E-4</v>
      </c>
      <c r="D359" s="2">
        <f>MAX($B$3:B359)</f>
        <v>91.58</v>
      </c>
      <c r="E359" s="9">
        <f t="shared" si="17"/>
        <v>-0.12076872679624374</v>
      </c>
    </row>
    <row r="360" spans="1:5" x14ac:dyDescent="0.25">
      <c r="A360" s="1">
        <f>CCMFUT_F_0_Diário!B359</f>
        <v>46009</v>
      </c>
      <c r="B360" s="2">
        <f>CCMFUT_F_0_Diário!F359</f>
        <v>79.7</v>
      </c>
      <c r="C360" s="9">
        <f t="shared" si="16"/>
        <v>-1.0183805265772394E-2</v>
      </c>
      <c r="D360" s="2">
        <f>MAX($B$3:B360)</f>
        <v>91.58</v>
      </c>
      <c r="E360" s="9">
        <f t="shared" si="17"/>
        <v>-0.12972264686612792</v>
      </c>
    </row>
    <row r="361" spans="1:5" x14ac:dyDescent="0.25">
      <c r="A361" s="1">
        <f>CCMFUT_F_0_Diário!B360</f>
        <v>46010</v>
      </c>
      <c r="B361" s="2">
        <f>CCMFUT_F_0_Diário!F360</f>
        <v>79.459999999999994</v>
      </c>
      <c r="C361" s="9">
        <f t="shared" si="16"/>
        <v>-3.0112923462987337E-3</v>
      </c>
      <c r="D361" s="2">
        <f>MAX($B$3:B361)</f>
        <v>91.58</v>
      </c>
      <c r="E361" s="9">
        <f t="shared" si="17"/>
        <v>-0.13234330639877709</v>
      </c>
    </row>
    <row r="362" spans="1:5" x14ac:dyDescent="0.25">
      <c r="A362" s="1">
        <f>CCMFUT_F_0_Diário!B361</f>
        <v>46013</v>
      </c>
      <c r="B362" s="2">
        <f>CCMFUT_F_0_Diário!F361</f>
        <v>79.510000000000005</v>
      </c>
      <c r="C362" s="9">
        <f t="shared" si="16"/>
        <v>6.2924742008572075E-4</v>
      </c>
      <c r="D362" s="2">
        <f>MAX($B$3:B362)</f>
        <v>91.58</v>
      </c>
      <c r="E362" s="9">
        <f t="shared" si="17"/>
        <v>-0.13179733566280841</v>
      </c>
    </row>
    <row r="363" spans="1:5" x14ac:dyDescent="0.25">
      <c r="A363" s="1">
        <f>CCMFUT_F_0_Diário!B362</f>
        <v>46014</v>
      </c>
      <c r="B363" s="2">
        <f>CCMFUT_F_0_Diário!F362</f>
        <v>79.319999999999993</v>
      </c>
      <c r="C363" s="9">
        <f t="shared" si="16"/>
        <v>-2.3896365237078597E-3</v>
      </c>
      <c r="D363" s="2">
        <f>MAX($B$3:B363)</f>
        <v>91.58</v>
      </c>
      <c r="E363" s="9">
        <f t="shared" si="17"/>
        <v>-0.13387202445948904</v>
      </c>
    </row>
    <row r="364" spans="1:5" x14ac:dyDescent="0.25">
      <c r="A364" s="1">
        <f>CCMFUT_F_0_Diário!B363</f>
        <v>46017</v>
      </c>
      <c r="B364" s="2">
        <f>CCMFUT_F_0_Diário!F363</f>
        <v>78.489999999999995</v>
      </c>
      <c r="C364" s="9">
        <f t="shared" si="16"/>
        <v>-1.0463943519919293E-2</v>
      </c>
      <c r="D364" s="2">
        <f>MAX($B$3:B364)</f>
        <v>91.58</v>
      </c>
      <c r="E364" s="9">
        <f t="shared" si="17"/>
        <v>-0.14293513867656699</v>
      </c>
    </row>
    <row r="365" spans="1:5" x14ac:dyDescent="0.25">
      <c r="A365" s="1">
        <f>CCMFUT_F_0_Diário!B364</f>
        <v>46020</v>
      </c>
      <c r="B365" s="2">
        <f>CCMFUT_F_0_Diário!F364</f>
        <v>78.66</v>
      </c>
      <c r="C365" s="9">
        <f t="shared" si="16"/>
        <v>2.1658810039495695E-3</v>
      </c>
      <c r="D365" s="2">
        <f>MAX($B$3:B365)</f>
        <v>91.58</v>
      </c>
      <c r="E365" s="9">
        <f t="shared" si="17"/>
        <v>-0.14107883817427389</v>
      </c>
    </row>
    <row r="366" spans="1:5" x14ac:dyDescent="0.25">
      <c r="A366" s="1">
        <f>CCMFUT_F_0_Diário!B365</f>
        <v>46021</v>
      </c>
      <c r="B366" s="2">
        <f>CCMFUT_F_0_Diário!F365</f>
        <v>78.66</v>
      </c>
      <c r="C366" s="9">
        <f t="shared" si="16"/>
        <v>0</v>
      </c>
      <c r="D366" s="2">
        <f>MAX($B$3:B366)</f>
        <v>91.58</v>
      </c>
      <c r="E366" s="9">
        <f t="shared" si="17"/>
        <v>-0.14107883817427389</v>
      </c>
    </row>
    <row r="367" spans="1:5" x14ac:dyDescent="0.25">
      <c r="A367" s="1">
        <f>CCMFUT_F_0_Diário!B366</f>
        <v>46024</v>
      </c>
      <c r="B367" s="2">
        <f>CCMFUT_F_0_Diário!F366</f>
        <v>78.34</v>
      </c>
      <c r="C367" s="9">
        <f t="shared" si="16"/>
        <v>-4.0681413679124487E-3</v>
      </c>
      <c r="D367" s="2">
        <f>MAX($B$3:B367)</f>
        <v>91.58</v>
      </c>
      <c r="E367" s="9">
        <f t="shared" si="17"/>
        <v>-0.14457305088447253</v>
      </c>
    </row>
    <row r="368" spans="1:5" x14ac:dyDescent="0.25">
      <c r="A368" s="1">
        <f>CCMFUT_F_0_Diário!B367</f>
        <v>46027</v>
      </c>
      <c r="B368" s="2">
        <f>CCMFUT_F_0_Diário!F367</f>
        <v>77.94</v>
      </c>
      <c r="C368" s="9">
        <f t="shared" si="16"/>
        <v>-5.1059484299209304E-3</v>
      </c>
      <c r="D368" s="2">
        <f>MAX($B$3:B368)</f>
        <v>91.58</v>
      </c>
      <c r="E368" s="9">
        <f t="shared" si="17"/>
        <v>-0.14894081677222101</v>
      </c>
    </row>
    <row r="369" spans="1:5" x14ac:dyDescent="0.25">
      <c r="A369" s="1">
        <f>CCMFUT_F_0_Diário!B368</f>
        <v>46028</v>
      </c>
      <c r="B369" s="2">
        <f>CCMFUT_F_0_Diário!F368</f>
        <v>77.8</v>
      </c>
      <c r="C369" s="9">
        <f t="shared" si="16"/>
        <v>-1.7962535283551524E-3</v>
      </c>
      <c r="D369" s="2">
        <f>MAX($B$3:B369)</f>
        <v>91.58</v>
      </c>
      <c r="E369" s="9">
        <f t="shared" si="17"/>
        <v>-0.15046953483293296</v>
      </c>
    </row>
    <row r="370" spans="1:5" x14ac:dyDescent="0.25">
      <c r="A370" s="1">
        <f>CCMFUT_F_0_Diário!B369</f>
        <v>46029</v>
      </c>
      <c r="B370" s="2">
        <f>CCMFUT_F_0_Diário!F369</f>
        <v>76.92</v>
      </c>
      <c r="C370" s="9">
        <f t="shared" si="16"/>
        <v>-1.1311053984575778E-2</v>
      </c>
      <c r="D370" s="2">
        <f>MAX($B$3:B370)</f>
        <v>91.58</v>
      </c>
      <c r="E370" s="9">
        <f t="shared" si="17"/>
        <v>-0.16007861978597943</v>
      </c>
    </row>
    <row r="371" spans="1:5" x14ac:dyDescent="0.25">
      <c r="A371" s="1">
        <f>CCMFUT_F_0_Diário!B370</f>
        <v>46030</v>
      </c>
      <c r="B371" s="2">
        <f>CCMFUT_F_0_Diário!F370</f>
        <v>76.5</v>
      </c>
      <c r="C371" s="9">
        <f t="shared" si="16"/>
        <v>-5.4602184087363713E-3</v>
      </c>
      <c r="D371" s="2">
        <f>MAX($B$3:B371)</f>
        <v>91.58</v>
      </c>
      <c r="E371" s="9">
        <f t="shared" si="17"/>
        <v>-0.1646647739681153</v>
      </c>
    </row>
    <row r="372" spans="1:5" x14ac:dyDescent="0.25">
      <c r="A372" s="1">
        <f>CCMFUT_F_0_Diário!B371</f>
        <v>46031</v>
      </c>
      <c r="B372" s="2">
        <f>CCMFUT_F_0_Diário!F371</f>
        <v>76.73</v>
      </c>
      <c r="C372" s="9">
        <f t="shared" si="16"/>
        <v>3.0065359477124704E-3</v>
      </c>
      <c r="D372" s="2">
        <f>MAX($B$3:B372)</f>
        <v>91.58</v>
      </c>
      <c r="E372" s="9">
        <f t="shared" si="17"/>
        <v>-0.16215330858265992</v>
      </c>
    </row>
    <row r="373" spans="1:5" x14ac:dyDescent="0.25">
      <c r="A373" s="1">
        <f>CCMFUT_F_0_Diário!B372</f>
        <v>46034</v>
      </c>
      <c r="B373" s="2">
        <f>CCMFUT_F_0_Diário!F372</f>
        <v>76.010000000000005</v>
      </c>
      <c r="C373" s="9">
        <f t="shared" si="16"/>
        <v>-9.3835527173204598E-3</v>
      </c>
      <c r="D373" s="2">
        <f>MAX($B$3:B373)</f>
        <v>91.58</v>
      </c>
      <c r="E373" s="9">
        <f t="shared" si="17"/>
        <v>-0.17001528718060704</v>
      </c>
    </row>
    <row r="374" spans="1:5" x14ac:dyDescent="0.25">
      <c r="A374" s="1">
        <f>CCMFUT_F_0_Diário!B373</f>
        <v>46035</v>
      </c>
      <c r="B374" s="2">
        <f>CCMFUT_F_0_Diário!F373</f>
        <v>75.58</v>
      </c>
      <c r="C374" s="9">
        <f t="shared" si="16"/>
        <v>-5.6571503749507542E-3</v>
      </c>
      <c r="D374" s="2">
        <f>MAX($B$3:B374)</f>
        <v>91.58</v>
      </c>
      <c r="E374" s="9">
        <f t="shared" si="17"/>
        <v>-0.17471063550993668</v>
      </c>
    </row>
    <row r="375" spans="1:5" x14ac:dyDescent="0.25">
      <c r="A375" s="1">
        <f>CCMFUT_F_0_Diário!B374</f>
        <v>46036</v>
      </c>
      <c r="B375" s="2">
        <f>CCMFUT_F_0_Diário!F374</f>
        <v>75.56</v>
      </c>
      <c r="C375" s="9">
        <f t="shared" si="16"/>
        <v>-2.6462026991262266E-4</v>
      </c>
      <c r="D375" s="2">
        <f>MAX($B$3:B375)</f>
        <v>91.58</v>
      </c>
      <c r="E375" s="9">
        <f t="shared" si="17"/>
        <v>-0.17492902380432404</v>
      </c>
    </row>
    <row r="376" spans="1:5" x14ac:dyDescent="0.25">
      <c r="A376" s="1">
        <f>CCMFUT_F_0_Diário!B375</f>
        <v>46037</v>
      </c>
      <c r="B376" s="2">
        <f>CCMFUT_F_0_Diário!F375</f>
        <v>75.02</v>
      </c>
      <c r="C376" s="9">
        <f t="shared" si="16"/>
        <v>-7.1466384330334332E-3</v>
      </c>
      <c r="D376" s="2">
        <f>MAX($B$3:B376)</f>
        <v>91.58</v>
      </c>
      <c r="E376" s="9">
        <f t="shared" si="17"/>
        <v>-0.18082550775278447</v>
      </c>
    </row>
    <row r="377" spans="1:5" x14ac:dyDescent="0.25">
      <c r="A377" s="1">
        <f>CCMFUT_F_0_Diário!B376</f>
        <v>46038</v>
      </c>
      <c r="B377" s="2">
        <f>CCMFUT_F_0_Diário!F376</f>
        <v>74.959999999999994</v>
      </c>
      <c r="C377" s="9">
        <f t="shared" si="16"/>
        <v>-7.9978672354041956E-4</v>
      </c>
      <c r="D377" s="2">
        <f>MAX($B$3:B377)</f>
        <v>91.58</v>
      </c>
      <c r="E377" s="9">
        <f t="shared" si="17"/>
        <v>-0.18148067263594678</v>
      </c>
    </row>
    <row r="378" spans="1:5" x14ac:dyDescent="0.25">
      <c r="A378" s="1">
        <f>CCMFUT_F_0_Diário!B377</f>
        <v>46041</v>
      </c>
      <c r="B378" s="2">
        <f>CCMFUT_F_0_Diário!F377</f>
        <v>74.849999999999994</v>
      </c>
      <c r="C378" s="9">
        <f t="shared" si="16"/>
        <v>-1.4674493062966842E-3</v>
      </c>
      <c r="D378" s="2">
        <f>MAX($B$3:B378)</f>
        <v>91.58</v>
      </c>
      <c r="E378" s="9">
        <f t="shared" si="17"/>
        <v>-0.18268180825507757</v>
      </c>
    </row>
    <row r="379" spans="1:5" x14ac:dyDescent="0.25">
      <c r="A379" s="1">
        <f>CCMFUT_F_0_Diário!B378</f>
        <v>46042</v>
      </c>
      <c r="B379" s="2">
        <f>CCMFUT_F_0_Diário!F378</f>
        <v>74.63</v>
      </c>
      <c r="C379" s="9">
        <f t="shared" si="16"/>
        <v>-2.9392117568470123E-3</v>
      </c>
      <c r="D379" s="2">
        <f>MAX($B$3:B379)</f>
        <v>91.58</v>
      </c>
      <c r="E379" s="9">
        <f t="shared" si="17"/>
        <v>-0.18508407949333919</v>
      </c>
    </row>
    <row r="380" spans="1:5" x14ac:dyDescent="0.25">
      <c r="A380" s="1">
        <f>CCMFUT_F_0_Diário!B379</f>
        <v>46043</v>
      </c>
      <c r="B380" s="2">
        <f>CCMFUT_F_0_Diário!F379</f>
        <v>73.430000000000007</v>
      </c>
      <c r="C380" s="9">
        <f t="shared" si="16"/>
        <v>-1.6079324668363777E-2</v>
      </c>
      <c r="D380" s="2">
        <f>MAX($B$3:B380)</f>
        <v>91.58</v>
      </c>
      <c r="E380" s="9">
        <f t="shared" si="17"/>
        <v>-0.19818737715658433</v>
      </c>
    </row>
    <row r="381" spans="1:5" x14ac:dyDescent="0.25">
      <c r="A381" s="1">
        <f>CCMFUT_F_0_Diário!B380</f>
        <v>46044</v>
      </c>
      <c r="B381" s="2">
        <f>CCMFUT_F_0_Diário!F380</f>
        <v>72.900000000000006</v>
      </c>
      <c r="C381" s="9">
        <f t="shared" si="16"/>
        <v>-7.2177584093694822E-3</v>
      </c>
      <c r="D381" s="2">
        <f>MAX($B$3:B381)</f>
        <v>91.58</v>
      </c>
      <c r="E381" s="9">
        <f t="shared" si="17"/>
        <v>-0.20397466695785099</v>
      </c>
    </row>
    <row r="382" spans="1:5" x14ac:dyDescent="0.25">
      <c r="A382" s="1">
        <f>CCMFUT_F_0_Diário!B381</f>
        <v>46045</v>
      </c>
      <c r="B382" s="2">
        <f>CCMFUT_F_0_Diário!F381</f>
        <v>72.47</v>
      </c>
      <c r="C382" s="9">
        <f t="shared" si="16"/>
        <v>-5.8984910836763623E-3</v>
      </c>
      <c r="D382" s="2">
        <f>MAX($B$3:B382)</f>
        <v>91.58</v>
      </c>
      <c r="E382" s="9">
        <f t="shared" si="17"/>
        <v>-0.2086700152871806</v>
      </c>
    </row>
    <row r="383" spans="1:5" x14ac:dyDescent="0.25">
      <c r="A383" s="1">
        <f>CCMFUT_F_0_Diário!B382</f>
        <v>46048</v>
      </c>
      <c r="B383" s="2">
        <f>CCMFUT_F_0_Diário!F382</f>
        <v>72.63</v>
      </c>
      <c r="C383" s="9">
        <f t="shared" si="16"/>
        <v>2.2078101283289167E-3</v>
      </c>
      <c r="D383" s="2">
        <f>MAX($B$3:B383)</f>
        <v>91.58</v>
      </c>
      <c r="E383" s="9">
        <f t="shared" si="17"/>
        <v>-0.20692290893208126</v>
      </c>
    </row>
    <row r="384" spans="1:5" x14ac:dyDescent="0.25">
      <c r="A384" s="1">
        <f>CCMFUT_F_0_Diário!B383</f>
        <v>46049</v>
      </c>
      <c r="B384" s="2">
        <f>CCMFUT_F_0_Diário!F383</f>
        <v>72.569999999999993</v>
      </c>
      <c r="C384" s="9">
        <f t="shared" si="16"/>
        <v>-8.2610491532427756E-4</v>
      </c>
      <c r="D384" s="2">
        <f>MAX($B$3:B384)</f>
        <v>91.58</v>
      </c>
      <c r="E384" s="9">
        <f t="shared" si="17"/>
        <v>-0.20757807381524357</v>
      </c>
    </row>
    <row r="385" spans="1:5" x14ac:dyDescent="0.25">
      <c r="A385" s="1">
        <f>CCMFUT_F_0_Diário!B384</f>
        <v>46050</v>
      </c>
      <c r="B385" s="2">
        <f>CCMFUT_F_0_Diário!F384</f>
        <v>71.540000000000006</v>
      </c>
      <c r="C385" s="9">
        <f t="shared" si="16"/>
        <v>-1.4193192779385242E-2</v>
      </c>
      <c r="D385" s="2">
        <f>MAX($B$3:B385)</f>
        <v>91.58</v>
      </c>
      <c r="E385" s="9">
        <f t="shared" si="17"/>
        <v>-0.21882507097619558</v>
      </c>
    </row>
    <row r="386" spans="1:5" x14ac:dyDescent="0.25">
      <c r="A386" s="1">
        <f>CCMFUT_F_0_Diário!B385</f>
        <v>46051</v>
      </c>
      <c r="B386" s="2">
        <f>CCMFUT_F_0_Diário!F385</f>
        <v>72.099999999999994</v>
      </c>
      <c r="C386" s="9">
        <f t="shared" si="16"/>
        <v>7.827788649706291E-3</v>
      </c>
      <c r="D386" s="2">
        <f>MAX($B$3:B386)</f>
        <v>91.58</v>
      </c>
      <c r="E386" s="9">
        <f t="shared" si="17"/>
        <v>-0.21271019873334793</v>
      </c>
    </row>
    <row r="387" spans="1:5" x14ac:dyDescent="0.25">
      <c r="A387" s="1">
        <f>CCMFUT_F_0_Diário!B386</f>
        <v>46052</v>
      </c>
      <c r="B387" s="2">
        <f>CCMFUT_F_0_Diário!F386</f>
        <v>72.81</v>
      </c>
      <c r="C387" s="9">
        <f t="shared" si="16"/>
        <v>9.847434119278891E-3</v>
      </c>
      <c r="D387" s="2">
        <f>MAX($B$3:B387)</f>
        <v>91.58</v>
      </c>
      <c r="E387" s="9">
        <f t="shared" si="17"/>
        <v>-0.20495741428259442</v>
      </c>
    </row>
    <row r="388" spans="1:5" x14ac:dyDescent="0.25">
      <c r="A388" s="1">
        <f>CCMFUT_F_0_Diário!B387</f>
        <v>46055</v>
      </c>
      <c r="B388" s="2">
        <f>CCMFUT_F_0_Diário!F387</f>
        <v>72.94</v>
      </c>
      <c r="C388" s="9">
        <f t="shared" si="16"/>
        <v>1.7854690289794734E-3</v>
      </c>
      <c r="D388" s="2">
        <f>MAX($B$3:B388)</f>
        <v>91.58</v>
      </c>
      <c r="E388" s="9">
        <f t="shared" si="17"/>
        <v>-0.20353789036907624</v>
      </c>
    </row>
    <row r="389" spans="1:5" x14ac:dyDescent="0.25">
      <c r="A389" s="1">
        <f>CCMFUT_F_0_Diário!B388</f>
        <v>46056</v>
      </c>
      <c r="B389" s="2">
        <f>CCMFUT_F_0_Diário!F388</f>
        <v>73.900000000000006</v>
      </c>
      <c r="C389" s="9">
        <f t="shared" ref="C389:C452" si="18">(B389-B388)/B388</f>
        <v>1.3161502604880833E-2</v>
      </c>
      <c r="D389" s="2">
        <f>MAX($B$3:B389)</f>
        <v>91.58</v>
      </c>
      <c r="E389" s="9">
        <f t="shared" ref="E389:E452" si="19">(B389-D389)/D389</f>
        <v>-0.19305525223847994</v>
      </c>
    </row>
    <row r="390" spans="1:5" x14ac:dyDescent="0.25">
      <c r="A390" s="1">
        <f>CCMFUT_F_0_Diário!B389</f>
        <v>46057</v>
      </c>
      <c r="B390" s="2">
        <f>CCMFUT_F_0_Diário!F389</f>
        <v>73.47</v>
      </c>
      <c r="C390" s="9">
        <f t="shared" si="18"/>
        <v>-5.8186738836266145E-3</v>
      </c>
      <c r="D390" s="2">
        <f>MAX($B$3:B390)</f>
        <v>91.58</v>
      </c>
      <c r="E390" s="9">
        <f t="shared" si="19"/>
        <v>-0.19775060056780958</v>
      </c>
    </row>
    <row r="391" spans="1:5" x14ac:dyDescent="0.25">
      <c r="A391" s="1">
        <f>CCMFUT_F_0_Diário!B390</f>
        <v>46058</v>
      </c>
      <c r="B391" s="2">
        <f>CCMFUT_F_0_Diário!F390</f>
        <v>73.8</v>
      </c>
      <c r="C391" s="9">
        <f t="shared" si="18"/>
        <v>4.4916292364230066E-3</v>
      </c>
      <c r="D391" s="2">
        <f>MAX($B$3:B391)</f>
        <v>91.58</v>
      </c>
      <c r="E391" s="9">
        <f t="shared" si="19"/>
        <v>-0.19414719371041714</v>
      </c>
    </row>
    <row r="392" spans="1:5" x14ac:dyDescent="0.25">
      <c r="A392" s="1">
        <f>CCMFUT_F_0_Diário!B391</f>
        <v>46059</v>
      </c>
      <c r="B392" s="2">
        <f>CCMFUT_F_0_Diário!F391</f>
        <v>72.62</v>
      </c>
      <c r="C392" s="9">
        <f t="shared" si="18"/>
        <v>-1.5989159891598815E-2</v>
      </c>
      <c r="D392" s="2">
        <f>MAX($B$3:B392)</f>
        <v>91.58</v>
      </c>
      <c r="E392" s="9">
        <f t="shared" si="19"/>
        <v>-0.20703210307927489</v>
      </c>
    </row>
    <row r="393" spans="1:5" x14ac:dyDescent="0.25">
      <c r="A393" s="1">
        <f>CCMFUT_F_0_Diário!B392</f>
        <v>46062</v>
      </c>
      <c r="B393" s="2">
        <f>CCMFUT_F_0_Diário!F392</f>
        <v>72.48</v>
      </c>
      <c r="C393" s="9">
        <f t="shared" si="18"/>
        <v>-1.927843569264673E-3</v>
      </c>
      <c r="D393" s="2">
        <f>MAX($B$3:B393)</f>
        <v>91.58</v>
      </c>
      <c r="E393" s="9">
        <f t="shared" si="19"/>
        <v>-0.20856082113998684</v>
      </c>
    </row>
    <row r="394" spans="1:5" x14ac:dyDescent="0.25">
      <c r="A394" s="1">
        <f>CCMFUT_F_0_Diário!B393</f>
        <v>46063</v>
      </c>
      <c r="B394" s="2">
        <f>CCMFUT_F_0_Diário!F393</f>
        <v>73.59</v>
      </c>
      <c r="C394" s="9">
        <f t="shared" si="18"/>
        <v>1.5314569536423833E-2</v>
      </c>
      <c r="D394" s="2">
        <f>MAX($B$3:B394)</f>
        <v>91.58</v>
      </c>
      <c r="E394" s="9">
        <f t="shared" si="19"/>
        <v>-0.19644027080148499</v>
      </c>
    </row>
    <row r="395" spans="1:5" x14ac:dyDescent="0.25">
      <c r="A395" s="1">
        <f>CCMFUT_F_0_Diário!B394</f>
        <v>46064</v>
      </c>
      <c r="B395" s="2">
        <f>CCMFUT_F_0_Diário!F394</f>
        <v>73.66</v>
      </c>
      <c r="C395" s="9">
        <f t="shared" si="18"/>
        <v>9.512161978528764E-4</v>
      </c>
      <c r="D395" s="2">
        <f>MAX($B$3:B395)</f>
        <v>91.58</v>
      </c>
      <c r="E395" s="9">
        <f t="shared" si="19"/>
        <v>-0.19567591177112909</v>
      </c>
    </row>
    <row r="396" spans="1:5" x14ac:dyDescent="0.25">
      <c r="A396" s="1">
        <f>CCMFUT_F_0_Diário!B395</f>
        <v>46065</v>
      </c>
      <c r="B396" s="2">
        <f>CCMFUT_F_0_Diário!F395</f>
        <v>74.48</v>
      </c>
      <c r="C396" s="9">
        <f t="shared" si="18"/>
        <v>1.1132229161010147E-2</v>
      </c>
      <c r="D396" s="2">
        <f>MAX($B$3:B396)</f>
        <v>91.58</v>
      </c>
      <c r="E396" s="9">
        <f t="shared" si="19"/>
        <v>-0.18672199170124476</v>
      </c>
    </row>
    <row r="397" spans="1:5" x14ac:dyDescent="0.25">
      <c r="A397" s="1">
        <f>CCMFUT_F_0_Diário!B396</f>
        <v>46066</v>
      </c>
      <c r="B397" s="2">
        <f>CCMFUT_F_0_Diário!F396</f>
        <v>74.86</v>
      </c>
      <c r="C397" s="9">
        <f t="shared" si="18"/>
        <v>5.1020408163264695E-3</v>
      </c>
      <c r="D397" s="2">
        <f>MAX($B$3:B397)</f>
        <v>91.58</v>
      </c>
      <c r="E397" s="9">
        <f t="shared" si="19"/>
        <v>-0.18257261410788381</v>
      </c>
    </row>
    <row r="398" spans="1:5" x14ac:dyDescent="0.25">
      <c r="A398" s="1">
        <f>CCMFUT_F_0_Diário!B397</f>
        <v>46071</v>
      </c>
      <c r="B398" s="2">
        <f>CCMFUT_F_0_Diário!F397</f>
        <v>74.69</v>
      </c>
      <c r="C398" s="9">
        <f t="shared" si="18"/>
        <v>-2.2709056906225181E-3</v>
      </c>
      <c r="D398" s="2">
        <f>MAX($B$3:B398)</f>
        <v>91.58</v>
      </c>
      <c r="E398" s="9">
        <f t="shared" si="19"/>
        <v>-0.18442891461017691</v>
      </c>
    </row>
    <row r="399" spans="1:5" x14ac:dyDescent="0.25">
      <c r="A399" s="1">
        <f>CCMFUT_F_0_Diário!B398</f>
        <v>46072</v>
      </c>
      <c r="B399" s="2">
        <f>CCMFUT_F_0_Diário!F398</f>
        <v>75.05</v>
      </c>
      <c r="C399" s="9">
        <f t="shared" si="18"/>
        <v>4.8199223456955338E-3</v>
      </c>
      <c r="D399" s="2">
        <f>MAX($B$3:B399)</f>
        <v>91.58</v>
      </c>
      <c r="E399" s="9">
        <f t="shared" si="19"/>
        <v>-0.18049792531120334</v>
      </c>
    </row>
    <row r="400" spans="1:5" x14ac:dyDescent="0.25">
      <c r="A400" s="1">
        <f>CCMFUT_F_0_Diário!B399</f>
        <v>46073</v>
      </c>
      <c r="B400" s="2">
        <f>CCMFUT_F_0_Diário!F399</f>
        <v>75.8</v>
      </c>
      <c r="C400" s="9">
        <f t="shared" si="18"/>
        <v>9.9933377748167886E-3</v>
      </c>
      <c r="D400" s="2">
        <f>MAX($B$3:B400)</f>
        <v>91.58</v>
      </c>
      <c r="E400" s="9">
        <f t="shared" si="19"/>
        <v>-0.17230836427167506</v>
      </c>
    </row>
    <row r="401" spans="1:5" x14ac:dyDescent="0.25">
      <c r="A401" s="1">
        <f>CCMFUT_F_0_Diário!B400</f>
        <v>46076</v>
      </c>
      <c r="B401" s="2">
        <f>CCMFUT_F_0_Diário!F400</f>
        <v>75.08</v>
      </c>
      <c r="C401" s="9">
        <f t="shared" si="18"/>
        <v>-9.4986807387862655E-3</v>
      </c>
      <c r="D401" s="2">
        <f>MAX($B$3:B401)</f>
        <v>91.58</v>
      </c>
      <c r="E401" s="9">
        <f t="shared" si="19"/>
        <v>-0.18017034286962219</v>
      </c>
    </row>
    <row r="402" spans="1:5" x14ac:dyDescent="0.25">
      <c r="A402" s="1">
        <f>CCMFUT_F_0_Diário!B401</f>
        <v>46077</v>
      </c>
      <c r="B402" s="2">
        <f>CCMFUT_F_0_Diário!F401</f>
        <v>74.430000000000007</v>
      </c>
      <c r="C402" s="9">
        <f t="shared" si="18"/>
        <v>-8.6574320724559332E-3</v>
      </c>
      <c r="D402" s="2">
        <f>MAX($B$3:B402)</f>
        <v>91.58</v>
      </c>
      <c r="E402" s="9">
        <f t="shared" si="19"/>
        <v>-0.18726796243721328</v>
      </c>
    </row>
    <row r="403" spans="1:5" x14ac:dyDescent="0.25">
      <c r="A403" s="1">
        <f>CCMFUT_F_0_Diário!B402</f>
        <v>46078</v>
      </c>
      <c r="B403" s="2">
        <f>CCMFUT_F_0_Diário!F402</f>
        <v>74.260000000000005</v>
      </c>
      <c r="C403" s="9">
        <f t="shared" si="18"/>
        <v>-2.2840252586322947E-3</v>
      </c>
      <c r="D403" s="2">
        <f>MAX($B$3:B403)</f>
        <v>91.58</v>
      </c>
      <c r="E403" s="9">
        <f t="shared" si="19"/>
        <v>-0.18912426293950638</v>
      </c>
    </row>
    <row r="404" spans="1:5" x14ac:dyDescent="0.25">
      <c r="A404" s="1">
        <f>CCMFUT_F_0_Diário!B403</f>
        <v>46079</v>
      </c>
      <c r="B404" s="2">
        <f>CCMFUT_F_0_Diário!F403</f>
        <v>75.22</v>
      </c>
      <c r="C404" s="9">
        <f t="shared" si="18"/>
        <v>1.2927551844869293E-2</v>
      </c>
      <c r="D404" s="2">
        <f>MAX($B$3:B404)</f>
        <v>91.58</v>
      </c>
      <c r="E404" s="9">
        <f t="shared" si="19"/>
        <v>-0.17864162480891024</v>
      </c>
    </row>
    <row r="405" spans="1:5" x14ac:dyDescent="0.25">
      <c r="A405" s="1">
        <f>CCMFUT_F_0_Diário!B404</f>
        <v>46080</v>
      </c>
      <c r="B405" s="2">
        <f>CCMFUT_F_0_Diário!F404</f>
        <v>76.099999999999994</v>
      </c>
      <c r="C405" s="9">
        <f t="shared" si="18"/>
        <v>1.1699016219090606E-2</v>
      </c>
      <c r="D405" s="2">
        <f>MAX($B$3:B405)</f>
        <v>91.58</v>
      </c>
      <c r="E405" s="9">
        <f t="shared" si="19"/>
        <v>-0.16903253985586378</v>
      </c>
    </row>
    <row r="406" spans="1:5" x14ac:dyDescent="0.25">
      <c r="A406" s="1">
        <f>CCMFUT_F_0_Diário!B405</f>
        <v>46083</v>
      </c>
      <c r="B406" s="2">
        <f>CCMFUT_F_0_Diário!F405</f>
        <v>75.64</v>
      </c>
      <c r="C406" s="9">
        <f t="shared" si="18"/>
        <v>-6.0446780551904567E-3</v>
      </c>
      <c r="D406" s="2">
        <f>MAX($B$3:B406)</f>
        <v>91.58</v>
      </c>
      <c r="E406" s="9">
        <f t="shared" si="19"/>
        <v>-0.17405547062677437</v>
      </c>
    </row>
    <row r="407" spans="1:5" x14ac:dyDescent="0.25">
      <c r="A407" s="1">
        <f>CCMFUT_F_0_Diário!B406</f>
        <v>46084</v>
      </c>
      <c r="B407" s="2">
        <f>CCMFUT_F_0_Diário!F406</f>
        <v>76.319999999999993</v>
      </c>
      <c r="C407" s="9">
        <f t="shared" si="18"/>
        <v>8.9899524061342224E-3</v>
      </c>
      <c r="D407" s="2">
        <f>MAX($B$3:B407)</f>
        <v>91.58</v>
      </c>
      <c r="E407" s="9">
        <f t="shared" si="19"/>
        <v>-0.16663026861760216</v>
      </c>
    </row>
    <row r="408" spans="1:5" x14ac:dyDescent="0.25">
      <c r="A408" s="1">
        <f>CCMFUT_F_0_Diário!B407</f>
        <v>46085</v>
      </c>
      <c r="B408" s="2">
        <f>CCMFUT_F_0_Diário!F407</f>
        <v>75.44</v>
      </c>
      <c r="C408" s="9">
        <f t="shared" si="18"/>
        <v>-1.1530398322851094E-2</v>
      </c>
      <c r="D408" s="2">
        <f>MAX($B$3:B408)</f>
        <v>91.58</v>
      </c>
      <c r="E408" s="9">
        <f t="shared" si="19"/>
        <v>-0.17623935357064863</v>
      </c>
    </row>
    <row r="409" spans="1:5" x14ac:dyDescent="0.25">
      <c r="A409" s="1">
        <f>CCMFUT_F_0_Diário!B408</f>
        <v>46086</v>
      </c>
      <c r="B409" s="2">
        <f>CCMFUT_F_0_Diário!F408</f>
        <v>75.75</v>
      </c>
      <c r="C409" s="9">
        <f t="shared" si="18"/>
        <v>4.1092258748674747E-3</v>
      </c>
      <c r="D409" s="2">
        <f>MAX($B$3:B409)</f>
        <v>91.58</v>
      </c>
      <c r="E409" s="9">
        <f t="shared" si="19"/>
        <v>-0.17285433500764358</v>
      </c>
    </row>
    <row r="410" spans="1:5" x14ac:dyDescent="0.25">
      <c r="A410" s="1">
        <f>CCMFUT_F_0_Diário!B409</f>
        <v>46087</v>
      </c>
      <c r="B410" s="2">
        <f>CCMFUT_F_0_Diário!F409</f>
        <v>77.400000000000006</v>
      </c>
      <c r="C410" s="9">
        <f t="shared" si="18"/>
        <v>2.1782178217821857E-2</v>
      </c>
      <c r="D410" s="2">
        <f>MAX($B$3:B410)</f>
        <v>91.58</v>
      </c>
      <c r="E410" s="9">
        <f t="shared" si="19"/>
        <v>-0.1548373007206813</v>
      </c>
    </row>
    <row r="411" spans="1:5" x14ac:dyDescent="0.25">
      <c r="A411" s="1">
        <f>CCMFUT_F_0_Diário!B410</f>
        <v>46090</v>
      </c>
      <c r="B411" s="2">
        <f>CCMFUT_F_0_Diário!F410</f>
        <v>78.510000000000005</v>
      </c>
      <c r="C411" s="9">
        <f t="shared" si="18"/>
        <v>1.4341085271317821E-2</v>
      </c>
      <c r="D411" s="2">
        <f>MAX($B$3:B411)</f>
        <v>91.58</v>
      </c>
      <c r="E411" s="9">
        <f t="shared" si="19"/>
        <v>-0.14271675038217943</v>
      </c>
    </row>
    <row r="412" spans="1:5" x14ac:dyDescent="0.25">
      <c r="A412" s="1">
        <f>CCMFUT_F_0_Diário!B411</f>
        <v>46091</v>
      </c>
      <c r="B412" s="2">
        <f>CCMFUT_F_0_Diário!F411</f>
        <v>77.819999999999993</v>
      </c>
      <c r="C412" s="9">
        <f t="shared" si="18"/>
        <v>-8.7886893389378662E-3</v>
      </c>
      <c r="D412" s="2">
        <f>MAX($B$3:B412)</f>
        <v>91.58</v>
      </c>
      <c r="E412" s="9">
        <f t="shared" si="19"/>
        <v>-0.1502511465385456</v>
      </c>
    </row>
    <row r="413" spans="1:5" x14ac:dyDescent="0.25">
      <c r="A413" s="1">
        <f>CCMFUT_F_0_Diário!B412</f>
        <v>46092</v>
      </c>
      <c r="B413" s="2">
        <f>CCMFUT_F_0_Diário!F412</f>
        <v>78.42</v>
      </c>
      <c r="C413" s="9">
        <f t="shared" si="18"/>
        <v>7.7101002313031174E-3</v>
      </c>
      <c r="D413" s="2">
        <f>MAX($B$3:B413)</f>
        <v>91.58</v>
      </c>
      <c r="E413" s="9">
        <f t="shared" si="19"/>
        <v>-0.14369949770692286</v>
      </c>
    </row>
    <row r="414" spans="1:5" x14ac:dyDescent="0.25">
      <c r="A414" s="1">
        <f>CCMFUT_F_0_Diário!B413</f>
        <v>46093</v>
      </c>
      <c r="B414" s="2">
        <f>CCMFUT_F_0_Diário!F413</f>
        <v>77.78</v>
      </c>
      <c r="C414" s="9">
        <f t="shared" si="18"/>
        <v>-8.1611833715888871E-3</v>
      </c>
      <c r="D414" s="2">
        <f>MAX($B$3:B414)</f>
        <v>91.58</v>
      </c>
      <c r="E414" s="9">
        <f t="shared" si="19"/>
        <v>-0.15068792312732035</v>
      </c>
    </row>
    <row r="415" spans="1:5" x14ac:dyDescent="0.25">
      <c r="A415" s="1">
        <f>CCMFUT_F_0_Diário!B414</f>
        <v>46094</v>
      </c>
      <c r="B415" s="2">
        <f>CCMFUT_F_0_Diário!F414</f>
        <v>77.88</v>
      </c>
      <c r="C415" s="9">
        <f t="shared" si="18"/>
        <v>1.2856775520698677E-3</v>
      </c>
      <c r="D415" s="2">
        <f>MAX($B$3:B415)</f>
        <v>91.58</v>
      </c>
      <c r="E415" s="9">
        <f t="shared" si="19"/>
        <v>-0.14959598165538329</v>
      </c>
    </row>
    <row r="416" spans="1:5" x14ac:dyDescent="0.25">
      <c r="A416" s="1">
        <f>CCMFUT_F_0_Diário!B415</f>
        <v>46097</v>
      </c>
      <c r="B416" s="2">
        <f>CCMFUT_F_0_Diário!F415</f>
        <v>74.86</v>
      </c>
      <c r="C416" s="9">
        <f t="shared" si="18"/>
        <v>-3.8777606574216694E-2</v>
      </c>
      <c r="D416" s="2">
        <f>MAX($B$3:B416)</f>
        <v>91.58</v>
      </c>
      <c r="E416" s="9">
        <f t="shared" si="19"/>
        <v>-0.18257261410788381</v>
      </c>
    </row>
    <row r="417" spans="1:5" x14ac:dyDescent="0.25">
      <c r="A417" s="1">
        <f>CCMFUT_F_0_Diário!B416</f>
        <v>46098</v>
      </c>
      <c r="B417" s="2">
        <f>CCMFUT_F_0_Diário!F416</f>
        <v>74.61</v>
      </c>
      <c r="C417" s="9">
        <f t="shared" si="18"/>
        <v>-3.3395671920919048E-3</v>
      </c>
      <c r="D417" s="2">
        <f>MAX($B$3:B417)</f>
        <v>91.58</v>
      </c>
      <c r="E417" s="9">
        <f t="shared" si="19"/>
        <v>-0.18530246778772658</v>
      </c>
    </row>
    <row r="418" spans="1:5" x14ac:dyDescent="0.25">
      <c r="A418" s="1">
        <f>CCMFUT_F_0_Diário!B417</f>
        <v>46099</v>
      </c>
      <c r="B418" s="2">
        <f>CCMFUT_F_0_Diário!F417</f>
        <v>74.989999999999995</v>
      </c>
      <c r="C418" s="9">
        <f t="shared" si="18"/>
        <v>5.0931510521377218E-3</v>
      </c>
      <c r="D418" s="2">
        <f>MAX($B$3:B418)</f>
        <v>91.58</v>
      </c>
      <c r="E418" s="9">
        <f t="shared" si="19"/>
        <v>-0.18115309019436562</v>
      </c>
    </row>
    <row r="419" spans="1:5" x14ac:dyDescent="0.25">
      <c r="A419" s="1">
        <f>CCMFUT_F_0_Diário!B418</f>
        <v>46100</v>
      </c>
      <c r="B419" s="2">
        <f>CCMFUT_F_0_Diário!F418</f>
        <v>74.48</v>
      </c>
      <c r="C419" s="9">
        <f t="shared" si="18"/>
        <v>-6.8009067875715555E-3</v>
      </c>
      <c r="D419" s="2">
        <f>MAX($B$3:B419)</f>
        <v>91.58</v>
      </c>
      <c r="E419" s="9">
        <f t="shared" si="19"/>
        <v>-0.18672199170124476</v>
      </c>
    </row>
    <row r="420" spans="1:5" x14ac:dyDescent="0.25">
      <c r="A420" s="1">
        <f>CCMFUT_F_0_Diário!B419</f>
        <v>46101</v>
      </c>
      <c r="B420" s="2">
        <f>CCMFUT_F_0_Diário!F419</f>
        <v>74.459999999999994</v>
      </c>
      <c r="C420" s="9">
        <f t="shared" si="18"/>
        <v>-2.6852846401732318E-4</v>
      </c>
      <c r="D420" s="2">
        <f>MAX($B$3:B420)</f>
        <v>91.58</v>
      </c>
      <c r="E420" s="9">
        <f t="shared" si="19"/>
        <v>-0.18694037999563229</v>
      </c>
    </row>
    <row r="421" spans="1:5" x14ac:dyDescent="0.25">
      <c r="A421" s="1">
        <f>CCMFUT_F_0_Diário!B420</f>
        <v>46104</v>
      </c>
      <c r="B421" s="2">
        <f>CCMFUT_F_0_Diário!F420</f>
        <v>74.48</v>
      </c>
      <c r="C421" s="9">
        <f t="shared" si="18"/>
        <v>2.6860059092143746E-4</v>
      </c>
      <c r="D421" s="2">
        <f>MAX($B$3:B421)</f>
        <v>91.58</v>
      </c>
      <c r="E421" s="9">
        <f t="shared" si="19"/>
        <v>-0.18672199170124476</v>
      </c>
    </row>
    <row r="422" spans="1:5" x14ac:dyDescent="0.25">
      <c r="A422" s="1">
        <f>CCMFUT_F_0_Diário!B421</f>
        <v>46105</v>
      </c>
      <c r="B422" s="2">
        <f>CCMFUT_F_0_Diário!F421</f>
        <v>74.38</v>
      </c>
      <c r="C422" s="9">
        <f t="shared" si="18"/>
        <v>-1.3426423200860436E-3</v>
      </c>
      <c r="D422" s="2">
        <f>MAX($B$3:B422)</f>
        <v>91.58</v>
      </c>
      <c r="E422" s="9">
        <f t="shared" si="19"/>
        <v>-0.18781393317318196</v>
      </c>
    </row>
    <row r="423" spans="1:5" x14ac:dyDescent="0.25">
      <c r="A423" s="1">
        <f>CCMFUT_F_0_Diário!B422</f>
        <v>46106</v>
      </c>
      <c r="B423" s="2">
        <f>CCMFUT_F_0_Diário!F422</f>
        <v>74.52</v>
      </c>
      <c r="C423" s="9">
        <f t="shared" si="18"/>
        <v>1.8822264049475743E-3</v>
      </c>
      <c r="D423" s="2">
        <f>MAX($B$3:B423)</f>
        <v>91.58</v>
      </c>
      <c r="E423" s="9">
        <f t="shared" si="19"/>
        <v>-0.18628521511247001</v>
      </c>
    </row>
    <row r="424" spans="1:5" x14ac:dyDescent="0.25">
      <c r="A424" s="1">
        <f>CCMFUT_F_0_Diário!B423</f>
        <v>46107</v>
      </c>
      <c r="B424" s="2">
        <f>CCMFUT_F_0_Diário!F423</f>
        <v>74.52</v>
      </c>
      <c r="C424" s="9">
        <f t="shared" si="18"/>
        <v>0</v>
      </c>
      <c r="D424" s="2">
        <f>MAX($B$3:B424)</f>
        <v>91.58</v>
      </c>
      <c r="E424" s="9">
        <f t="shared" si="19"/>
        <v>-0.18628521511247001</v>
      </c>
    </row>
    <row r="425" spans="1:5" x14ac:dyDescent="0.25">
      <c r="A425" s="1">
        <f>CCMFUT_F_0_Diário!B424</f>
        <v>46108</v>
      </c>
      <c r="B425" s="2">
        <f>CCMFUT_F_0_Diário!F424</f>
        <v>74.650000000000006</v>
      </c>
      <c r="C425" s="9">
        <f t="shared" si="18"/>
        <v>1.7444981213098453E-3</v>
      </c>
      <c r="D425" s="2">
        <f>MAX($B$3:B425)</f>
        <v>91.58</v>
      </c>
      <c r="E425" s="9">
        <f t="shared" si="19"/>
        <v>-0.18486569119895166</v>
      </c>
    </row>
    <row r="426" spans="1:5" x14ac:dyDescent="0.25">
      <c r="A426" s="1">
        <f>CCMFUT_F_0_Diário!B425</f>
        <v>46111</v>
      </c>
      <c r="B426" s="2">
        <f>CCMFUT_F_0_Diário!F425</f>
        <v>76.23</v>
      </c>
      <c r="C426" s="9">
        <f t="shared" si="18"/>
        <v>2.1165438713998636E-2</v>
      </c>
      <c r="D426" s="2">
        <f>MAX($B$3:B426)</f>
        <v>91.58</v>
      </c>
      <c r="E426" s="9">
        <f t="shared" si="19"/>
        <v>-0.16761301594234543</v>
      </c>
    </row>
    <row r="427" spans="1:5" x14ac:dyDescent="0.25">
      <c r="A427" s="1">
        <f>CCMFUT_F_0_Diário!B426</f>
        <v>46112</v>
      </c>
      <c r="B427" s="2">
        <f>CCMFUT_F_0_Diário!F426</f>
        <v>75.400000000000006</v>
      </c>
      <c r="C427" s="9">
        <f t="shared" si="18"/>
        <v>-1.0888101797192684E-2</v>
      </c>
      <c r="D427" s="2">
        <f>MAX($B$3:B427)</f>
        <v>91.58</v>
      </c>
      <c r="E427" s="9">
        <f t="shared" si="19"/>
        <v>-0.17667613015942338</v>
      </c>
    </row>
    <row r="428" spans="1:5" x14ac:dyDescent="0.25">
      <c r="A428" s="1">
        <f>CCMFUT_F_0_Diário!B427</f>
        <v>46113</v>
      </c>
      <c r="B428" s="2">
        <f>CCMFUT_F_0_Diário!F427</f>
        <v>73.77</v>
      </c>
      <c r="C428" s="9">
        <f t="shared" si="18"/>
        <v>-2.1618037135278642E-2</v>
      </c>
      <c r="D428" s="2">
        <f>MAX($B$3:B428)</f>
        <v>91.58</v>
      </c>
      <c r="E428" s="9">
        <f t="shared" si="19"/>
        <v>-0.19447477615199829</v>
      </c>
    </row>
    <row r="429" spans="1:5" x14ac:dyDescent="0.25">
      <c r="A429" s="1">
        <f>CCMFUT_F_0_Diário!B428</f>
        <v>46114</v>
      </c>
      <c r="B429" s="2">
        <f>CCMFUT_F_0_Diário!F428</f>
        <v>74.180000000000007</v>
      </c>
      <c r="C429" s="9">
        <f t="shared" si="18"/>
        <v>5.55781482987679E-3</v>
      </c>
      <c r="D429" s="2">
        <f>MAX($B$3:B429)</f>
        <v>91.58</v>
      </c>
      <c r="E429" s="9">
        <f t="shared" si="19"/>
        <v>-0.18999781611705605</v>
      </c>
    </row>
    <row r="430" spans="1:5" x14ac:dyDescent="0.25">
      <c r="A430" s="1">
        <f>CCMFUT_F_0_Diário!B429</f>
        <v>46118</v>
      </c>
      <c r="B430" s="2">
        <f>CCMFUT_F_0_Diário!F429</f>
        <v>73.45</v>
      </c>
      <c r="C430" s="9">
        <f t="shared" si="18"/>
        <v>-9.8409274737126431E-3</v>
      </c>
      <c r="D430" s="2">
        <f>MAX($B$3:B430)</f>
        <v>91.58</v>
      </c>
      <c r="E430" s="9">
        <f t="shared" si="19"/>
        <v>-0.19796898886219694</v>
      </c>
    </row>
    <row r="431" spans="1:5" x14ac:dyDescent="0.25">
      <c r="A431" s="1">
        <f>CCMFUT_F_0_Diário!B430</f>
        <v>46119</v>
      </c>
      <c r="B431" s="2">
        <f>CCMFUT_F_0_Diário!F430</f>
        <v>72.459999999999994</v>
      </c>
      <c r="C431" s="9">
        <f t="shared" si="18"/>
        <v>-1.3478556841388822E-2</v>
      </c>
      <c r="D431" s="2">
        <f>MAX($B$3:B431)</f>
        <v>91.58</v>
      </c>
      <c r="E431" s="9">
        <f t="shared" si="19"/>
        <v>-0.20877920943437436</v>
      </c>
    </row>
    <row r="432" spans="1:5" x14ac:dyDescent="0.25">
      <c r="A432" s="1">
        <f>CCMFUT_F_0_Diário!B431</f>
        <v>46120</v>
      </c>
      <c r="B432" s="2">
        <f>CCMFUT_F_0_Diário!F431</f>
        <v>71.5</v>
      </c>
      <c r="C432" s="9">
        <f t="shared" si="18"/>
        <v>-1.3248688931824369E-2</v>
      </c>
      <c r="D432" s="2">
        <f>MAX($B$3:B432)</f>
        <v>91.58</v>
      </c>
      <c r="E432" s="9">
        <f t="shared" si="19"/>
        <v>-0.2192618475649705</v>
      </c>
    </row>
    <row r="433" spans="1:5" x14ac:dyDescent="0.25">
      <c r="A433" s="1">
        <f>CCMFUT_F_0_Diário!B432</f>
        <v>46121</v>
      </c>
      <c r="B433" s="2">
        <f>CCMFUT_F_0_Diário!F432</f>
        <v>70.989999999999995</v>
      </c>
      <c r="C433" s="9">
        <f t="shared" si="18"/>
        <v>-7.1328671328672044E-3</v>
      </c>
      <c r="D433" s="2">
        <f>MAX($B$3:B433)</f>
        <v>91.58</v>
      </c>
      <c r="E433" s="9">
        <f t="shared" si="19"/>
        <v>-0.2248307490718498</v>
      </c>
    </row>
    <row r="434" spans="1:5" x14ac:dyDescent="0.25">
      <c r="A434" s="1">
        <f>CCMFUT_F_0_Diário!B433</f>
        <v>46122</v>
      </c>
      <c r="B434" s="2">
        <f>CCMFUT_F_0_Diário!F433</f>
        <v>70.61</v>
      </c>
      <c r="C434" s="9">
        <f t="shared" si="18"/>
        <v>-5.352866600929645E-3</v>
      </c>
      <c r="D434" s="2">
        <f>MAX($B$3:B434)</f>
        <v>91.58</v>
      </c>
      <c r="E434" s="9">
        <f t="shared" si="19"/>
        <v>-0.22898012666521073</v>
      </c>
    </row>
    <row r="435" spans="1:5" x14ac:dyDescent="0.25">
      <c r="A435" s="1">
        <f>CCMFUT_F_0_Diário!B434</f>
        <v>46125</v>
      </c>
      <c r="B435" s="2">
        <f>CCMFUT_F_0_Diário!F434</f>
        <v>69.95</v>
      </c>
      <c r="C435" s="9">
        <f t="shared" si="18"/>
        <v>-9.3471179719585972E-3</v>
      </c>
      <c r="D435" s="2">
        <f>MAX($B$3:B435)</f>
        <v>91.58</v>
      </c>
      <c r="E435" s="9">
        <f t="shared" si="19"/>
        <v>-0.23618694037999557</v>
      </c>
    </row>
    <row r="436" spans="1:5" x14ac:dyDescent="0.25">
      <c r="A436" s="1">
        <f>CCMFUT_F_0_Diário!B435</f>
        <v>46126</v>
      </c>
      <c r="B436" s="2">
        <f>CCMFUT_F_0_Diário!F435</f>
        <v>69.61</v>
      </c>
      <c r="C436" s="9">
        <f t="shared" si="18"/>
        <v>-4.8606147248034795E-3</v>
      </c>
      <c r="D436" s="2">
        <f>MAX($B$3:B436)</f>
        <v>91.58</v>
      </c>
      <c r="E436" s="9">
        <f t="shared" si="19"/>
        <v>-0.23989954138458178</v>
      </c>
    </row>
    <row r="437" spans="1:5" x14ac:dyDescent="0.25">
      <c r="A437" s="1">
        <f>CCMFUT_F_0_Diário!B436</f>
        <v>46127</v>
      </c>
      <c r="B437" s="2">
        <f>CCMFUT_F_0_Diário!F436</f>
        <v>68.52</v>
      </c>
      <c r="C437" s="9">
        <f t="shared" si="18"/>
        <v>-1.5658669731360486E-2</v>
      </c>
      <c r="D437" s="2">
        <f>MAX($B$3:B437)</f>
        <v>91.58</v>
      </c>
      <c r="E437" s="9">
        <f t="shared" si="19"/>
        <v>-0.25180170342869623</v>
      </c>
    </row>
    <row r="438" spans="1:5" x14ac:dyDescent="0.25">
      <c r="A438" s="1">
        <f>CCMFUT_F_0_Diário!B437</f>
        <v>46128</v>
      </c>
      <c r="B438" s="2">
        <f>CCMFUT_F_0_Diário!F437</f>
        <v>68.16</v>
      </c>
      <c r="C438" s="9">
        <f t="shared" si="18"/>
        <v>-5.2539404553414984E-3</v>
      </c>
      <c r="D438" s="2">
        <f>MAX($B$3:B438)</f>
        <v>91.58</v>
      </c>
      <c r="E438" s="9">
        <f t="shared" si="19"/>
        <v>-0.2557326927276698</v>
      </c>
    </row>
    <row r="439" spans="1:5" x14ac:dyDescent="0.25">
      <c r="A439" s="1">
        <f>CCMFUT_F_0_Diário!B438</f>
        <v>46129</v>
      </c>
      <c r="B439" s="2">
        <f>CCMFUT_F_0_Diário!F438</f>
        <v>67.959999999999994</v>
      </c>
      <c r="C439" s="9">
        <f t="shared" si="18"/>
        <v>-2.9342723004695255E-3</v>
      </c>
      <c r="D439" s="2">
        <f>MAX($B$3:B439)</f>
        <v>91.58</v>
      </c>
      <c r="E439" s="9">
        <f t="shared" si="19"/>
        <v>-0.25791657567154408</v>
      </c>
    </row>
    <row r="440" spans="1:5" x14ac:dyDescent="0.25">
      <c r="A440" s="1">
        <f>CCMFUT_F_0_Diário!B439</f>
        <v>46132</v>
      </c>
      <c r="B440" s="2">
        <f>CCMFUT_F_0_Diário!F439</f>
        <v>69.87</v>
      </c>
      <c r="C440" s="9">
        <f t="shared" si="18"/>
        <v>2.8104767510300339E-2</v>
      </c>
      <c r="D440" s="2">
        <f>MAX($B$3:B440)</f>
        <v>91.58</v>
      </c>
      <c r="E440" s="9">
        <f t="shared" si="19"/>
        <v>-0.23706049355754524</v>
      </c>
    </row>
    <row r="441" spans="1:5" x14ac:dyDescent="0.25">
      <c r="A441" s="1">
        <f>CCMFUT_F_0_Diário!B440</f>
        <v>46134</v>
      </c>
      <c r="B441" s="2">
        <f>CCMFUT_F_0_Diário!F440</f>
        <v>71.39</v>
      </c>
      <c r="C441" s="9">
        <f t="shared" si="18"/>
        <v>2.1754687276370345E-2</v>
      </c>
      <c r="D441" s="2">
        <f>MAX($B$3:B441)</f>
        <v>91.58</v>
      </c>
      <c r="E441" s="9">
        <f t="shared" si="19"/>
        <v>-0.22046298318410132</v>
      </c>
    </row>
    <row r="442" spans="1:5" x14ac:dyDescent="0.25">
      <c r="A442" s="1">
        <f>CCMFUT_F_0_Diário!B441</f>
        <v>46135</v>
      </c>
      <c r="B442" s="2">
        <f>CCMFUT_F_0_Diário!F441</f>
        <v>71.2</v>
      </c>
      <c r="C442" s="9">
        <f t="shared" si="18"/>
        <v>-2.6614371760750486E-3</v>
      </c>
      <c r="D442" s="2">
        <f>MAX($B$3:B442)</f>
        <v>91.58</v>
      </c>
      <c r="E442" s="9">
        <f t="shared" si="19"/>
        <v>-0.22253767198078178</v>
      </c>
    </row>
    <row r="443" spans="1:5" x14ac:dyDescent="0.25">
      <c r="A443" s="1">
        <f>CCMFUT_F_0_Diário!B442</f>
        <v>46136</v>
      </c>
      <c r="B443" s="2">
        <f>CCMFUT_F_0_Diário!F442</f>
        <v>71.400000000000006</v>
      </c>
      <c r="C443" s="9">
        <f t="shared" si="18"/>
        <v>2.8089887640449836E-3</v>
      </c>
      <c r="D443" s="2">
        <f>MAX($B$3:B443)</f>
        <v>91.58</v>
      </c>
      <c r="E443" s="9">
        <f t="shared" si="19"/>
        <v>-0.22035378903690755</v>
      </c>
    </row>
    <row r="444" spans="1:5" x14ac:dyDescent="0.25">
      <c r="A444" s="1">
        <f>CCMFUT_F_0_Diário!B443</f>
        <v>46139</v>
      </c>
      <c r="B444" s="2">
        <f>CCMFUT_F_0_Diário!F443</f>
        <v>72.02</v>
      </c>
      <c r="C444" s="9">
        <f t="shared" si="18"/>
        <v>8.6834733893556056E-3</v>
      </c>
      <c r="D444" s="2">
        <f>MAX($B$3:B444)</f>
        <v>91.58</v>
      </c>
      <c r="E444" s="9">
        <f t="shared" si="19"/>
        <v>-0.2135837519108976</v>
      </c>
    </row>
    <row r="445" spans="1:5" x14ac:dyDescent="0.25">
      <c r="A445" s="1">
        <f>CCMFUT_F_0_Diário!B444</f>
        <v>46140</v>
      </c>
      <c r="B445" s="2">
        <f>CCMFUT_F_0_Diário!F444</f>
        <v>71.94</v>
      </c>
      <c r="C445" s="9">
        <f t="shared" si="18"/>
        <v>-1.1108025548458526E-3</v>
      </c>
      <c r="D445" s="2">
        <f>MAX($B$3:B445)</f>
        <v>91.58</v>
      </c>
      <c r="E445" s="9">
        <f t="shared" si="19"/>
        <v>-0.21445730508844726</v>
      </c>
    </row>
    <row r="446" spans="1:5" x14ac:dyDescent="0.25">
      <c r="A446" s="1">
        <f>CCMFUT_F_0_Diário!B445</f>
        <v>46141</v>
      </c>
      <c r="B446" s="2">
        <f>CCMFUT_F_0_Diário!F445</f>
        <v>72.05</v>
      </c>
      <c r="C446" s="9">
        <f t="shared" si="18"/>
        <v>1.5290519877675763E-3</v>
      </c>
      <c r="D446" s="2">
        <f>MAX($B$3:B446)</f>
        <v>91.58</v>
      </c>
      <c r="E446" s="9">
        <f t="shared" si="19"/>
        <v>-0.21325616946931647</v>
      </c>
    </row>
    <row r="447" spans="1:5" x14ac:dyDescent="0.25">
      <c r="A447" s="1">
        <f>CCMFUT_F_0_Diário!B446</f>
        <v>46142</v>
      </c>
      <c r="B447" s="2">
        <f>CCMFUT_F_0_Diário!F446</f>
        <v>71.599999999999994</v>
      </c>
      <c r="C447" s="9">
        <f t="shared" si="18"/>
        <v>-6.2456627342123922E-3</v>
      </c>
      <c r="D447" s="2">
        <f>MAX($B$3:B447)</f>
        <v>91.58</v>
      </c>
      <c r="E447" s="9">
        <f t="shared" si="19"/>
        <v>-0.21816990609303347</v>
      </c>
    </row>
    <row r="448" spans="1:5" x14ac:dyDescent="0.25">
      <c r="A448" s="1">
        <f>CCMFUT_F_0_Diário!B447</f>
        <v>46146</v>
      </c>
      <c r="B448" s="2">
        <f>CCMFUT_F_0_Diário!F447</f>
        <v>71.2</v>
      </c>
      <c r="C448" s="9">
        <f t="shared" si="18"/>
        <v>-5.5865921787708311E-3</v>
      </c>
      <c r="D448" s="2">
        <f>MAX($B$3:B448)</f>
        <v>91.58</v>
      </c>
      <c r="E448" s="9">
        <f t="shared" si="19"/>
        <v>-0.22253767198078178</v>
      </c>
    </row>
    <row r="449" spans="1:5" x14ac:dyDescent="0.25">
      <c r="A449" s="1">
        <f>CCMFUT_F_0_Diário!B448</f>
        <v>46147</v>
      </c>
      <c r="B449" s="2">
        <f>CCMFUT_F_0_Diário!F448</f>
        <v>70.25</v>
      </c>
      <c r="C449" s="9">
        <f t="shared" si="18"/>
        <v>-1.3342696629213523E-2</v>
      </c>
      <c r="D449" s="2">
        <f>MAX($B$3:B449)</f>
        <v>91.58</v>
      </c>
      <c r="E449" s="9">
        <f t="shared" si="19"/>
        <v>-0.23291111596418432</v>
      </c>
    </row>
    <row r="450" spans="1:5" x14ac:dyDescent="0.25">
      <c r="A450" s="1">
        <f>CCMFUT_F_0_Diário!B449</f>
        <v>46148</v>
      </c>
      <c r="B450" s="2">
        <f>CCMFUT_F_0_Diário!F449</f>
        <v>69.349999999999994</v>
      </c>
      <c r="C450" s="9">
        <f t="shared" si="18"/>
        <v>-1.2811387900355953E-2</v>
      </c>
      <c r="D450" s="2">
        <f>MAX($B$3:B450)</f>
        <v>91.58</v>
      </c>
      <c r="E450" s="9">
        <f t="shared" si="19"/>
        <v>-0.24273858921161831</v>
      </c>
    </row>
    <row r="451" spans="1:5" x14ac:dyDescent="0.25">
      <c r="A451" s="1">
        <f>CCMFUT_F_0_Diário!B450</f>
        <v>46149</v>
      </c>
      <c r="B451" s="2">
        <f>CCMFUT_F_0_Diário!F450</f>
        <v>69.489999999999995</v>
      </c>
      <c r="C451" s="9">
        <f t="shared" si="18"/>
        <v>2.0187454938716738E-3</v>
      </c>
      <c r="D451" s="2">
        <f>MAX($B$3:B451)</f>
        <v>91.58</v>
      </c>
      <c r="E451" s="9">
        <f t="shared" si="19"/>
        <v>-0.24120987115090636</v>
      </c>
    </row>
    <row r="452" spans="1:5" x14ac:dyDescent="0.25">
      <c r="A452" s="1">
        <f>CCMFUT_F_0_Diário!B451</f>
        <v>46150</v>
      </c>
      <c r="B452" s="2">
        <f>CCMFUT_F_0_Diário!F451</f>
        <v>69.72</v>
      </c>
      <c r="C452" s="9">
        <f t="shared" si="18"/>
        <v>3.3098287523385234E-3</v>
      </c>
      <c r="D452" s="2">
        <f>MAX($B$3:B452)</f>
        <v>91.58</v>
      </c>
      <c r="E452" s="9">
        <f t="shared" si="19"/>
        <v>-0.23869840576545098</v>
      </c>
    </row>
    <row r="453" spans="1:5" x14ac:dyDescent="0.25">
      <c r="A453" s="1">
        <f>CCMFUT_F_0_Diário!B452</f>
        <v>46153</v>
      </c>
      <c r="B453" s="2">
        <f>CCMFUT_F_0_Diário!F452</f>
        <v>70.16</v>
      </c>
      <c r="C453" s="9">
        <f t="shared" ref="C453:C501" si="20">(B453-B452)/B452</f>
        <v>6.3109581181870012E-3</v>
      </c>
      <c r="D453" s="2">
        <f>MAX($B$3:B453)</f>
        <v>91.58</v>
      </c>
      <c r="E453" s="9">
        <f t="shared" ref="E453:E501" si="21">(B453-D453)/D453</f>
        <v>-0.23389386328892775</v>
      </c>
    </row>
    <row r="454" spans="1:5" x14ac:dyDescent="0.25">
      <c r="A454" s="1">
        <f>CCMFUT_F_0_Diário!B453</f>
        <v>46154</v>
      </c>
      <c r="B454" s="2">
        <f>CCMFUT_F_0_Diário!F453</f>
        <v>70.599999999999994</v>
      </c>
      <c r="C454" s="9">
        <f t="shared" si="20"/>
        <v>6.2713797035347458E-3</v>
      </c>
      <c r="D454" s="2">
        <f>MAX($B$3:B454)</f>
        <v>91.58</v>
      </c>
      <c r="E454" s="9">
        <f t="shared" si="21"/>
        <v>-0.22908932081240449</v>
      </c>
    </row>
    <row r="455" spans="1:5" x14ac:dyDescent="0.25">
      <c r="A455" s="1">
        <f>CCMFUT_F_0_Diário!B454</f>
        <v>46155</v>
      </c>
      <c r="B455" s="2">
        <f>CCMFUT_F_0_Diário!F454</f>
        <v>70.099999999999994</v>
      </c>
      <c r="C455" s="9">
        <f t="shared" si="20"/>
        <v>-7.0821529745042503E-3</v>
      </c>
      <c r="D455" s="2">
        <f>MAX($B$3:B455)</f>
        <v>91.58</v>
      </c>
      <c r="E455" s="9">
        <f t="shared" si="21"/>
        <v>-0.23454902817209003</v>
      </c>
    </row>
    <row r="456" spans="1:5" x14ac:dyDescent="0.25">
      <c r="A456" s="1">
        <f>CCMFUT_F_0_Diário!B455</f>
        <v>46156</v>
      </c>
      <c r="B456" s="2">
        <f>CCMFUT_F_0_Diário!F455</f>
        <v>69.8</v>
      </c>
      <c r="C456" s="9">
        <f t="shared" si="20"/>
        <v>-4.2796005706133696E-3</v>
      </c>
      <c r="D456" s="2">
        <f>MAX($B$3:B456)</f>
        <v>91.58</v>
      </c>
      <c r="E456" s="9">
        <f t="shared" si="21"/>
        <v>-0.23782485258790131</v>
      </c>
    </row>
    <row r="457" spans="1:5" x14ac:dyDescent="0.25">
      <c r="A457" s="1">
        <f>CCMFUT_F_0_Diário!B456</f>
        <v>46157</v>
      </c>
      <c r="B457" s="2">
        <f>CCMFUT_F_0_Diário!F456</f>
        <v>69.63</v>
      </c>
      <c r="C457" s="9">
        <f t="shared" si="20"/>
        <v>-2.4355300859599097E-3</v>
      </c>
      <c r="D457" s="2">
        <f>MAX($B$3:B457)</f>
        <v>91.58</v>
      </c>
      <c r="E457" s="9">
        <f t="shared" si="21"/>
        <v>-0.23968115309019439</v>
      </c>
    </row>
    <row r="458" spans="1:5" x14ac:dyDescent="0.25">
      <c r="A458" s="1">
        <f>CCMFUT_F_0_Diário!B457</f>
        <v>46160</v>
      </c>
      <c r="B458" s="2">
        <f>CCMFUT_F_0_Diário!F457</f>
        <v>69.86</v>
      </c>
      <c r="C458" s="9">
        <f t="shared" si="20"/>
        <v>3.3031739192877206E-3</v>
      </c>
      <c r="D458" s="2">
        <f>MAX($B$3:B458)</f>
        <v>91.58</v>
      </c>
      <c r="E458" s="9">
        <f t="shared" si="21"/>
        <v>-0.23716968770473901</v>
      </c>
    </row>
    <row r="459" spans="1:5" x14ac:dyDescent="0.25">
      <c r="A459" s="1">
        <f>CCMFUT_F_0_Diário!B458</f>
        <v>46161</v>
      </c>
      <c r="B459" s="2">
        <f>CCMFUT_F_0_Diário!F458</f>
        <v>69.8</v>
      </c>
      <c r="C459" s="9">
        <f t="shared" si="20"/>
        <v>-8.5886057829948862E-4</v>
      </c>
      <c r="D459" s="2">
        <f>MAX($B$3:B459)</f>
        <v>91.58</v>
      </c>
      <c r="E459" s="9">
        <f t="shared" si="21"/>
        <v>-0.23782485258790131</v>
      </c>
    </row>
    <row r="460" spans="1:5" x14ac:dyDescent="0.25">
      <c r="A460" s="1">
        <f>CCMFUT_F_0_Diário!B459</f>
        <v>46162</v>
      </c>
      <c r="B460" s="2">
        <f>CCMFUT_F_0_Diário!F459</f>
        <v>69.83</v>
      </c>
      <c r="C460" s="9">
        <f t="shared" si="20"/>
        <v>4.2979942693411374E-4</v>
      </c>
      <c r="D460" s="2">
        <f>MAX($B$3:B460)</f>
        <v>91.58</v>
      </c>
      <c r="E460" s="9">
        <f t="shared" si="21"/>
        <v>-0.23749727014632016</v>
      </c>
    </row>
    <row r="461" spans="1:5" x14ac:dyDescent="0.25">
      <c r="A461" s="1">
        <f>CCMFUT_F_0_Diário!B460</f>
        <v>46163</v>
      </c>
      <c r="B461" s="2">
        <f>CCMFUT_F_0_Diário!F460</f>
        <v>70</v>
      </c>
      <c r="C461" s="9">
        <f t="shared" si="20"/>
        <v>2.4344837462408953E-3</v>
      </c>
      <c r="D461" s="2">
        <f>MAX($B$3:B461)</f>
        <v>91.58</v>
      </c>
      <c r="E461" s="9">
        <f t="shared" si="21"/>
        <v>-0.23564096964402706</v>
      </c>
    </row>
    <row r="462" spans="1:5" x14ac:dyDescent="0.25">
      <c r="A462" s="1">
        <f>CCMFUT_F_0_Diário!B461</f>
        <v>46164</v>
      </c>
      <c r="B462" s="2">
        <f>CCMFUT_F_0_Diário!F461</f>
        <v>69.94</v>
      </c>
      <c r="C462" s="9">
        <f t="shared" si="20"/>
        <v>-8.5714285714288962E-4</v>
      </c>
      <c r="D462" s="2">
        <f>MAX($B$3:B462)</f>
        <v>91.58</v>
      </c>
      <c r="E462" s="9">
        <f t="shared" si="21"/>
        <v>-0.23629613452718937</v>
      </c>
    </row>
    <row r="463" spans="1:5" x14ac:dyDescent="0.25">
      <c r="A463" s="1">
        <f>CCMFUT_F_0_Diário!B462</f>
        <v>46167</v>
      </c>
      <c r="B463" s="2">
        <f>CCMFUT_F_0_Diário!F462</f>
        <v>69.5</v>
      </c>
      <c r="C463" s="9">
        <f t="shared" si="20"/>
        <v>-6.2911066628538424E-3</v>
      </c>
      <c r="D463" s="2">
        <f>MAX($B$3:B463)</f>
        <v>91.58</v>
      </c>
      <c r="E463" s="9">
        <f t="shared" si="21"/>
        <v>-0.2411006770037126</v>
      </c>
    </row>
    <row r="464" spans="1:5" x14ac:dyDescent="0.25">
      <c r="A464" s="1">
        <f>CCMFUT_F_0_Diário!B463</f>
        <v>46168</v>
      </c>
      <c r="B464" s="2">
        <f>CCMFUT_F_0_Diário!F463</f>
        <v>68.95</v>
      </c>
      <c r="C464" s="9">
        <f t="shared" si="20"/>
        <v>-7.9136690647481599E-3</v>
      </c>
      <c r="D464" s="2">
        <f>MAX($B$3:B464)</f>
        <v>91.58</v>
      </c>
      <c r="E464" s="9">
        <f t="shared" si="21"/>
        <v>-0.24710635509936663</v>
      </c>
    </row>
    <row r="465" spans="1:5" x14ac:dyDescent="0.25">
      <c r="A465" s="1">
        <f>CCMFUT_F_0_Diário!B464</f>
        <v>46169</v>
      </c>
      <c r="B465" s="2">
        <f>CCMFUT_F_0_Diário!F464</f>
        <v>68.3</v>
      </c>
      <c r="C465" s="9">
        <f t="shared" si="20"/>
        <v>-9.4271211022480886E-3</v>
      </c>
      <c r="D465" s="2">
        <f>MAX($B$3:B465)</f>
        <v>91.58</v>
      </c>
      <c r="E465" s="9">
        <f t="shared" si="21"/>
        <v>-0.25420397466695788</v>
      </c>
    </row>
    <row r="466" spans="1:5" x14ac:dyDescent="0.25">
      <c r="A466" s="1">
        <f>CCMFUT_F_0_Diário!B465</f>
        <v>46170</v>
      </c>
      <c r="B466" s="2">
        <f>CCMFUT_F_0_Diário!F465</f>
        <v>68.739999999999995</v>
      </c>
      <c r="C466" s="9">
        <f t="shared" si="20"/>
        <v>6.4421669106881074E-3</v>
      </c>
      <c r="D466" s="2">
        <f>MAX($B$3:B466)</f>
        <v>91.58</v>
      </c>
      <c r="E466" s="9">
        <f t="shared" si="21"/>
        <v>-0.24939943219043464</v>
      </c>
    </row>
    <row r="467" spans="1:5" x14ac:dyDescent="0.25">
      <c r="A467" s="1">
        <f>CCMFUT_F_0_Diário!B466</f>
        <v>46171</v>
      </c>
      <c r="B467" s="2">
        <f>CCMFUT_F_0_Diário!F466</f>
        <v>68.099999999999994</v>
      </c>
      <c r="C467" s="9">
        <f t="shared" si="20"/>
        <v>-9.310445155659014E-3</v>
      </c>
      <c r="D467" s="2">
        <f>MAX($B$3:B467)</f>
        <v>91.58</v>
      </c>
      <c r="E467" s="9">
        <f t="shared" si="21"/>
        <v>-0.2563878576108321</v>
      </c>
    </row>
    <row r="468" spans="1:5" x14ac:dyDescent="0.25">
      <c r="A468" s="1">
        <f>CCMFUT_F_0_Diário!B467</f>
        <v>46174</v>
      </c>
      <c r="B468" s="2">
        <f>CCMFUT_F_0_Diário!F467</f>
        <v>67.75</v>
      </c>
      <c r="C468" s="9">
        <f t="shared" si="20"/>
        <v>-5.1395007342143074E-3</v>
      </c>
      <c r="D468" s="2">
        <f>MAX($B$3:B468)</f>
        <v>91.58</v>
      </c>
      <c r="E468" s="9">
        <f t="shared" si="21"/>
        <v>-0.26020965276261193</v>
      </c>
    </row>
    <row r="469" spans="1:5" x14ac:dyDescent="0.25">
      <c r="A469" s="1">
        <f>CCMFUT_F_0_Diário!B468</f>
        <v>46175</v>
      </c>
      <c r="B469" s="2">
        <f>CCMFUT_F_0_Diário!F468</f>
        <v>66.959999999999994</v>
      </c>
      <c r="C469" s="9">
        <f t="shared" si="20"/>
        <v>-1.1660516605166144E-2</v>
      </c>
      <c r="D469" s="2">
        <f>MAX($B$3:B469)</f>
        <v>91.58</v>
      </c>
      <c r="E469" s="9">
        <f t="shared" si="21"/>
        <v>-0.2688359903909151</v>
      </c>
    </row>
    <row r="470" spans="1:5" x14ac:dyDescent="0.25">
      <c r="A470" s="1">
        <f>CCMFUT_F_0_Diário!B469</f>
        <v>46176</v>
      </c>
      <c r="B470" s="2">
        <f>CCMFUT_F_0_Diário!F469</f>
        <v>68.2</v>
      </c>
      <c r="C470" s="9">
        <f t="shared" si="20"/>
        <v>1.8518518518518656E-2</v>
      </c>
      <c r="D470" s="2">
        <f>MAX($B$3:B470)</f>
        <v>91.58</v>
      </c>
      <c r="E470" s="9">
        <f t="shared" si="21"/>
        <v>-0.25529591613889491</v>
      </c>
    </row>
    <row r="471" spans="1:5" x14ac:dyDescent="0.25">
      <c r="A471" s="1">
        <f>CCMFUT_F_0_Diário!B470</f>
        <v>46178</v>
      </c>
      <c r="B471" s="2">
        <f>CCMFUT_F_0_Diário!F470</f>
        <v>68.8</v>
      </c>
      <c r="C471" s="9">
        <f t="shared" si="20"/>
        <v>8.7976539589441974E-3</v>
      </c>
      <c r="D471" s="2">
        <f>MAX($B$3:B471)</f>
        <v>91.58</v>
      </c>
      <c r="E471" s="9">
        <f t="shared" si="21"/>
        <v>-0.24874426730727234</v>
      </c>
    </row>
    <row r="472" spans="1:5" x14ac:dyDescent="0.25">
      <c r="A472" s="1">
        <f>CCMFUT_F_0_Diário!B471</f>
        <v>46181</v>
      </c>
      <c r="B472" s="2">
        <f>CCMFUT_F_0_Diário!F471</f>
        <v>67.45</v>
      </c>
      <c r="C472" s="9">
        <f t="shared" si="20"/>
        <v>-1.9622093023255731E-2</v>
      </c>
      <c r="D472" s="2">
        <f>MAX($B$3:B472)</f>
        <v>91.58</v>
      </c>
      <c r="E472" s="9">
        <f t="shared" si="21"/>
        <v>-0.26348547717842319</v>
      </c>
    </row>
    <row r="473" spans="1:5" x14ac:dyDescent="0.25">
      <c r="A473" s="1">
        <f>CCMFUT_F_0_Diário!B472</f>
        <v>46182</v>
      </c>
      <c r="B473" s="2">
        <f>CCMFUT_F_0_Diário!F472</f>
        <v>67.459999999999994</v>
      </c>
      <c r="C473" s="9">
        <f t="shared" si="20"/>
        <v>1.482579688656917E-4</v>
      </c>
      <c r="D473" s="2">
        <f>MAX($B$3:B473)</f>
        <v>91.58</v>
      </c>
      <c r="E473" s="9">
        <f t="shared" si="21"/>
        <v>-0.26337628303122956</v>
      </c>
    </row>
    <row r="474" spans="1:5" x14ac:dyDescent="0.25">
      <c r="A474" s="1">
        <f>CCMFUT_F_0_Diário!B473</f>
        <v>46183</v>
      </c>
      <c r="B474" s="2">
        <f>CCMFUT_F_0_Diário!F473</f>
        <v>66.8</v>
      </c>
      <c r="C474" s="9">
        <f t="shared" si="20"/>
        <v>-9.7835754521197246E-3</v>
      </c>
      <c r="D474" s="2">
        <f>MAX($B$3:B474)</f>
        <v>91.58</v>
      </c>
      <c r="E474" s="9">
        <f t="shared" si="21"/>
        <v>-0.27058309674601444</v>
      </c>
    </row>
    <row r="475" spans="1:5" x14ac:dyDescent="0.25">
      <c r="A475" s="1">
        <f>CCMFUT_F_0_Diário!B474</f>
        <v>46184</v>
      </c>
      <c r="B475" s="2">
        <f>CCMFUT_F_0_Diário!F474</f>
        <v>66.459999999999994</v>
      </c>
      <c r="C475" s="9">
        <f t="shared" si="20"/>
        <v>-5.0898203592814883E-3</v>
      </c>
      <c r="D475" s="2">
        <f>MAX($B$3:B475)</f>
        <v>91.58</v>
      </c>
      <c r="E475" s="9">
        <f t="shared" si="21"/>
        <v>-0.27429569775060064</v>
      </c>
    </row>
    <row r="476" spans="1:5" x14ac:dyDescent="0.25">
      <c r="A476" s="1">
        <f>CCMFUT_F_0_Diário!B475</f>
        <v>46185</v>
      </c>
      <c r="B476" s="2">
        <f>CCMFUT_F_0_Diário!F475</f>
        <v>66.83</v>
      </c>
      <c r="C476" s="9">
        <f t="shared" si="20"/>
        <v>5.5672585013542665E-3</v>
      </c>
      <c r="D476" s="2">
        <f>MAX($B$3:B476)</f>
        <v>91.58</v>
      </c>
      <c r="E476" s="9">
        <f t="shared" si="21"/>
        <v>-0.27025551430443329</v>
      </c>
    </row>
    <row r="477" spans="1:5" x14ac:dyDescent="0.25">
      <c r="A477" s="1">
        <f>CCMFUT_F_0_Diário!B476</f>
        <v>46188</v>
      </c>
      <c r="B477" s="2">
        <f>CCMFUT_F_0_Diário!F476</f>
        <v>66.95</v>
      </c>
      <c r="C477" s="9">
        <f t="shared" si="20"/>
        <v>1.7956007780937386E-3</v>
      </c>
      <c r="D477" s="2">
        <f>MAX($B$3:B477)</f>
        <v>91.58</v>
      </c>
      <c r="E477" s="9">
        <f t="shared" si="21"/>
        <v>-0.26894518453810873</v>
      </c>
    </row>
    <row r="478" spans="1:5" x14ac:dyDescent="0.25">
      <c r="A478" s="1">
        <f>CCMFUT_F_0_Diário!B477</f>
        <v>46189</v>
      </c>
      <c r="B478" s="2">
        <f>CCMFUT_F_0_Diário!F477</f>
        <v>67</v>
      </c>
      <c r="C478" s="9">
        <f t="shared" si="20"/>
        <v>7.468259895443937E-4</v>
      </c>
      <c r="D478" s="2">
        <f>MAX($B$3:B478)</f>
        <v>91.58</v>
      </c>
      <c r="E478" s="9">
        <f t="shared" si="21"/>
        <v>-0.26839921380214021</v>
      </c>
    </row>
    <row r="479" spans="1:5" x14ac:dyDescent="0.25">
      <c r="A479" s="1">
        <f>CCMFUT_F_0_Diário!B478</f>
        <v>46190</v>
      </c>
      <c r="B479" s="2">
        <f>CCMFUT_F_0_Diário!F478</f>
        <v>67.28</v>
      </c>
      <c r="C479" s="9">
        <f t="shared" si="20"/>
        <v>4.1791044776119573E-3</v>
      </c>
      <c r="D479" s="2">
        <f>MAX($B$3:B479)</f>
        <v>91.58</v>
      </c>
      <c r="E479" s="9">
        <f t="shared" si="21"/>
        <v>-0.26534177768071626</v>
      </c>
    </row>
    <row r="480" spans="1:5" x14ac:dyDescent="0.25">
      <c r="A480" s="1">
        <f>CCMFUT_F_0_Diário!B479</f>
        <v>46191</v>
      </c>
      <c r="B480" s="2">
        <f>CCMFUT_F_0_Diário!F479</f>
        <v>67.03</v>
      </c>
      <c r="C480" s="9">
        <f t="shared" si="20"/>
        <v>-3.7158145065398335E-3</v>
      </c>
      <c r="D480" s="2">
        <f>MAX($B$3:B480)</f>
        <v>91.58</v>
      </c>
      <c r="E480" s="9">
        <f t="shared" si="21"/>
        <v>-0.26807163136055906</v>
      </c>
    </row>
    <row r="481" spans="1:5" x14ac:dyDescent="0.25">
      <c r="A481" s="1">
        <f>CCMFUT_F_0_Diário!B480</f>
        <v>46192</v>
      </c>
      <c r="B481" s="2">
        <f>CCMFUT_F_0_Diário!F480</f>
        <v>66.8</v>
      </c>
      <c r="C481" s="9">
        <f t="shared" si="20"/>
        <v>-3.4312994181710274E-3</v>
      </c>
      <c r="D481" s="2">
        <f>MAX($B$3:B481)</f>
        <v>91.58</v>
      </c>
      <c r="E481" s="9">
        <f t="shared" si="21"/>
        <v>-0.27058309674601444</v>
      </c>
    </row>
    <row r="482" spans="1:5" x14ac:dyDescent="0.25">
      <c r="A482" s="1">
        <f>CCMFUT_F_0_Diário!B481</f>
        <v>46195</v>
      </c>
      <c r="B482" s="2">
        <f>CCMFUT_F_0_Diário!F481</f>
        <v>66.650000000000006</v>
      </c>
      <c r="C482" s="9">
        <f t="shared" si="20"/>
        <v>-2.2455089820358006E-3</v>
      </c>
      <c r="D482" s="2">
        <f>MAX($B$3:B482)</f>
        <v>91.58</v>
      </c>
      <c r="E482" s="9">
        <f t="shared" si="21"/>
        <v>-0.27222100895391999</v>
      </c>
    </row>
    <row r="483" spans="1:5" x14ac:dyDescent="0.25">
      <c r="A483" s="1">
        <f>CCMFUT_F_0_Diário!B482</f>
        <v>46196</v>
      </c>
      <c r="B483" s="2">
        <f>CCMFUT_F_0_Diário!F482</f>
        <v>67.2</v>
      </c>
      <c r="C483" s="9">
        <f t="shared" si="20"/>
        <v>8.2520630157538952E-3</v>
      </c>
      <c r="D483" s="2">
        <f>MAX($B$3:B483)</f>
        <v>91.58</v>
      </c>
      <c r="E483" s="9">
        <f t="shared" si="21"/>
        <v>-0.26621533085826593</v>
      </c>
    </row>
    <row r="484" spans="1:5" x14ac:dyDescent="0.25">
      <c r="A484" s="1">
        <f>CCMFUT_F_0_Diário!B483</f>
        <v>46197</v>
      </c>
      <c r="B484" s="2">
        <f>CCMFUT_F_0_Diário!F483</f>
        <v>67.489999999999995</v>
      </c>
      <c r="C484" s="9">
        <f t="shared" si="20"/>
        <v>4.3154761904760719E-3</v>
      </c>
      <c r="D484" s="2">
        <f>MAX($B$3:B484)</f>
        <v>91.58</v>
      </c>
      <c r="E484" s="9">
        <f t="shared" si="21"/>
        <v>-0.26304870058964841</v>
      </c>
    </row>
    <row r="485" spans="1:5" x14ac:dyDescent="0.25">
      <c r="A485" s="1">
        <f>CCMFUT_F_0_Diário!B484</f>
        <v>46198</v>
      </c>
      <c r="B485" s="2">
        <f>CCMFUT_F_0_Diário!F484</f>
        <v>68</v>
      </c>
      <c r="C485" s="9">
        <f t="shared" si="20"/>
        <v>7.5566750629723683E-3</v>
      </c>
      <c r="D485" s="2">
        <f>MAX($B$3:B485)</f>
        <v>91.58</v>
      </c>
      <c r="E485" s="9">
        <f t="shared" si="21"/>
        <v>-0.25747979908276913</v>
      </c>
    </row>
    <row r="486" spans="1:5" x14ac:dyDescent="0.25">
      <c r="A486" s="1">
        <f>CCMFUT_F_0_Diário!B485</f>
        <v>46199</v>
      </c>
      <c r="B486" s="2">
        <f>CCMFUT_F_0_Diário!F485</f>
        <v>67.959999999999994</v>
      </c>
      <c r="C486" s="9">
        <f t="shared" si="20"/>
        <v>-5.8823529411773906E-4</v>
      </c>
      <c r="D486" s="2">
        <f>MAX($B$3:B486)</f>
        <v>91.58</v>
      </c>
      <c r="E486" s="9">
        <f t="shared" si="21"/>
        <v>-0.25791657567154408</v>
      </c>
    </row>
    <row r="487" spans="1:5" x14ac:dyDescent="0.25">
      <c r="A487" s="1">
        <f>CCMFUT_F_0_Diário!B486</f>
        <v>46202</v>
      </c>
      <c r="B487" s="2">
        <f>CCMFUT_F_0_Diário!F486</f>
        <v>67.63</v>
      </c>
      <c r="C487" s="9">
        <f t="shared" si="20"/>
        <v>-4.8557975279575971E-3</v>
      </c>
      <c r="D487" s="2">
        <f>MAX($B$3:B487)</f>
        <v>91.58</v>
      </c>
      <c r="E487" s="9">
        <f t="shared" si="21"/>
        <v>-0.26151998252893649</v>
      </c>
    </row>
    <row r="488" spans="1:5" x14ac:dyDescent="0.25">
      <c r="A488" s="1">
        <f>CCMFUT_F_0_Diário!B487</f>
        <v>46203</v>
      </c>
      <c r="B488" s="2">
        <f>CCMFUT_F_0_Diário!F487</f>
        <v>68.2</v>
      </c>
      <c r="C488" s="9">
        <f t="shared" si="20"/>
        <v>8.4282123318055215E-3</v>
      </c>
      <c r="D488" s="2">
        <f>MAX($B$3:B488)</f>
        <v>91.58</v>
      </c>
      <c r="E488" s="9">
        <f t="shared" si="21"/>
        <v>-0.25529591613889491</v>
      </c>
    </row>
    <row r="489" spans="1:5" x14ac:dyDescent="0.25">
      <c r="A489" s="1">
        <f>CCMFUT_F_0_Diário!B488</f>
        <v>46204</v>
      </c>
      <c r="B489" s="2">
        <f>CCMFUT_F_0_Diário!F488</f>
        <v>68.36</v>
      </c>
      <c r="C489" s="9">
        <f t="shared" si="20"/>
        <v>2.3460410557184248E-3</v>
      </c>
      <c r="D489" s="2">
        <f>MAX($B$3:B489)</f>
        <v>91.58</v>
      </c>
      <c r="E489" s="9">
        <f t="shared" si="21"/>
        <v>-0.25354880978379557</v>
      </c>
    </row>
    <row r="490" spans="1:5" x14ac:dyDescent="0.25">
      <c r="A490" s="1">
        <f>CCMFUT_F_0_Diário!B489</f>
        <v>46205</v>
      </c>
      <c r="B490" s="2">
        <f>CCMFUT_F_0_Diário!F489</f>
        <v>67.989999999999995</v>
      </c>
      <c r="C490" s="9">
        <f t="shared" si="20"/>
        <v>-5.4125219426565908E-3</v>
      </c>
      <c r="D490" s="2">
        <f>MAX($B$3:B490)</f>
        <v>91.58</v>
      </c>
      <c r="E490" s="9">
        <f t="shared" si="21"/>
        <v>-0.25758899322996293</v>
      </c>
    </row>
    <row r="491" spans="1:5" x14ac:dyDescent="0.25">
      <c r="A491" s="1">
        <f>CCMFUT_F_0_Diário!B490</f>
        <v>46206</v>
      </c>
      <c r="B491" s="2">
        <f>CCMFUT_F_0_Diário!F490</f>
        <v>67</v>
      </c>
      <c r="C491" s="9">
        <f t="shared" si="20"/>
        <v>-1.4560964847771658E-2</v>
      </c>
      <c r="D491" s="2">
        <f>MAX($B$3:B491)</f>
        <v>91.58</v>
      </c>
      <c r="E491" s="9">
        <f t="shared" si="21"/>
        <v>-0.26839921380214021</v>
      </c>
    </row>
    <row r="492" spans="1:5" x14ac:dyDescent="0.25">
      <c r="A492" s="1">
        <f>CCMFUT_F_0_Diário!B491</f>
        <v>46209</v>
      </c>
      <c r="B492" s="2">
        <f>CCMFUT_F_0_Diário!F491</f>
        <v>68.349999999999994</v>
      </c>
      <c r="C492" s="9">
        <f t="shared" si="20"/>
        <v>2.01492537313432E-2</v>
      </c>
      <c r="D492" s="2">
        <f>MAX($B$3:B492)</f>
        <v>91.58</v>
      </c>
      <c r="E492" s="9">
        <f t="shared" si="21"/>
        <v>-0.25365800393098936</v>
      </c>
    </row>
    <row r="493" spans="1:5" x14ac:dyDescent="0.25">
      <c r="A493" s="1">
        <f>CCMFUT_F_0_Diário!B492</f>
        <v>46210</v>
      </c>
      <c r="B493" s="2">
        <f>CCMFUT_F_0_Diário!F492</f>
        <v>68.2</v>
      </c>
      <c r="C493" s="9">
        <f t="shared" si="20"/>
        <v>-2.1945866861739793E-3</v>
      </c>
      <c r="D493" s="2">
        <f>MAX($B$3:B493)</f>
        <v>91.58</v>
      </c>
      <c r="E493" s="9">
        <f t="shared" si="21"/>
        <v>-0.25529591613889491</v>
      </c>
    </row>
    <row r="494" spans="1:5" x14ac:dyDescent="0.25">
      <c r="A494" s="1">
        <f>CCMFUT_F_0_Diário!B493</f>
        <v>46211</v>
      </c>
      <c r="B494" s="2">
        <f>CCMFUT_F_0_Diário!F493</f>
        <v>68.040000000000006</v>
      </c>
      <c r="C494" s="9">
        <f t="shared" si="20"/>
        <v>-2.3460410557184248E-3</v>
      </c>
      <c r="D494" s="2">
        <f>MAX($B$3:B494)</f>
        <v>91.58</v>
      </c>
      <c r="E494" s="9">
        <f t="shared" si="21"/>
        <v>-0.25704302249399424</v>
      </c>
    </row>
    <row r="495" spans="1:5" x14ac:dyDescent="0.25">
      <c r="A495" s="1">
        <f>CCMFUT_F_0_Diário!B494</f>
        <v>46212</v>
      </c>
      <c r="B495" s="2">
        <f>CCMFUT_F_0_Diário!F494</f>
        <v>67.45</v>
      </c>
      <c r="C495" s="9">
        <f t="shared" si="20"/>
        <v>-8.6713697824809428E-3</v>
      </c>
      <c r="D495" s="2">
        <f>MAX($B$3:B495)</f>
        <v>91.58</v>
      </c>
      <c r="E495" s="9">
        <f t="shared" si="21"/>
        <v>-0.26348547717842319</v>
      </c>
    </row>
    <row r="496" spans="1:5" x14ac:dyDescent="0.25">
      <c r="A496" s="1">
        <f>CCMFUT_F_0_Diário!B495</f>
        <v>46213</v>
      </c>
      <c r="B496" s="2">
        <f>CCMFUT_F_0_Diário!F495</f>
        <v>67.25</v>
      </c>
      <c r="C496" s="9">
        <f t="shared" si="20"/>
        <v>-2.9651593773165727E-3</v>
      </c>
      <c r="D496" s="2">
        <f>MAX($B$3:B496)</f>
        <v>91.58</v>
      </c>
      <c r="E496" s="9">
        <f t="shared" si="21"/>
        <v>-0.26566936012229742</v>
      </c>
    </row>
    <row r="497" spans="1:5" x14ac:dyDescent="0.25">
      <c r="A497" s="1">
        <f>CCMFUT_F_0_Diário!B496</f>
        <v>46216</v>
      </c>
      <c r="B497" s="2">
        <f>CCMFUT_F_0_Diário!F496</f>
        <v>67.900000000000006</v>
      </c>
      <c r="C497" s="9">
        <f t="shared" si="20"/>
        <v>9.6654275092937642E-3</v>
      </c>
      <c r="D497" s="2">
        <f>MAX($B$3:B497)</f>
        <v>91.58</v>
      </c>
      <c r="E497" s="9">
        <f t="shared" si="21"/>
        <v>-0.25857174055470616</v>
      </c>
    </row>
    <row r="498" spans="1:5" x14ac:dyDescent="0.25">
      <c r="A498" s="1">
        <f>CCMFUT_F_0_Diário!B497</f>
        <v>46217</v>
      </c>
      <c r="B498" s="2">
        <f>CCMFUT_F_0_Diário!F497</f>
        <v>67.42</v>
      </c>
      <c r="C498" s="9">
        <f t="shared" si="20"/>
        <v>-7.0692194403535191E-3</v>
      </c>
      <c r="D498" s="2">
        <f>MAX($B$3:B498)</f>
        <v>91.58</v>
      </c>
      <c r="E498" s="9">
        <f t="shared" si="21"/>
        <v>-0.26381305962000434</v>
      </c>
    </row>
    <row r="499" spans="1:5" x14ac:dyDescent="0.25">
      <c r="A499" s="1">
        <f>CCMFUT_F_0_Diário!B498</f>
        <v>46218</v>
      </c>
      <c r="B499" s="2">
        <f>CCMFUT_F_0_Diário!F498</f>
        <v>68.17</v>
      </c>
      <c r="C499" s="9">
        <f t="shared" si="20"/>
        <v>1.1124295461287452E-2</v>
      </c>
      <c r="D499" s="2">
        <f>MAX($B$3:B499)</f>
        <v>91.58</v>
      </c>
      <c r="E499" s="9">
        <f t="shared" si="21"/>
        <v>-0.25562349858047606</v>
      </c>
    </row>
    <row r="500" spans="1:5" x14ac:dyDescent="0.25">
      <c r="A500" s="1">
        <f>CCMFUT_F_0_Diário!B499</f>
        <v>46219</v>
      </c>
      <c r="B500" s="2">
        <f>CCMFUT_F_0_Diário!F499</f>
        <v>68.430000000000007</v>
      </c>
      <c r="C500" s="9">
        <f t="shared" si="20"/>
        <v>3.8139944257005298E-3</v>
      </c>
      <c r="D500" s="2">
        <f>MAX($B$3:B500)</f>
        <v>91.58</v>
      </c>
      <c r="E500" s="9">
        <f t="shared" si="21"/>
        <v>-0.25278445075343953</v>
      </c>
    </row>
    <row r="501" spans="1:5" x14ac:dyDescent="0.25">
      <c r="A501" s="1">
        <f>CCMFUT_F_0_Diário!B500</f>
        <v>46220</v>
      </c>
      <c r="B501" s="2">
        <f>CCMFUT_F_0_Diário!F500</f>
        <v>68.8</v>
      </c>
      <c r="C501" s="9">
        <f t="shared" si="20"/>
        <v>5.4069852403914997E-3</v>
      </c>
      <c r="D501" s="2">
        <f>MAX($B$3:B501)</f>
        <v>91.58</v>
      </c>
      <c r="E501" s="9">
        <f t="shared" si="21"/>
        <v>-0.24874426730727234</v>
      </c>
    </row>
  </sheetData>
  <mergeCells count="8">
    <mergeCell ref="V1:Z1"/>
    <mergeCell ref="V33:Y33"/>
    <mergeCell ref="A1:E1"/>
    <mergeCell ref="G1:K1"/>
    <mergeCell ref="M1:Q1"/>
    <mergeCell ref="S1:U1"/>
    <mergeCell ref="S14:U14"/>
    <mergeCell ref="S27:U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AEDA-F34F-42C9-A0EC-6F88D15BF4AA}">
  <dimension ref="A1:BN1136"/>
  <sheetViews>
    <sheetView topLeftCell="F1" workbookViewId="0">
      <selection activeCell="D104" sqref="D104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3" width="6.85546875" bestFit="1" customWidth="1"/>
    <col min="4" max="4" width="13.5703125" bestFit="1" customWidth="1"/>
    <col min="5" max="5" width="12.42578125" bestFit="1" customWidth="1"/>
    <col min="7" max="7" width="8.7109375" bestFit="1" customWidth="1"/>
    <col min="8" max="8" width="13.5703125" bestFit="1" customWidth="1"/>
    <col min="9" max="9" width="6.85546875" bestFit="1" customWidth="1"/>
    <col min="10" max="10" width="13.5703125" bestFit="1" customWidth="1"/>
    <col min="11" max="11" width="12.42578125" bestFit="1" customWidth="1"/>
    <col min="13" max="13" width="9" bestFit="1" customWidth="1"/>
    <col min="14" max="14" width="10" bestFit="1" customWidth="1"/>
    <col min="15" max="15" width="7.85546875" bestFit="1" customWidth="1"/>
    <col min="16" max="16" width="13.5703125" bestFit="1" customWidth="1"/>
    <col min="17" max="17" width="12.42578125" bestFit="1" customWidth="1"/>
    <col min="19" max="19" width="18.140625" bestFit="1" customWidth="1"/>
    <col min="20" max="20" width="7.85546875" bestFit="1" customWidth="1"/>
    <col min="22" max="22" width="18.140625" bestFit="1" customWidth="1"/>
    <col min="23" max="23" width="7.85546875" bestFit="1" customWidth="1"/>
    <col min="24" max="24" width="8.7109375" bestFit="1" customWidth="1"/>
    <col min="25" max="25" width="7.85546875" bestFit="1" customWidth="1"/>
  </cols>
  <sheetData>
    <row r="1" spans="1:66" ht="18.75" x14ac:dyDescent="0.3">
      <c r="A1" s="21" t="s">
        <v>9</v>
      </c>
      <c r="B1" s="21"/>
      <c r="C1" s="21"/>
      <c r="D1" s="21"/>
      <c r="E1" s="21"/>
      <c r="G1" s="61" t="s">
        <v>13</v>
      </c>
      <c r="H1" s="61"/>
      <c r="I1" s="61"/>
      <c r="J1" s="61"/>
      <c r="K1" s="61"/>
      <c r="M1" s="63" t="s">
        <v>123</v>
      </c>
      <c r="N1" s="63"/>
      <c r="O1" s="63"/>
      <c r="P1" s="63"/>
      <c r="Q1" s="63"/>
      <c r="S1" s="66" t="s">
        <v>140</v>
      </c>
      <c r="T1" s="66"/>
      <c r="U1" s="66"/>
      <c r="V1" s="70" t="s">
        <v>155</v>
      </c>
      <c r="W1" s="70"/>
      <c r="X1" s="70"/>
      <c r="Y1" s="70"/>
      <c r="Z1" s="70"/>
      <c r="AB1" s="86" t="s">
        <v>2497</v>
      </c>
      <c r="AC1" s="86"/>
      <c r="AD1" s="86"/>
      <c r="AE1" s="86"/>
      <c r="AF1" s="86"/>
      <c r="AG1" s="86"/>
      <c r="AI1" s="76" t="s">
        <v>2502</v>
      </c>
      <c r="AJ1" s="76"/>
      <c r="AL1" s="99" t="s">
        <v>2557</v>
      </c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B1" s="112" t="s">
        <v>2648</v>
      </c>
      <c r="BC1" s="112"/>
      <c r="BD1" s="112"/>
      <c r="BE1" s="112"/>
      <c r="BF1" s="112"/>
      <c r="BG1" s="112"/>
      <c r="BH1" s="112"/>
      <c r="BI1" s="112"/>
      <c r="BJ1" s="112"/>
      <c r="BK1" s="112"/>
      <c r="BL1" s="112"/>
      <c r="BM1" s="112"/>
      <c r="BN1" s="112"/>
    </row>
    <row r="2" spans="1:66" ht="45" x14ac:dyDescent="0.25">
      <c r="A2" s="60" t="s">
        <v>1</v>
      </c>
      <c r="B2" s="60" t="s">
        <v>5</v>
      </c>
      <c r="C2" s="60" t="s">
        <v>10</v>
      </c>
      <c r="D2" s="60" t="s">
        <v>11</v>
      </c>
      <c r="E2" s="60" t="s">
        <v>12</v>
      </c>
      <c r="G2" s="62" t="s">
        <v>14</v>
      </c>
      <c r="H2" s="62" t="s">
        <v>15</v>
      </c>
      <c r="I2" s="62" t="s">
        <v>10</v>
      </c>
      <c r="J2" s="62" t="s">
        <v>11</v>
      </c>
      <c r="K2" s="62" t="s">
        <v>12</v>
      </c>
      <c r="M2" s="64" t="s">
        <v>124</v>
      </c>
      <c r="N2" s="64" t="s">
        <v>125</v>
      </c>
      <c r="O2" s="64" t="s">
        <v>10</v>
      </c>
      <c r="P2" s="64" t="s">
        <v>11</v>
      </c>
      <c r="Q2" s="64" t="s">
        <v>12</v>
      </c>
      <c r="S2" s="60" t="s">
        <v>141</v>
      </c>
      <c r="T2" s="60" t="s">
        <v>152</v>
      </c>
      <c r="V2" s="71" t="s">
        <v>156</v>
      </c>
      <c r="W2" s="71" t="s">
        <v>157</v>
      </c>
      <c r="X2" s="71" t="s">
        <v>158</v>
      </c>
      <c r="Y2" s="71" t="s">
        <v>159</v>
      </c>
      <c r="AB2" s="14" t="s">
        <v>1</v>
      </c>
      <c r="AC2" s="14" t="s">
        <v>5</v>
      </c>
      <c r="AD2" s="14" t="s">
        <v>2498</v>
      </c>
      <c r="AE2" s="14" t="s">
        <v>2499</v>
      </c>
      <c r="AF2" s="14" t="s">
        <v>2500</v>
      </c>
      <c r="AG2" s="14" t="s">
        <v>2501</v>
      </c>
      <c r="AH2" s="14" t="s">
        <v>2508</v>
      </c>
      <c r="AI2" s="7" t="s">
        <v>2503</v>
      </c>
      <c r="AJ2" s="87">
        <f>INTERCEPT(AC3:AC1136,AD3:AD1136)</f>
        <v>82.304568337092562</v>
      </c>
      <c r="AL2" s="100" t="s">
        <v>2558</v>
      </c>
      <c r="AM2" s="100" t="s">
        <v>167</v>
      </c>
      <c r="AN2" s="100" t="s">
        <v>2559</v>
      </c>
      <c r="AO2" s="100" t="s">
        <v>2560</v>
      </c>
      <c r="AP2" s="100" t="s">
        <v>2503</v>
      </c>
      <c r="AQ2" s="100" t="s">
        <v>2504</v>
      </c>
      <c r="AR2" s="100" t="s">
        <v>2505</v>
      </c>
      <c r="AS2" s="100" t="s">
        <v>2506</v>
      </c>
      <c r="AT2" s="100" t="s">
        <v>2561</v>
      </c>
      <c r="AU2" s="100" t="s">
        <v>2562</v>
      </c>
      <c r="AV2" s="100" t="s">
        <v>10</v>
      </c>
      <c r="AW2" s="100" t="s">
        <v>2563</v>
      </c>
      <c r="AX2" s="100" t="s">
        <v>2564</v>
      </c>
      <c r="AY2" s="100" t="s">
        <v>2565</v>
      </c>
      <c r="AZ2" s="100" t="s">
        <v>2566</v>
      </c>
      <c r="BB2" s="8" t="s">
        <v>2558</v>
      </c>
      <c r="BC2" s="8" t="s">
        <v>167</v>
      </c>
      <c r="BD2" s="8" t="s">
        <v>2559</v>
      </c>
      <c r="BE2" s="8" t="s">
        <v>2560</v>
      </c>
      <c r="BF2" s="8" t="s">
        <v>2649</v>
      </c>
      <c r="BG2" s="8" t="s">
        <v>143</v>
      </c>
      <c r="BH2" s="8" t="s">
        <v>4</v>
      </c>
      <c r="BI2" s="8" t="s">
        <v>3</v>
      </c>
      <c r="BJ2" s="8" t="s">
        <v>2650</v>
      </c>
      <c r="BK2" s="8" t="s">
        <v>2561</v>
      </c>
      <c r="BL2" s="8" t="s">
        <v>2562</v>
      </c>
      <c r="BM2" s="8" t="s">
        <v>2651</v>
      </c>
      <c r="BN2" s="8" t="s">
        <v>2652</v>
      </c>
    </row>
    <row r="3" spans="1:66" x14ac:dyDescent="0.25">
      <c r="A3" s="1">
        <f>DATEVALUE(Sheet1!A2)</f>
        <v>44564</v>
      </c>
      <c r="B3" s="2">
        <f>VALUE(Sheet1!B2)</f>
        <v>92.01</v>
      </c>
      <c r="C3" s="9">
        <f>0</f>
        <v>0</v>
      </c>
      <c r="D3" s="2">
        <f>B3</f>
        <v>92.01</v>
      </c>
      <c r="E3" s="9">
        <f>0</f>
        <v>0</v>
      </c>
      <c r="G3" t="s">
        <v>2305</v>
      </c>
      <c r="H3" s="2">
        <f>B3</f>
        <v>92.01</v>
      </c>
      <c r="I3" s="9">
        <f>0</f>
        <v>0</v>
      </c>
      <c r="J3" s="2">
        <f>H3</f>
        <v>92.01</v>
      </c>
      <c r="K3" s="9">
        <f>0</f>
        <v>0</v>
      </c>
      <c r="M3" s="65" t="s">
        <v>2459</v>
      </c>
      <c r="N3" s="2">
        <f>B24</f>
        <v>97.4</v>
      </c>
      <c r="O3" s="9">
        <f>0</f>
        <v>0</v>
      </c>
      <c r="P3" s="2">
        <f>N3</f>
        <v>97.4</v>
      </c>
      <c r="Q3" s="9">
        <f>0</f>
        <v>0</v>
      </c>
      <c r="S3" t="s">
        <v>142</v>
      </c>
      <c r="T3" s="9">
        <f>AVERAGE(C4:C1136)</f>
        <v>-2.852482534302303E-4</v>
      </c>
      <c r="V3" t="s">
        <v>148</v>
      </c>
      <c r="W3" s="9">
        <f>T9</f>
        <v>-2.0277946248656788E-2</v>
      </c>
      <c r="X3" s="9">
        <f>T22</f>
        <v>-6.37371634835662E-2</v>
      </c>
      <c r="Y3" s="9">
        <f>T35</f>
        <v>-0.19353317972721842</v>
      </c>
      <c r="AB3" s="1">
        <f>A3</f>
        <v>44564</v>
      </c>
      <c r="AC3" s="2">
        <f>B3</f>
        <v>92.01</v>
      </c>
      <c r="AD3" s="2">
        <f>1</f>
        <v>1</v>
      </c>
      <c r="AE3" s="2">
        <f>INTERCEPT($AC$3:$AC$1136,$AD$3:$AD$1136)+SLOPE($AC$3:$AC$1136,$AD$3:$AD$1136)*AD3</f>
        <v>82.285856373680119</v>
      </c>
      <c r="AF3" s="2">
        <f>AE3+$AJ$5*$AJ$4</f>
        <v>84.937515974082814</v>
      </c>
      <c r="AG3" s="2">
        <f>AE3-$AJ$5*$AJ$4</f>
        <v>79.634196773277424</v>
      </c>
      <c r="AH3" s="22">
        <f>AC3-AE3</f>
        <v>9.7241436263198864</v>
      </c>
      <c r="AI3" s="7" t="s">
        <v>2504</v>
      </c>
      <c r="AJ3" s="87">
        <f>SLOPE(AC3:AC1136,AD3:AD1136)</f>
        <v>-1.8711963412446714E-2</v>
      </c>
      <c r="AL3">
        <v>2022</v>
      </c>
      <c r="AM3">
        <v>250</v>
      </c>
      <c r="AN3">
        <v>3</v>
      </c>
      <c r="AO3">
        <v>252</v>
      </c>
      <c r="AP3" s="87" cm="1">
        <f t="array" ref="AP3">INTERCEPT(AC3:AC252,ROW(AC3:AC252)-ROW(AC3)+1)</f>
        <v>95.78114602409633</v>
      </c>
      <c r="AQ3" s="87" cm="1">
        <f t="array" ref="AQ3">SLOPE(AC3:AC252,ROW(AC3:AC252)-ROW(AC3)+1)</f>
        <v>-6.0764191427062852E-2</v>
      </c>
      <c r="AR3" s="22" cm="1">
        <f t="array" ref="AR3">STDEV(AC3:AC252-(AP3+AQ3*(ROW(AC3:AC252)-ROW(AC3)+1)))</f>
        <v>3.9911035836423245</v>
      </c>
      <c r="AS3" s="87" cm="1">
        <f t="array" ref="AS3">RSQ(AC3:AC252,ROW(AC3:AC252)-ROW(AC3)+1)</f>
        <v>0.54794285575294754</v>
      </c>
      <c r="AT3" s="89">
        <f>AC3</f>
        <v>92.01</v>
      </c>
      <c r="AU3" s="89">
        <f>AC252</f>
        <v>86.07</v>
      </c>
      <c r="AV3" s="9">
        <f>(AU3-AT3)/AT3</f>
        <v>-6.4558200195631035E-2</v>
      </c>
      <c r="AW3" s="89">
        <f>AR3*1</f>
        <v>3.9911035836423245</v>
      </c>
      <c r="AX3" s="89">
        <f>AR3*1.5</f>
        <v>5.9866553754634868</v>
      </c>
      <c r="AY3" s="89">
        <f>AR3*2</f>
        <v>7.9822071672846491</v>
      </c>
      <c r="AZ3" s="89">
        <f>AR3*2.5</f>
        <v>9.9777589591058113</v>
      </c>
      <c r="BB3">
        <v>2022</v>
      </c>
      <c r="BC3">
        <f>BE3-BD3+1</f>
        <v>250</v>
      </c>
      <c r="BD3">
        <v>3</v>
      </c>
      <c r="BE3">
        <v>252</v>
      </c>
      <c r="BF3" s="9">
        <f ca="1">AVERAGE(INDIRECT("C"&amp;BD3&amp;":C"&amp;BE3))</f>
        <v>-2.4683800481194466E-4</v>
      </c>
      <c r="BG3" s="9">
        <f ca="1">_xlfn.STDEV.S(INDIRECT("C"&amp;BD3&amp;":C"&amp;BE3))</f>
        <v>6.3418639550926227E-3</v>
      </c>
      <c r="BH3" s="9">
        <f ca="1">MIN(INDIRECT("C"&amp;BD3&amp;":C"&amp;BE3))</f>
        <v>-3.5253743760399345E-2</v>
      </c>
      <c r="BI3" s="9">
        <f ca="1">MAX(INDIRECT("C"&amp;BD3&amp;":C"&amp;BE3))</f>
        <v>2.1198974561230443E-2</v>
      </c>
      <c r="BJ3" s="111" cm="1">
        <f t="array" aca="1" ref="BJ3" ca="1">(INDIRECT("B"&amp;BE3)-INDIRECT("B"&amp;BD3))/INDIRECT("B"&amp;BD3)</f>
        <v>-6.4558200195631035E-2</v>
      </c>
      <c r="BK3" s="89" cm="1">
        <f t="array" aca="1" ref="BK3" ca="1">INDIRECT("B"&amp;BD3)</f>
        <v>92.01</v>
      </c>
      <c r="BL3" s="89" cm="1">
        <f t="array" aca="1" ref="BL3" ca="1">INDIRECT("B"&amp;BE3)</f>
        <v>86.07</v>
      </c>
      <c r="BM3" s="9">
        <f ca="1">BG3</f>
        <v>6.3418639550926227E-3</v>
      </c>
      <c r="BN3" s="9">
        <f ca="1">BG3*2</f>
        <v>1.2683727910185245E-2</v>
      </c>
    </row>
    <row r="4" spans="1:66" x14ac:dyDescent="0.25">
      <c r="A4" s="1">
        <f>DATEVALUE(Sheet1!A3)</f>
        <v>44565</v>
      </c>
      <c r="B4" s="2">
        <f>VALUE(Sheet1!B3)</f>
        <v>92.72</v>
      </c>
      <c r="C4" s="9">
        <f>(B4-B3)/B3</f>
        <v>7.7165525486359498E-3</v>
      </c>
      <c r="D4" s="2">
        <f>MAX(D3,B4)</f>
        <v>92.72</v>
      </c>
      <c r="E4" s="9">
        <f>(B4-D4)/D4</f>
        <v>0</v>
      </c>
      <c r="G4" t="s">
        <v>2306</v>
      </c>
      <c r="H4" s="2">
        <f>B8</f>
        <v>94.43</v>
      </c>
      <c r="I4" s="9">
        <f>(H4-H3)/H3</f>
        <v>2.6301488968590386E-2</v>
      </c>
      <c r="J4" s="2">
        <f>MAX(J3,H4)</f>
        <v>94.43</v>
      </c>
      <c r="K4" s="9">
        <f>(H4-J4)/J4</f>
        <v>0</v>
      </c>
      <c r="M4" s="65" t="s">
        <v>2438</v>
      </c>
      <c r="N4" s="2">
        <f>B42</f>
        <v>97.34</v>
      </c>
      <c r="O4" s="9">
        <f>(N4-N3)/N3</f>
        <v>-6.1601642710474615E-4</v>
      </c>
      <c r="P4" s="2">
        <f>MAX(P3,N4)</f>
        <v>97.4</v>
      </c>
      <c r="Q4" s="9">
        <f>(N4-P4)/P4</f>
        <v>-6.1601642710474615E-4</v>
      </c>
      <c r="S4" t="s">
        <v>143</v>
      </c>
      <c r="T4" s="9">
        <f>_xlfn.STDEV.P(C4:C1136)</f>
        <v>6.6642326650755198E-3</v>
      </c>
      <c r="V4" t="s">
        <v>146</v>
      </c>
      <c r="W4" s="9">
        <f>T7</f>
        <v>-1.361371358358127E-2</v>
      </c>
      <c r="X4" s="9">
        <f>T20</f>
        <v>-4.2908199819348194E-2</v>
      </c>
      <c r="Y4" s="9">
        <f>T33</f>
        <v>-0.13083366888186382</v>
      </c>
      <c r="AB4" s="1">
        <f>A4</f>
        <v>44565</v>
      </c>
      <c r="AC4" s="2">
        <f>B4</f>
        <v>92.72</v>
      </c>
      <c r="AD4" s="2">
        <f>2</f>
        <v>2</v>
      </c>
      <c r="AE4" s="2">
        <f>INTERCEPT($AC$3:$AC$1136,$AD$3:$AD$1136)+SLOPE($AC$3:$AC$1136,$AD$3:$AD$1136)*AD4</f>
        <v>82.267144410267662</v>
      </c>
      <c r="AF4" s="2">
        <f t="shared" ref="AF4:AF67" si="0">AE4+$AJ$5*$AJ$4</f>
        <v>84.918804010670357</v>
      </c>
      <c r="AG4" s="2">
        <f t="shared" ref="AG4:AG67" si="1">AE4-$AJ$5*$AJ$4</f>
        <v>79.615484809864967</v>
      </c>
      <c r="AH4" s="22">
        <f>AC4-AE4</f>
        <v>10.452855589732337</v>
      </c>
      <c r="AI4" s="7" t="s">
        <v>2505</v>
      </c>
      <c r="AJ4" s="87">
        <f>STDEV(AH3:AH1136)</f>
        <v>10.629803865830469</v>
      </c>
      <c r="AL4">
        <v>2023</v>
      </c>
      <c r="AM4">
        <v>248</v>
      </c>
      <c r="AN4">
        <v>253</v>
      </c>
      <c r="AO4">
        <v>500</v>
      </c>
      <c r="AP4" s="87" cm="1">
        <f t="array" ref="AP4">INTERCEPT(AC253:AC500,ROW(AC253:AC500)-ROW(AC253)+1)</f>
        <v>81.576937116364078</v>
      </c>
      <c r="AQ4" s="87" cm="1">
        <f t="array" ref="AQ4">SLOPE(AC253:AC500,ROW(AC253:AC500)-ROW(AC253)+1)</f>
        <v>-0.12505215717250609</v>
      </c>
      <c r="AR4" s="22" cm="1">
        <f t="array" ref="AR4">STDEV(AC253:AC500-(AP4+AQ4*(ROW(AC253:AC500)-ROW(AC253)+1)))</f>
        <v>9.1820021308740856</v>
      </c>
      <c r="AS4" s="87" cm="1">
        <f t="array" ref="AS4">RSQ(AC253:AC500,ROW(AC253:AC500)-ROW(AC253)+1)</f>
        <v>0.48836102652384961</v>
      </c>
      <c r="AT4" s="89">
        <f>AC253</f>
        <v>86.09</v>
      </c>
      <c r="AU4" s="89">
        <f>AC500</f>
        <v>69.209999999999994</v>
      </c>
      <c r="AV4" s="9">
        <f>(AU4-AT4)/AT4</f>
        <v>-0.1960738761760949</v>
      </c>
      <c r="AW4" s="89">
        <f>AR4*1</f>
        <v>9.1820021308740856</v>
      </c>
      <c r="AX4" s="89">
        <f>AR4*1.5</f>
        <v>13.773003196311128</v>
      </c>
      <c r="AY4" s="89">
        <f>AR4*2</f>
        <v>18.364004261748171</v>
      </c>
      <c r="AZ4" s="89">
        <f>AR4*2.5</f>
        <v>22.955005327185212</v>
      </c>
      <c r="BB4">
        <v>2023</v>
      </c>
      <c r="BC4">
        <f>BE4-BD4+1</f>
        <v>248</v>
      </c>
      <c r="BD4">
        <v>253</v>
      </c>
      <c r="BE4">
        <v>500</v>
      </c>
      <c r="BF4" s="9">
        <f ca="1">AVERAGE(INDIRECT("C"&amp;BD4&amp;":C"&amp;BE4))</f>
        <v>-8.4080394464458152E-4</v>
      </c>
      <c r="BG4" s="9">
        <f ca="1">_xlfn.STDEV.S(INDIRECT("C"&amp;BD4&amp;":C"&amp;BE4))</f>
        <v>8.7133371145246483E-3</v>
      </c>
      <c r="BH4" s="9">
        <f ca="1">MIN(INDIRECT("C"&amp;BD4&amp;":C"&amp;BE4))</f>
        <v>-3.1014621178555524E-2</v>
      </c>
      <c r="BI4" s="9">
        <f ca="1">MAX(INDIRECT("C"&amp;BD4&amp;":C"&amp;BE4))</f>
        <v>2.791786743515845E-2</v>
      </c>
      <c r="BJ4" s="111" cm="1">
        <f t="array" aca="1" ref="BJ4" ca="1">(INDIRECT("B"&amp;BE4)-INDIRECT("B"&amp;BD4))/INDIRECT("B"&amp;BD4)</f>
        <v>-0.1960738761760949</v>
      </c>
      <c r="BK4" s="89" cm="1">
        <f t="array" aca="1" ref="BK4" ca="1">INDIRECT("B"&amp;BD4)</f>
        <v>86.09</v>
      </c>
      <c r="BL4" s="89" cm="1">
        <f t="array" aca="1" ref="BL4" ca="1">INDIRECT("B"&amp;BE4)</f>
        <v>69.209999999999994</v>
      </c>
      <c r="BM4" s="9">
        <f ca="1">BG4</f>
        <v>8.7133371145246483E-3</v>
      </c>
      <c r="BN4" s="9">
        <f ca="1">BG4*2</f>
        <v>1.7426674229049297E-2</v>
      </c>
    </row>
    <row r="5" spans="1:66" x14ac:dyDescent="0.25">
      <c r="A5" s="1">
        <f>DATEVALUE(Sheet1!A4)</f>
        <v>44566</v>
      </c>
      <c r="B5" s="2">
        <f>VALUE(Sheet1!B4)</f>
        <v>92.81</v>
      </c>
      <c r="C5" s="9">
        <f>(B5-B4)/B4</f>
        <v>9.7066436583265116E-4</v>
      </c>
      <c r="D5" s="2">
        <f>MAX(D4,B5)</f>
        <v>92.81</v>
      </c>
      <c r="E5" s="9">
        <f>(B5-D5)/D5</f>
        <v>0</v>
      </c>
      <c r="G5" t="s">
        <v>2307</v>
      </c>
      <c r="H5" s="2">
        <f>B13</f>
        <v>97.16</v>
      </c>
      <c r="I5" s="9">
        <f>(H5-H4)/H4</f>
        <v>2.8910303928836065E-2</v>
      </c>
      <c r="J5" s="2">
        <f>MAX(J4,H5)</f>
        <v>97.16</v>
      </c>
      <c r="K5" s="9">
        <f>(H5-J5)/J5</f>
        <v>0</v>
      </c>
      <c r="M5" s="65" t="s">
        <v>2460</v>
      </c>
      <c r="N5" s="2">
        <f>B65</f>
        <v>92.04</v>
      </c>
      <c r="O5" s="9">
        <f>(N5-N4)/N4</f>
        <v>-5.444832545716044E-2</v>
      </c>
      <c r="P5" s="2">
        <f>MAX(P4,N5)</f>
        <v>97.4</v>
      </c>
      <c r="Q5" s="9">
        <f>(N5-P5)/P5</f>
        <v>-5.5030800821355225E-2</v>
      </c>
      <c r="S5" t="s">
        <v>144</v>
      </c>
      <c r="T5" s="9">
        <f>T3-T4</f>
        <v>-6.9494809185057498E-3</v>
      </c>
      <c r="V5" t="s">
        <v>144</v>
      </c>
      <c r="W5" s="9">
        <f>T5</f>
        <v>-6.9494809185057498E-3</v>
      </c>
      <c r="X5" s="9">
        <f>T18</f>
        <v>-2.2079236155130175E-2</v>
      </c>
      <c r="Y5" s="9">
        <f>T31</f>
        <v>-6.8134158036509213E-2</v>
      </c>
      <c r="AB5" s="1">
        <f>A5</f>
        <v>44566</v>
      </c>
      <c r="AC5" s="2">
        <f>B5</f>
        <v>92.81</v>
      </c>
      <c r="AD5" s="2">
        <f>3</f>
        <v>3</v>
      </c>
      <c r="AE5" s="2">
        <f>INTERCEPT($AC$3:$AC$1136,$AD$3:$AD$1136)+SLOPE($AC$3:$AC$1136,$AD$3:$AD$1136)*AD5</f>
        <v>82.248432446855219</v>
      </c>
      <c r="AF5" s="2">
        <f t="shared" si="0"/>
        <v>84.900092047257914</v>
      </c>
      <c r="AG5" s="2">
        <f t="shared" si="1"/>
        <v>79.596772846452524</v>
      </c>
      <c r="AH5" s="22">
        <f>AC5-AE5</f>
        <v>10.561567553144783</v>
      </c>
      <c r="AI5" s="7" t="s">
        <v>2506</v>
      </c>
      <c r="AJ5" s="22">
        <f>RSQ(AC3:AC1136,AD3:AD1136)</f>
        <v>0.24945517658387512</v>
      </c>
      <c r="AL5">
        <v>2024</v>
      </c>
      <c r="AM5">
        <v>251</v>
      </c>
      <c r="AN5">
        <v>501</v>
      </c>
      <c r="AO5">
        <v>751</v>
      </c>
      <c r="AP5" s="87" cm="1">
        <f t="array" ref="AP5">INTERCEPT(AC501:AC751,ROW(AC501:AC751)-ROW(AC501)+1)</f>
        <v>58.654836972111561</v>
      </c>
      <c r="AQ5" s="87" cm="1">
        <f t="array" ref="AQ5">SLOPE(AC501:AC751,ROW(AC501:AC751)-ROW(AC501)+1)</f>
        <v>3.7451967368620748E-2</v>
      </c>
      <c r="AR5" s="22" cm="1">
        <f t="array" ref="AR5">STDEV(AC501:AC751-(AP5+AQ5*(ROW(AC501:AC751)-ROW(AC501)+1)))</f>
        <v>4.8011232234372265</v>
      </c>
      <c r="AS5" s="87" cm="1">
        <f t="array" ref="AS5">RSQ(AC501:AC751,ROW(AC501:AC751)-ROW(AC501)+1)</f>
        <v>0.24285017049529056</v>
      </c>
      <c r="AT5" s="89">
        <f>AC501</f>
        <v>69.75</v>
      </c>
      <c r="AU5" s="89">
        <f>AC751</f>
        <v>72.69</v>
      </c>
      <c r="AV5" s="9">
        <f>(AU5-AT5)/AT5</f>
        <v>4.2150537634408569E-2</v>
      </c>
      <c r="AW5" s="89">
        <f>AR5*1</f>
        <v>4.8011232234372265</v>
      </c>
      <c r="AX5" s="89">
        <f>AR5*1.5</f>
        <v>7.2016848351558398</v>
      </c>
      <c r="AY5" s="89">
        <f>AR5*2</f>
        <v>9.6022464468744531</v>
      </c>
      <c r="AZ5" s="89">
        <f>AR5*2.5</f>
        <v>12.002808058593066</v>
      </c>
      <c r="BB5">
        <v>2024</v>
      </c>
      <c r="BC5">
        <f>BE5-BD5+1</f>
        <v>251</v>
      </c>
      <c r="BD5">
        <v>501</v>
      </c>
      <c r="BE5">
        <v>751</v>
      </c>
      <c r="BF5" s="9">
        <f ca="1">AVERAGE(INDIRECT("C"&amp;BD5&amp;":C"&amp;BE5))</f>
        <v>2.1507210626960799E-4</v>
      </c>
      <c r="BG5" s="9">
        <f ca="1">_xlfn.STDEV.S(INDIRECT("C"&amp;BD5&amp;":C"&amp;BE5))</f>
        <v>6.2747802990020625E-3</v>
      </c>
      <c r="BH5" s="9">
        <f ca="1">MIN(INDIRECT("C"&amp;BD5&amp;":C"&amp;BE5))</f>
        <v>-1.8759018759018718E-2</v>
      </c>
      <c r="BI5" s="9">
        <f ca="1">MAX(INDIRECT("C"&amp;BD5&amp;":C"&amp;BE5))</f>
        <v>2.2215852085423496E-2</v>
      </c>
      <c r="BJ5" s="111" cm="1">
        <f t="array" aca="1" ref="BJ5" ca="1">(INDIRECT("B"&amp;BE5)-INDIRECT("B"&amp;BD5))/INDIRECT("B"&amp;BD5)</f>
        <v>4.2150537634408569E-2</v>
      </c>
      <c r="BK5" s="89" cm="1">
        <f t="array" aca="1" ref="BK5" ca="1">INDIRECT("B"&amp;BD5)</f>
        <v>69.75</v>
      </c>
      <c r="BL5" s="89" cm="1">
        <f t="array" aca="1" ref="BL5" ca="1">INDIRECT("B"&amp;BE5)</f>
        <v>72.69</v>
      </c>
      <c r="BM5" s="9">
        <f ca="1">BG5</f>
        <v>6.2747802990020625E-3</v>
      </c>
      <c r="BN5" s="9">
        <f ca="1">BG5*2</f>
        <v>1.2549560598004125E-2</v>
      </c>
    </row>
    <row r="6" spans="1:66" x14ac:dyDescent="0.25">
      <c r="A6" s="1">
        <f>DATEVALUE(Sheet1!A5)</f>
        <v>44567</v>
      </c>
      <c r="B6" s="2">
        <f>VALUE(Sheet1!B5)</f>
        <v>93.28</v>
      </c>
      <c r="C6" s="9">
        <f>(B6-B5)/B5</f>
        <v>5.0641094709621684E-3</v>
      </c>
      <c r="D6" s="2">
        <f>MAX(D5,B6)</f>
        <v>93.28</v>
      </c>
      <c r="E6" s="9">
        <f>(B6-D6)/D6</f>
        <v>0</v>
      </c>
      <c r="G6" t="s">
        <v>2308</v>
      </c>
      <c r="H6" s="2">
        <f>B18</f>
        <v>97.93</v>
      </c>
      <c r="I6" s="9">
        <f>(H6-H5)/H5</f>
        <v>7.9250720461096161E-3</v>
      </c>
      <c r="J6" s="2">
        <f>MAX(J5,H6)</f>
        <v>97.93</v>
      </c>
      <c r="K6" s="9">
        <f>(H6-J6)/J6</f>
        <v>0</v>
      </c>
      <c r="M6" s="65" t="s">
        <v>2439</v>
      </c>
      <c r="N6" s="2">
        <f>B83</f>
        <v>88.25</v>
      </c>
      <c r="O6" s="9">
        <f>(N6-N5)/N5</f>
        <v>-4.1177748804867513E-2</v>
      </c>
      <c r="P6" s="2">
        <f>MAX(P5,N6)</f>
        <v>97.4</v>
      </c>
      <c r="Q6" s="9">
        <f>(N6-P6)/P6</f>
        <v>-9.3942505133470272E-2</v>
      </c>
      <c r="S6" t="s">
        <v>145</v>
      </c>
      <c r="T6" s="9">
        <f>T3+T4</f>
        <v>6.3789844116452898E-3</v>
      </c>
      <c r="V6" t="s">
        <v>160</v>
      </c>
      <c r="W6" s="9">
        <f>T3</f>
        <v>-2.852482534302303E-4</v>
      </c>
      <c r="X6" s="9">
        <f>T16</f>
        <v>-1.2502724909121599E-3</v>
      </c>
      <c r="Y6" s="9">
        <f>T29</f>
        <v>-5.4346471911545869E-3</v>
      </c>
      <c r="AB6" s="1">
        <f>A6</f>
        <v>44567</v>
      </c>
      <c r="AC6" s="2">
        <f>B6</f>
        <v>93.28</v>
      </c>
      <c r="AD6" s="2">
        <f>4</f>
        <v>4</v>
      </c>
      <c r="AE6" s="2">
        <f>INTERCEPT($AC$3:$AC$1136,$AD$3:$AD$1136)+SLOPE($AC$3:$AC$1136,$AD$3:$AD$1136)*AD6</f>
        <v>82.229720483442776</v>
      </c>
      <c r="AF6" s="2">
        <f t="shared" si="0"/>
        <v>84.881380083845471</v>
      </c>
      <c r="AG6" s="2">
        <f t="shared" si="1"/>
        <v>79.578060883040081</v>
      </c>
      <c r="AH6" s="22">
        <f>AC6-AE6</f>
        <v>11.050279516557225</v>
      </c>
      <c r="AI6" s="7" t="s">
        <v>2507</v>
      </c>
      <c r="AJ6" s="9">
        <v>1.5</v>
      </c>
      <c r="AL6">
        <v>2025</v>
      </c>
      <c r="AM6">
        <v>250</v>
      </c>
      <c r="AN6">
        <v>752</v>
      </c>
      <c r="AO6">
        <v>1001</v>
      </c>
      <c r="AP6" s="87" cm="1">
        <f t="array" ref="AP6">INTERCEPT(AC752:AC1001,ROW(AC752:AC1001)-ROW(AC752)+1)</f>
        <v>81.172168674698796</v>
      </c>
      <c r="AQ6" s="87" cm="1">
        <f t="array" ref="AQ6">SLOPE(AC752:AC1001,ROW(AC752:AC1001)-ROW(AC752)+1)</f>
        <v>-7.5498714539432632E-2</v>
      </c>
      <c r="AR6" s="22" cm="1">
        <f t="array" ref="AR6">STDEV(AC752:AC1001-(AP6+AQ6*(ROW(AC752:AC1001)-ROW(AC752)+1)))</f>
        <v>6.0626933909032754</v>
      </c>
      <c r="AS6" s="87" cm="1">
        <f t="array" ref="AS6">RSQ(AC752:AC1001,ROW(AC752:AC1001)-ROW(AC752)+1)</f>
        <v>0.44779584436831082</v>
      </c>
      <c r="AT6" s="89">
        <f>AC752</f>
        <v>72.94</v>
      </c>
      <c r="AU6" s="89">
        <f>AC1001</f>
        <v>69.5</v>
      </c>
      <c r="AV6" s="9">
        <f>(AU6-AT6)/AT6</f>
        <v>-4.7162051000822561E-2</v>
      </c>
      <c r="AW6" s="89">
        <f>AR6*1</f>
        <v>6.0626933909032754</v>
      </c>
      <c r="AX6" s="89">
        <f>AR6*1.5</f>
        <v>9.0940400863549122</v>
      </c>
      <c r="AY6" s="89">
        <f>AR6*2</f>
        <v>12.125386781806551</v>
      </c>
      <c r="AZ6" s="89">
        <f>AR6*2.5</f>
        <v>15.156733477258189</v>
      </c>
      <c r="BB6">
        <v>2025</v>
      </c>
      <c r="BC6">
        <f>BE6-BD6+1</f>
        <v>250</v>
      </c>
      <c r="BD6">
        <v>752</v>
      </c>
      <c r="BE6">
        <v>1001</v>
      </c>
      <c r="BF6" s="9">
        <f ca="1">AVERAGE(INDIRECT("C"&amp;BD6&amp;":C"&amp;BE6))</f>
        <v>-1.6075566037076569E-4</v>
      </c>
      <c r="BG6" s="9">
        <f ca="1">_xlfn.STDEV.S(INDIRECT("C"&amp;BD6&amp;":C"&amp;BE6))</f>
        <v>6.1371690343410583E-3</v>
      </c>
      <c r="BH6" s="9">
        <f ca="1">MIN(INDIRECT("C"&amp;BD6&amp;":C"&amp;BE6))</f>
        <v>-1.9994031632348391E-2</v>
      </c>
      <c r="BI6" s="9">
        <f ca="1">MAX(INDIRECT("C"&amp;BD6&amp;":C"&amp;BE6))</f>
        <v>2.9780762894436808E-2</v>
      </c>
      <c r="BJ6" s="111" cm="1">
        <f t="array" aca="1" ref="BJ6" ca="1">(INDIRECT("B"&amp;BE6)-INDIRECT("B"&amp;BD6))/INDIRECT("B"&amp;BD6)</f>
        <v>-4.7162051000822561E-2</v>
      </c>
      <c r="BK6" s="89" cm="1">
        <f t="array" aca="1" ref="BK6" ca="1">INDIRECT("B"&amp;BD6)</f>
        <v>72.94</v>
      </c>
      <c r="BL6" s="89" cm="1">
        <f t="array" aca="1" ref="BL6" ca="1">INDIRECT("B"&amp;BE6)</f>
        <v>69.5</v>
      </c>
      <c r="BM6" s="9">
        <f ca="1">BG6</f>
        <v>6.1371690343410583E-3</v>
      </c>
      <c r="BN6" s="9">
        <f ca="1">BG6*2</f>
        <v>1.2274338068682117E-2</v>
      </c>
    </row>
    <row r="7" spans="1:66" x14ac:dyDescent="0.25">
      <c r="A7" s="1">
        <f>DATEVALUE(Sheet1!A6)</f>
        <v>44568</v>
      </c>
      <c r="B7" s="2">
        <f>VALUE(Sheet1!B6)</f>
        <v>93.52</v>
      </c>
      <c r="C7" s="9">
        <f>(B7-B6)/B6</f>
        <v>2.5728987993138388E-3</v>
      </c>
      <c r="D7" s="2">
        <f>MAX(D6,B7)</f>
        <v>93.52</v>
      </c>
      <c r="E7" s="9">
        <f>(B7-D7)/D7</f>
        <v>0</v>
      </c>
      <c r="G7" t="s">
        <v>2309</v>
      </c>
      <c r="H7" s="2">
        <f>B23</f>
        <v>97.42</v>
      </c>
      <c r="I7" s="9">
        <f>(H7-H6)/H6</f>
        <v>-5.2078014908608708E-3</v>
      </c>
      <c r="J7" s="2">
        <f>MAX(J6,H7)</f>
        <v>97.93</v>
      </c>
      <c r="K7" s="9">
        <f>(H7-J7)/J7</f>
        <v>-5.2078014908608708E-3</v>
      </c>
      <c r="M7" s="65" t="s">
        <v>2440</v>
      </c>
      <c r="N7" s="2">
        <f>B106</f>
        <v>85.8</v>
      </c>
      <c r="O7" s="9">
        <f>(N7-N6)/N6</f>
        <v>-2.7762039660056689E-2</v>
      </c>
      <c r="P7" s="2">
        <f>MAX(P6,N7)</f>
        <v>97.4</v>
      </c>
      <c r="Q7" s="9">
        <f>(N7-P7)/P7</f>
        <v>-0.11909650924024649</v>
      </c>
      <c r="S7" t="s">
        <v>146</v>
      </c>
      <c r="T7" s="9">
        <f>T3-2*T4</f>
        <v>-1.361371358358127E-2</v>
      </c>
      <c r="V7" t="s">
        <v>145</v>
      </c>
      <c r="W7" s="9">
        <f>T6</f>
        <v>6.3789844116452898E-3</v>
      </c>
      <c r="X7" s="9">
        <f>T19</f>
        <v>1.9578691173305858E-2</v>
      </c>
      <c r="Y7" s="9">
        <f>T32</f>
        <v>5.7264863654200034E-2</v>
      </c>
      <c r="AB7" s="1">
        <f>A7</f>
        <v>44568</v>
      </c>
      <c r="AC7" s="2">
        <f>B7</f>
        <v>93.52</v>
      </c>
      <c r="AD7" s="2">
        <f>5</f>
        <v>5</v>
      </c>
      <c r="AE7" s="2">
        <f>INTERCEPT($AC$3:$AC$1136,$AD$3:$AD$1136)+SLOPE($AC$3:$AC$1136,$AD$3:$AD$1136)*AD7</f>
        <v>82.211008520030333</v>
      </c>
      <c r="AF7" s="2">
        <f t="shared" si="0"/>
        <v>84.862668120433028</v>
      </c>
      <c r="AG7" s="2">
        <f t="shared" si="1"/>
        <v>79.559348919627638</v>
      </c>
      <c r="AH7" s="22">
        <f>AC7-AE7</f>
        <v>11.308991479969663</v>
      </c>
      <c r="AI7" s="7" t="s">
        <v>167</v>
      </c>
      <c r="AJ7" s="3">
        <f>1134</f>
        <v>1134</v>
      </c>
      <c r="AL7">
        <v>2026</v>
      </c>
      <c r="AM7">
        <v>135</v>
      </c>
      <c r="AN7">
        <v>1002</v>
      </c>
      <c r="AO7">
        <v>1136</v>
      </c>
      <c r="AP7" s="87" cm="1">
        <f t="array" ref="AP7">INTERCEPT(AC1002:AC1136,ROW(AC1002:AC1136)-ROW(AC1002)+1)</f>
        <v>70.057218352681062</v>
      </c>
      <c r="AQ7" s="87" cm="1">
        <f t="array" ref="AQ7">SLOPE(AC1002:AC1136,ROW(AC1002:AC1136)-ROW(AC1002)+1)</f>
        <v>-4.4248853770363847E-2</v>
      </c>
      <c r="AR7" s="22" cm="1">
        <f t="array" ref="AR7">STDEV(AC1002:AC1136-(AP7+AQ7*(ROW(AC1002:AC1136)-ROW(AC1002)+1)))</f>
        <v>1.8490367230533533</v>
      </c>
      <c r="AS7" s="87" cm="1">
        <f t="array" ref="AS7">RSQ(AC1002:AC1136,ROW(AC1002:AC1136)-ROW(AC1002)+1)</f>
        <v>0.46700844597827856</v>
      </c>
      <c r="AT7" s="89">
        <f>AC1002</f>
        <v>69.45</v>
      </c>
      <c r="AU7" s="89">
        <f>AC1136</f>
        <v>64.94</v>
      </c>
      <c r="AV7" s="9">
        <f>(AU7-AT7)/AT7</f>
        <v>-6.4938804895608424E-2</v>
      </c>
      <c r="AW7" s="89">
        <f>AR7*1</f>
        <v>1.8490367230533533</v>
      </c>
      <c r="AX7" s="89">
        <f>AR7*1.5</f>
        <v>2.7735550845800301</v>
      </c>
      <c r="AY7" s="89">
        <f>AR7*2</f>
        <v>3.6980734461067066</v>
      </c>
      <c r="AZ7" s="89">
        <f>AR7*2.5</f>
        <v>4.6225918076333832</v>
      </c>
      <c r="BB7">
        <v>2026</v>
      </c>
      <c r="BC7">
        <f>BE7-BD7+1</f>
        <v>135</v>
      </c>
      <c r="BD7">
        <v>1002</v>
      </c>
      <c r="BE7">
        <v>1136</v>
      </c>
      <c r="BF7" s="9">
        <f ca="1">AVERAGE(INDIRECT("C"&amp;BD7&amp;":C"&amp;BE7))</f>
        <v>-4.9445611290806625E-4</v>
      </c>
      <c r="BG7" s="9">
        <f ca="1">_xlfn.STDEV.S(INDIRECT("C"&amp;BD7&amp;":C"&amp;BE7))</f>
        <v>4.0336278546654536E-3</v>
      </c>
      <c r="BH7" s="9">
        <f ca="1">MIN(INDIRECT("C"&amp;BD7&amp;":C"&amp;BE7))</f>
        <v>-1.931163370191551E-2</v>
      </c>
      <c r="BI7" s="9">
        <f ca="1">MAX(INDIRECT("C"&amp;BD7&amp;":C"&amp;BE7))</f>
        <v>6.9454706664696152E-3</v>
      </c>
      <c r="BJ7" s="111" cm="1">
        <f t="array" aca="1" ref="BJ7" ca="1">(INDIRECT("B"&amp;BE7)-INDIRECT("B"&amp;BD7))/INDIRECT("B"&amp;BD7)</f>
        <v>-6.4938804895608424E-2</v>
      </c>
      <c r="BK7" s="89" cm="1">
        <f t="array" aca="1" ref="BK7" ca="1">INDIRECT("B"&amp;BD7)</f>
        <v>69.45</v>
      </c>
      <c r="BL7" s="89" cm="1">
        <f t="array" aca="1" ref="BL7" ca="1">INDIRECT("B"&amp;BE7)</f>
        <v>64.94</v>
      </c>
      <c r="BM7" s="9">
        <f ca="1">BG7</f>
        <v>4.0336278546654536E-3</v>
      </c>
      <c r="BN7" s="9">
        <f ca="1">BG7*2</f>
        <v>8.0672557093309071E-3</v>
      </c>
    </row>
    <row r="8" spans="1:66" x14ac:dyDescent="0.25">
      <c r="A8" s="1">
        <f>DATEVALUE(Sheet1!A7)</f>
        <v>44571</v>
      </c>
      <c r="B8" s="2">
        <f>VALUE(Sheet1!B7)</f>
        <v>94.43</v>
      </c>
      <c r="C8" s="9">
        <f>(B8-B7)/B7</f>
        <v>9.7305389221558052E-3</v>
      </c>
      <c r="D8" s="2">
        <f>MAX(D7,B8)</f>
        <v>94.43</v>
      </c>
      <c r="E8" s="9">
        <f>(B8-D8)/D8</f>
        <v>0</v>
      </c>
      <c r="G8" t="s">
        <v>2310</v>
      </c>
      <c r="H8" s="2">
        <f>B28</f>
        <v>96.97</v>
      </c>
      <c r="I8" s="9">
        <f>(H8-H7)/H7</f>
        <v>-4.6191747074522975E-3</v>
      </c>
      <c r="J8" s="2">
        <f>MAX(J7,H8)</f>
        <v>97.93</v>
      </c>
      <c r="K8" s="9">
        <f>(H8-J8)/J8</f>
        <v>-9.802920453385152E-3</v>
      </c>
      <c r="M8" s="65" t="s">
        <v>2461</v>
      </c>
      <c r="N8" s="2">
        <f>B127</f>
        <v>83.16</v>
      </c>
      <c r="O8" s="9">
        <f>(N8-N7)/N7</f>
        <v>-3.0769230769230778E-2</v>
      </c>
      <c r="P8" s="2">
        <f>MAX(P7,N8)</f>
        <v>97.4</v>
      </c>
      <c r="Q8" s="9">
        <f>(N8-P8)/P8</f>
        <v>-0.14620123203285429</v>
      </c>
      <c r="S8" t="s">
        <v>147</v>
      </c>
      <c r="T8" s="9">
        <f>T3+2*T4</f>
        <v>1.304321707672081E-2</v>
      </c>
      <c r="V8" t="s">
        <v>147</v>
      </c>
      <c r="W8" s="9">
        <f>T8</f>
        <v>1.304321707672081E-2</v>
      </c>
      <c r="X8" s="9">
        <f>T21</f>
        <v>4.0407654837523871E-2</v>
      </c>
      <c r="Y8" s="9">
        <f>T34</f>
        <v>0.11996437449955465</v>
      </c>
      <c r="AB8" s="1">
        <f>A8</f>
        <v>44571</v>
      </c>
      <c r="AC8" s="2">
        <f>B8</f>
        <v>94.43</v>
      </c>
      <c r="AD8" s="2">
        <f>6</f>
        <v>6</v>
      </c>
      <c r="AE8" s="2">
        <f>INTERCEPT($AC$3:$AC$1136,$AD$3:$AD$1136)+SLOPE($AC$3:$AC$1136,$AD$3:$AD$1136)*AD8</f>
        <v>82.192296556617876</v>
      </c>
      <c r="AF8" s="2">
        <f t="shared" si="0"/>
        <v>84.843956157020571</v>
      </c>
      <c r="AG8" s="2">
        <f t="shared" si="1"/>
        <v>79.540636956215181</v>
      </c>
      <c r="AH8" s="22">
        <f>AC8-AE8</f>
        <v>12.237703443382131</v>
      </c>
      <c r="AL8" s="101" t="s">
        <v>2567</v>
      </c>
      <c r="AM8" s="101">
        <f>SUM(AM3:AM7)</f>
        <v>1134</v>
      </c>
      <c r="AN8" s="101">
        <f>MIN(AN3:AN7)</f>
        <v>3</v>
      </c>
      <c r="AO8" s="101">
        <f>MAX(AO3:AO7)</f>
        <v>1136</v>
      </c>
      <c r="AP8" s="102">
        <f>AJ2</f>
        <v>82.304568337092562</v>
      </c>
      <c r="AQ8" s="102">
        <f>AJ3</f>
        <v>-1.8711963412446714E-2</v>
      </c>
      <c r="AR8" s="103">
        <f>AJ4</f>
        <v>10.629803865830469</v>
      </c>
      <c r="AS8" s="102">
        <f>AJ5</f>
        <v>0.24945517658387512</v>
      </c>
      <c r="AT8" s="104">
        <f>AC3</f>
        <v>92.01</v>
      </c>
      <c r="AU8" s="104">
        <f>AC1136</f>
        <v>64.94</v>
      </c>
      <c r="AV8" s="105">
        <f>(AU8-AT8)/AT8</f>
        <v>-0.29420715139658737</v>
      </c>
      <c r="AW8" s="104">
        <f>AR8*1</f>
        <v>10.629803865830469</v>
      </c>
      <c r="AX8" s="104">
        <f>AR8*1.5</f>
        <v>15.944705798745705</v>
      </c>
      <c r="AY8" s="104">
        <f>AR8*2</f>
        <v>21.259607731660939</v>
      </c>
      <c r="AZ8" s="104">
        <f>AR8*2.5</f>
        <v>26.574509664576173</v>
      </c>
      <c r="BB8" s="101" t="s">
        <v>2644</v>
      </c>
      <c r="BC8" s="101">
        <f>SUM(BC3:BC7)</f>
        <v>1134</v>
      </c>
      <c r="BD8" s="101">
        <v>3</v>
      </c>
      <c r="BE8" s="101">
        <v>1136</v>
      </c>
      <c r="BF8" s="105">
        <f>AVERAGE(C3:C1136)</f>
        <v>-2.8499671176053873E-4</v>
      </c>
      <c r="BG8" s="105">
        <f>_xlfn.STDEV.S(C3:C1136)</f>
        <v>6.6642380484254549E-3</v>
      </c>
      <c r="BH8" s="105">
        <f>MIN(C3:C1136)</f>
        <v>-3.5253743760399345E-2</v>
      </c>
      <c r="BI8" s="105">
        <f>MAX(C3:C1136)</f>
        <v>2.9780762894436808E-2</v>
      </c>
      <c r="BJ8" s="123">
        <f>(B1136-B3)/B3</f>
        <v>-0.29420715139658737</v>
      </c>
      <c r="BK8" s="104">
        <f>B3</f>
        <v>92.01</v>
      </c>
      <c r="BL8" s="104">
        <f>B1136</f>
        <v>64.94</v>
      </c>
      <c r="BM8" s="105">
        <f>BG8</f>
        <v>6.6642380484254549E-3</v>
      </c>
      <c r="BN8" s="105">
        <f>BG8*2</f>
        <v>1.332847609685091E-2</v>
      </c>
    </row>
    <row r="9" spans="1:66" x14ac:dyDescent="0.25">
      <c r="A9" s="1">
        <f>DATEVALUE(Sheet1!A8)</f>
        <v>44572</v>
      </c>
      <c r="B9" s="2">
        <f>VALUE(Sheet1!B8)</f>
        <v>95.13</v>
      </c>
      <c r="C9" s="9">
        <f>(B9-B8)/B8</f>
        <v>7.4128984432912061E-3</v>
      </c>
      <c r="D9" s="2">
        <f>MAX(D8,B9)</f>
        <v>95.13</v>
      </c>
      <c r="E9" s="9">
        <f>(B9-D9)/D9</f>
        <v>0</v>
      </c>
      <c r="G9" t="s">
        <v>2311</v>
      </c>
      <c r="H9" s="2">
        <f>B33</f>
        <v>95.98</v>
      </c>
      <c r="I9" s="9">
        <f>(H9-H8)/H8</f>
        <v>-1.0209343095802773E-2</v>
      </c>
      <c r="J9" s="2">
        <f>MAX(J8,H9)</f>
        <v>97.93</v>
      </c>
      <c r="K9" s="9">
        <f>(H9-J9)/J9</f>
        <v>-1.9912182170938451E-2</v>
      </c>
      <c r="M9" s="65" t="s">
        <v>2462</v>
      </c>
      <c r="N9" s="2">
        <f>B148</f>
        <v>82.64</v>
      </c>
      <c r="O9" s="9">
        <f>(N9-N8)/N8</f>
        <v>-6.2530062530062056E-3</v>
      </c>
      <c r="P9" s="2">
        <f>MAX(P8,N9)</f>
        <v>97.4</v>
      </c>
      <c r="Q9" s="9">
        <f>(N9-P9)/P9</f>
        <v>-0.15154004106776184</v>
      </c>
      <c r="S9" t="s">
        <v>148</v>
      </c>
      <c r="T9" s="9">
        <f>T3-3*T4</f>
        <v>-2.0277946248656788E-2</v>
      </c>
      <c r="V9" t="s">
        <v>149</v>
      </c>
      <c r="W9" s="9">
        <f>T10</f>
        <v>1.9707449741796328E-2</v>
      </c>
      <c r="X9" s="9">
        <f>T23</f>
        <v>6.1236618501741884E-2</v>
      </c>
      <c r="Y9" s="9">
        <f>T36</f>
        <v>0.18266388534490927</v>
      </c>
      <c r="AB9" s="1">
        <f>A9</f>
        <v>44572</v>
      </c>
      <c r="AC9" s="2">
        <f>B9</f>
        <v>95.13</v>
      </c>
      <c r="AD9" s="2">
        <f>7</f>
        <v>7</v>
      </c>
      <c r="AE9" s="2">
        <f>INTERCEPT($AC$3:$AC$1136,$AD$3:$AD$1136)+SLOPE($AC$3:$AC$1136,$AD$3:$AD$1136)*AD9</f>
        <v>82.173584593205433</v>
      </c>
      <c r="AF9" s="2">
        <f t="shared" si="0"/>
        <v>84.825244193608128</v>
      </c>
      <c r="AG9" s="2">
        <f t="shared" si="1"/>
        <v>79.521924992802738</v>
      </c>
      <c r="AH9" s="22">
        <f>AC9-AE9</f>
        <v>12.956415406794562</v>
      </c>
    </row>
    <row r="10" spans="1:66" ht="15.75" x14ac:dyDescent="0.25">
      <c r="A10" s="1">
        <f>DATEVALUE(Sheet1!A9)</f>
        <v>44573</v>
      </c>
      <c r="B10" s="2">
        <f>VALUE(Sheet1!B9)</f>
        <v>95.27</v>
      </c>
      <c r="C10" s="9">
        <f>(B10-B9)/B9</f>
        <v>1.4716703458425373E-3</v>
      </c>
      <c r="D10" s="2">
        <f>MAX(D9,B10)</f>
        <v>95.27</v>
      </c>
      <c r="E10" s="9">
        <f>(B10-D10)/D10</f>
        <v>0</v>
      </c>
      <c r="G10" t="s">
        <v>2312</v>
      </c>
      <c r="H10" s="2">
        <f>B38</f>
        <v>96.52</v>
      </c>
      <c r="I10" s="9">
        <f>(H10-H9)/H9</f>
        <v>5.626172119191415E-3</v>
      </c>
      <c r="J10" s="2">
        <f>MAX(J9,H10)</f>
        <v>97.93</v>
      </c>
      <c r="K10" s="9">
        <f>(H10-J10)/J10</f>
        <v>-1.4398039415909432E-2</v>
      </c>
      <c r="M10" s="65" t="s">
        <v>2441</v>
      </c>
      <c r="N10" s="2">
        <f>B171</f>
        <v>83.66</v>
      </c>
      <c r="O10" s="9">
        <f>(N10-N9)/N9</f>
        <v>1.2342691190706632E-2</v>
      </c>
      <c r="P10" s="2">
        <f>MAX(P9,N10)</f>
        <v>97.4</v>
      </c>
      <c r="Q10" s="9">
        <f>(N10-P10)/P10</f>
        <v>-0.14106776180698161</v>
      </c>
      <c r="S10" t="s">
        <v>149</v>
      </c>
      <c r="T10" s="9">
        <f>T3+3*T4</f>
        <v>1.9707449741796328E-2</v>
      </c>
      <c r="AB10" s="1">
        <f>A10</f>
        <v>44573</v>
      </c>
      <c r="AC10" s="2">
        <f>B10</f>
        <v>95.27</v>
      </c>
      <c r="AD10" s="2">
        <f>8</f>
        <v>8</v>
      </c>
      <c r="AE10" s="2">
        <f>INTERCEPT($AC$3:$AC$1136,$AD$3:$AD$1136)+SLOPE($AC$3:$AC$1136,$AD$3:$AD$1136)*AD10</f>
        <v>82.15487262979299</v>
      </c>
      <c r="AF10" s="2">
        <f t="shared" si="0"/>
        <v>84.806532230195685</v>
      </c>
      <c r="AG10" s="2">
        <f t="shared" si="1"/>
        <v>79.503213029390295</v>
      </c>
      <c r="AH10" s="22">
        <f>AC10-AE10</f>
        <v>13.115127370207006</v>
      </c>
      <c r="AL10" s="13" t="s">
        <v>2568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B10" s="124" t="s">
        <v>2653</v>
      </c>
      <c r="BC10" s="124"/>
      <c r="BD10" s="124"/>
      <c r="BE10" s="124"/>
      <c r="BF10" s="124"/>
      <c r="BG10" s="124"/>
      <c r="BI10" s="124" t="s">
        <v>2655</v>
      </c>
      <c r="BJ10" s="124"/>
      <c r="BK10" s="124"/>
      <c r="BL10" s="124"/>
      <c r="BM10" s="124"/>
      <c r="BN10" s="124"/>
    </row>
    <row r="11" spans="1:66" ht="15.75" x14ac:dyDescent="0.25">
      <c r="A11" s="1">
        <f>DATEVALUE(Sheet1!A10)</f>
        <v>44574</v>
      </c>
      <c r="B11" s="2">
        <f>VALUE(Sheet1!B10)</f>
        <v>96.5</v>
      </c>
      <c r="C11" s="9">
        <f>(B11-B10)/B10</f>
        <v>1.2910674923900536E-2</v>
      </c>
      <c r="D11" s="2">
        <f>MAX(D10,B11)</f>
        <v>96.5</v>
      </c>
      <c r="E11" s="9">
        <f>(B11-D11)/D11</f>
        <v>0</v>
      </c>
      <c r="G11" t="s">
        <v>2313</v>
      </c>
      <c r="H11" s="2">
        <f>B42</f>
        <v>97.34</v>
      </c>
      <c r="I11" s="9">
        <f>(H11-H10)/H10</f>
        <v>8.4956485702445857E-3</v>
      </c>
      <c r="J11" s="2">
        <f>MAX(J10,H11)</f>
        <v>97.93</v>
      </c>
      <c r="K11" s="9">
        <f>(H11-J11)/J11</f>
        <v>-6.0247115286429422E-3</v>
      </c>
      <c r="M11" s="65" t="s">
        <v>2442</v>
      </c>
      <c r="N11" s="2">
        <f>B191</f>
        <v>84.42</v>
      </c>
      <c r="O11" s="9">
        <f>(N11-N10)/N10</f>
        <v>9.0843891943581771E-3</v>
      </c>
      <c r="P11" s="2">
        <f>MAX(P10,N11)</f>
        <v>97.4</v>
      </c>
      <c r="Q11" s="9">
        <f>(N11-P11)/P11</f>
        <v>-0.13326488706365505</v>
      </c>
      <c r="S11" t="s">
        <v>150</v>
      </c>
      <c r="T11" s="9">
        <f>MIN(E3:E1136)</f>
        <v>-0.49326275264677577</v>
      </c>
      <c r="V11" s="72" t="s">
        <v>161</v>
      </c>
      <c r="W11" s="72"/>
      <c r="X11" s="72"/>
      <c r="Y11" s="72"/>
      <c r="AB11" s="1">
        <f>A11</f>
        <v>44574</v>
      </c>
      <c r="AC11" s="2">
        <f>B11</f>
        <v>96.5</v>
      </c>
      <c r="AD11" s="2">
        <f>9</f>
        <v>9</v>
      </c>
      <c r="AE11" s="2">
        <f>INTERCEPT($AC$3:$AC$1136,$AD$3:$AD$1136)+SLOPE($AC$3:$AC$1136,$AD$3:$AD$1136)*AD11</f>
        <v>82.136160666380547</v>
      </c>
      <c r="AF11" s="2">
        <f t="shared" si="0"/>
        <v>84.787820266783243</v>
      </c>
      <c r="AG11" s="2">
        <f t="shared" si="1"/>
        <v>79.484501065977852</v>
      </c>
      <c r="AH11" s="22">
        <f>AC11-AE11</f>
        <v>14.363839333619453</v>
      </c>
      <c r="AL11" s="14" t="s">
        <v>141</v>
      </c>
      <c r="AM11" s="14" t="s">
        <v>4</v>
      </c>
      <c r="AN11" s="14" t="s">
        <v>3</v>
      </c>
      <c r="AO11" s="14" t="s">
        <v>160</v>
      </c>
      <c r="AP11" s="14" t="s">
        <v>2569</v>
      </c>
      <c r="AQ11" s="14" t="s">
        <v>165</v>
      </c>
      <c r="AR11" s="14" t="s">
        <v>2570</v>
      </c>
      <c r="AS11" s="14" t="s">
        <v>2571</v>
      </c>
      <c r="BB11" s="14" t="s">
        <v>141</v>
      </c>
      <c r="BC11" s="14" t="s">
        <v>2654</v>
      </c>
      <c r="BD11" s="14" t="s">
        <v>2649</v>
      </c>
      <c r="BE11" s="14" t="s">
        <v>4</v>
      </c>
      <c r="BF11" s="14" t="s">
        <v>3</v>
      </c>
      <c r="BG11" s="14" t="s">
        <v>2650</v>
      </c>
      <c r="BI11" s="14" t="s">
        <v>2590</v>
      </c>
      <c r="BJ11" s="14" t="s">
        <v>2656</v>
      </c>
      <c r="BK11" s="14" t="s">
        <v>2636</v>
      </c>
      <c r="BL11" s="14" t="s">
        <v>2599</v>
      </c>
      <c r="BM11" s="14" t="s">
        <v>2637</v>
      </c>
      <c r="BN11" s="14" t="s">
        <v>2657</v>
      </c>
    </row>
    <row r="12" spans="1:66" x14ac:dyDescent="0.25">
      <c r="A12" s="1">
        <f>DATEVALUE(Sheet1!A11)</f>
        <v>44575</v>
      </c>
      <c r="B12" s="2">
        <f>VALUE(Sheet1!B11)</f>
        <v>96.77</v>
      </c>
      <c r="C12" s="9">
        <f>(B12-B11)/B11</f>
        <v>2.797927461139855E-3</v>
      </c>
      <c r="D12" s="2">
        <f>MAX(D11,B12)</f>
        <v>96.77</v>
      </c>
      <c r="E12" s="9">
        <f>(B12-D12)/D12</f>
        <v>0</v>
      </c>
      <c r="G12" t="s">
        <v>2314</v>
      </c>
      <c r="H12" s="2">
        <f>B46</f>
        <v>100.19</v>
      </c>
      <c r="I12" s="9">
        <f>(H12-H11)/H11</f>
        <v>2.9278816519416419E-2</v>
      </c>
      <c r="J12" s="2">
        <f>MAX(J11,H12)</f>
        <v>100.19</v>
      </c>
      <c r="K12" s="9">
        <f>(H12-J12)/J12</f>
        <v>0</v>
      </c>
      <c r="M12" s="65" t="s">
        <v>2443</v>
      </c>
      <c r="N12" s="2">
        <f>B212</f>
        <v>85.11</v>
      </c>
      <c r="O12" s="9">
        <f>(N12-N11)/N11</f>
        <v>8.1734186211797882E-3</v>
      </c>
      <c r="P12" s="2">
        <f>MAX(P11,N12)</f>
        <v>97.4</v>
      </c>
      <c r="Q12" s="9">
        <f>(N12-P12)/P12</f>
        <v>-0.12618069815195077</v>
      </c>
      <c r="S12" t="s">
        <v>151</v>
      </c>
      <c r="T12" s="9">
        <f>AVERAGEIF(E3:E1136,"&lt;0")</f>
        <v>-0.31308798867956</v>
      </c>
      <c r="V12" s="73" t="s">
        <v>141</v>
      </c>
      <c r="W12" s="73" t="s">
        <v>157</v>
      </c>
      <c r="X12" s="73" t="s">
        <v>158</v>
      </c>
      <c r="Y12" s="73" t="s">
        <v>159</v>
      </c>
      <c r="AB12" s="1">
        <f>A12</f>
        <v>44575</v>
      </c>
      <c r="AC12" s="2">
        <f>B12</f>
        <v>96.77</v>
      </c>
      <c r="AD12" s="2">
        <f>10</f>
        <v>10</v>
      </c>
      <c r="AE12" s="2">
        <f>INTERCEPT($AC$3:$AC$1136,$AD$3:$AD$1136)+SLOPE($AC$3:$AC$1136,$AD$3:$AD$1136)*AD12</f>
        <v>82.11744870296809</v>
      </c>
      <c r="AF12" s="22">
        <f t="shared" si="0"/>
        <v>84.769108303370786</v>
      </c>
      <c r="AG12" s="22">
        <f t="shared" si="1"/>
        <v>79.465789102565395</v>
      </c>
      <c r="AH12" s="22">
        <f>AC12-AE12</f>
        <v>14.652551297031906</v>
      </c>
      <c r="AI12" s="22"/>
      <c r="AJ12" s="22"/>
      <c r="AK12" s="22"/>
      <c r="AL12" s="22" t="s">
        <v>2505</v>
      </c>
      <c r="AM12" s="87">
        <f>MIN(AR3:AR7)</f>
        <v>1.8490367230533533</v>
      </c>
      <c r="AN12" s="87">
        <f>MAX(AR3:AR7)</f>
        <v>9.1820021308740856</v>
      </c>
      <c r="AO12" s="87">
        <f>AVERAGE(AR3:AR7)</f>
        <v>5.1771918103820527</v>
      </c>
      <c r="AP12" s="87">
        <f>MEDIAN(AR3:AR7)</f>
        <v>4.8011232234372265</v>
      </c>
      <c r="AQ12" s="87">
        <f>STDEV(AR3:AR7)</f>
        <v>2.7132760595465708</v>
      </c>
      <c r="AR12" s="87">
        <f>AN12/AP12</f>
        <v>1.912469583378136</v>
      </c>
      <c r="AS12" s="9">
        <f>AR8</f>
        <v>10.629803865830469</v>
      </c>
      <c r="BB12" s="7" t="s">
        <v>4</v>
      </c>
      <c r="BC12" s="9">
        <f ca="1">MIN(BG3:BG7)</f>
        <v>4.0336278546654536E-3</v>
      </c>
      <c r="BD12" s="9">
        <f ca="1">MIN(BF3:BF7)</f>
        <v>-8.4080394464458152E-4</v>
      </c>
      <c r="BE12" s="9">
        <f ca="1">MIN(BH3:BH7)</f>
        <v>-3.5253743760399345E-2</v>
      </c>
      <c r="BF12" s="9">
        <f ca="1">MIN(BI3:BI7)</f>
        <v>6.9454706664696152E-3</v>
      </c>
      <c r="BG12" s="111">
        <f ca="1">MIN(BJ3:BJ7)</f>
        <v>-0.1960738761760949</v>
      </c>
      <c r="BI12" s="125">
        <v>1</v>
      </c>
      <c r="BJ12" s="9">
        <f ca="1">$BC$14*BI12</f>
        <v>6.3001556515251689E-3</v>
      </c>
      <c r="BK12" s="111">
        <f ca="1">COUNTIFS(C3:C1136,"&gt;="&amp;-BJ12,C3:C1136,"&lt;="&amp;BJ12)/COUNT(C3:C1136)</f>
        <v>0.74955908289241624</v>
      </c>
      <c r="BL12" s="111">
        <v>0.68269999999999997</v>
      </c>
      <c r="BM12" s="111">
        <f ca="1">BK12-BL12</f>
        <v>6.6859082892416266E-2</v>
      </c>
      <c r="BN12" t="str">
        <f ca="1">IF(ABS(BM12)&lt;0.1,"✅ OK",IF(ABS(BM12)&lt;0.2,"⚠️ Moderado","❌ Alto gap"))</f>
        <v>✅ OK</v>
      </c>
    </row>
    <row r="13" spans="1:66" x14ac:dyDescent="0.25">
      <c r="A13" s="1">
        <f>DATEVALUE(Sheet1!A12)</f>
        <v>44578</v>
      </c>
      <c r="B13" s="2">
        <f>VALUE(Sheet1!B12)</f>
        <v>97.16</v>
      </c>
      <c r="C13" s="9">
        <f>(B13-B12)/B12</f>
        <v>4.0301746409011118E-3</v>
      </c>
      <c r="D13" s="2">
        <f>MAX(D12,B13)</f>
        <v>97.16</v>
      </c>
      <c r="E13" s="9">
        <f>(B13-D13)/D13</f>
        <v>0</v>
      </c>
      <c r="G13" t="s">
        <v>2315</v>
      </c>
      <c r="H13" s="2">
        <f>B51</f>
        <v>103.9</v>
      </c>
      <c r="I13" s="9">
        <f>(H13-H12)/H12</f>
        <v>3.7029643677013752E-2</v>
      </c>
      <c r="J13" s="2">
        <f>MAX(J12,H13)</f>
        <v>103.9</v>
      </c>
      <c r="K13" s="9">
        <f>(H13-J13)/J13</f>
        <v>0</v>
      </c>
      <c r="M13" s="65" t="s">
        <v>2463</v>
      </c>
      <c r="N13" s="2">
        <f>B232</f>
        <v>86</v>
      </c>
      <c r="O13" s="9">
        <f>(N13-N12)/N12</f>
        <v>1.0457055575138064E-2</v>
      </c>
      <c r="P13" s="2">
        <f>MAX(P12,N13)</f>
        <v>97.4</v>
      </c>
      <c r="Q13" s="9">
        <f>(N13-P13)/P13</f>
        <v>-0.11704312114989739</v>
      </c>
      <c r="V13" t="s">
        <v>150</v>
      </c>
      <c r="W13" s="9">
        <f>T11</f>
        <v>-0.49326275264677577</v>
      </c>
      <c r="X13" s="9">
        <f>T24</f>
        <v>-0.48864292589027913</v>
      </c>
      <c r="Y13" s="9">
        <f>T37</f>
        <v>-0.44815195071868585</v>
      </c>
      <c r="AB13" s="1">
        <f>A13</f>
        <v>44578</v>
      </c>
      <c r="AC13" s="2">
        <f>B13</f>
        <v>97.16</v>
      </c>
      <c r="AD13" s="2">
        <f>11</f>
        <v>11</v>
      </c>
      <c r="AE13" s="2">
        <f>INTERCEPT($AC$3:$AC$1136,$AD$3:$AD$1136)+SLOPE($AC$3:$AC$1136,$AD$3:$AD$1136)*AD13</f>
        <v>82.098736739555648</v>
      </c>
      <c r="AF13" s="22">
        <f t="shared" si="0"/>
        <v>84.750396339958343</v>
      </c>
      <c r="AG13" s="22">
        <f t="shared" si="1"/>
        <v>79.447077139152952</v>
      </c>
      <c r="AH13" s="22">
        <f>AC13-AE13</f>
        <v>15.061263260444349</v>
      </c>
      <c r="AI13" s="22"/>
      <c r="AJ13" s="22"/>
      <c r="AK13" s="22"/>
      <c r="AL13" s="22" t="s">
        <v>2506</v>
      </c>
      <c r="AM13" s="87">
        <f>MIN(AS3:AS7)</f>
        <v>0.24285017049529056</v>
      </c>
      <c r="AN13" s="87">
        <f>MAX(AS3:AS7)</f>
        <v>0.54794285575294754</v>
      </c>
      <c r="AO13" s="87">
        <f>AVERAGE(AS3:AS7)</f>
        <v>0.43879166862373536</v>
      </c>
      <c r="AP13" s="87">
        <f>MEDIAN(AS3:AS7)</f>
        <v>0.46700844597827856</v>
      </c>
      <c r="AQ13" s="87">
        <f>STDEV(AS3:AS7)</f>
        <v>0.11580310368064457</v>
      </c>
      <c r="AR13" s="87">
        <f>AN13/AP13</f>
        <v>1.1733039530048102</v>
      </c>
      <c r="AS13" s="9">
        <f>AS8</f>
        <v>0.24945517658387512</v>
      </c>
      <c r="BB13" s="7" t="s">
        <v>3</v>
      </c>
      <c r="BC13" s="9">
        <f ca="1">MAX(BG3:BG7)</f>
        <v>8.7133371145246483E-3</v>
      </c>
      <c r="BD13" s="9">
        <f ca="1">MAX(BF3:BF7)</f>
        <v>2.1507210626960799E-4</v>
      </c>
      <c r="BE13" s="9">
        <f ca="1">MAX(BH3:BH7)</f>
        <v>-1.8759018759018718E-2</v>
      </c>
      <c r="BF13" s="9">
        <f ca="1">MAX(BI3:BI7)</f>
        <v>2.9780762894436808E-2</v>
      </c>
      <c r="BG13" s="111">
        <f ca="1">MAX(BJ3:BJ7)</f>
        <v>4.2150537634408569E-2</v>
      </c>
      <c r="BI13" s="125">
        <v>1.5</v>
      </c>
      <c r="BJ13" s="9">
        <f ca="1">$BC$14*BI13</f>
        <v>9.4502334772877533E-3</v>
      </c>
      <c r="BK13" s="111">
        <f ca="1">COUNTIFS(C3:C1136,"&gt;="&amp;-BJ13,C3:C1136,"&lt;="&amp;BJ13)/COUNT(C3:C1136)</f>
        <v>0.87125220458553787</v>
      </c>
      <c r="BL13" s="111">
        <v>0.86639999999999995</v>
      </c>
      <c r="BM13" s="111">
        <f ca="1">BK13-BL13</f>
        <v>4.8522045855379226E-3</v>
      </c>
      <c r="BN13" t="str">
        <f ca="1">IF(ABS(BM13)&lt;0.1,"✅ OK",IF(ABS(BM13)&lt;0.2,"⚠️ Moderado","❌ Alto gap"))</f>
        <v>✅ OK</v>
      </c>
    </row>
    <row r="14" spans="1:66" ht="15.75" x14ac:dyDescent="0.25">
      <c r="A14" s="1">
        <f>DATEVALUE(Sheet1!A13)</f>
        <v>44579</v>
      </c>
      <c r="B14" s="2">
        <f>VALUE(Sheet1!B13)</f>
        <v>97.39</v>
      </c>
      <c r="C14" s="9">
        <f>(B14-B13)/B13</f>
        <v>2.3672293124743101E-3</v>
      </c>
      <c r="D14" s="2">
        <f>MAX(D13,B14)</f>
        <v>97.39</v>
      </c>
      <c r="E14" s="9">
        <f>(B14-D14)/D14</f>
        <v>0</v>
      </c>
      <c r="G14" t="s">
        <v>2316</v>
      </c>
      <c r="H14" s="2">
        <f>B56</f>
        <v>102.63</v>
      </c>
      <c r="I14" s="9">
        <f>(H14-H13)/H13</f>
        <v>-1.2223291626564102E-2</v>
      </c>
      <c r="J14" s="2">
        <f>MAX(J13,H14)</f>
        <v>103.9</v>
      </c>
      <c r="K14" s="9">
        <f>(H14-J14)/J14</f>
        <v>-1.2223291626564102E-2</v>
      </c>
      <c r="M14" s="65" t="s">
        <v>2444</v>
      </c>
      <c r="N14" s="2">
        <f>B252</f>
        <v>86.07</v>
      </c>
      <c r="O14" s="9">
        <f>(N14-N13)/N13</f>
        <v>8.1395348837201369E-4</v>
      </c>
      <c r="P14" s="2">
        <f>MAX(P13,N14)</f>
        <v>97.4</v>
      </c>
      <c r="Q14" s="9">
        <f>(N14-P14)/P14</f>
        <v>-0.11632443531827527</v>
      </c>
      <c r="S14" s="68" t="s">
        <v>153</v>
      </c>
      <c r="T14" s="68"/>
      <c r="U14" s="68"/>
      <c r="V14" t="s">
        <v>151</v>
      </c>
      <c r="W14" s="9">
        <f>T12</f>
        <v>-0.31308798867956</v>
      </c>
      <c r="X14" s="9">
        <f>T25</f>
        <v>-0.31415362971527272</v>
      </c>
      <c r="Y14" s="9">
        <f>T38</f>
        <v>-0.27134763099855508</v>
      </c>
      <c r="AB14" s="1">
        <f>A14</f>
        <v>44579</v>
      </c>
      <c r="AC14" s="2">
        <f>B14</f>
        <v>97.39</v>
      </c>
      <c r="AD14" s="2">
        <f>12</f>
        <v>12</v>
      </c>
      <c r="AE14" s="2">
        <f>INTERCEPT($AC$3:$AC$1136,$AD$3:$AD$1136)+SLOPE($AC$3:$AC$1136,$AD$3:$AD$1136)*AD14</f>
        <v>82.080024776143205</v>
      </c>
      <c r="AF14" s="22">
        <f t="shared" si="0"/>
        <v>84.7316843765459</v>
      </c>
      <c r="AG14" s="22">
        <f t="shared" si="1"/>
        <v>79.42836517574051</v>
      </c>
      <c r="AH14" s="22">
        <f>AC14-AE14</f>
        <v>15.309975223856796</v>
      </c>
      <c r="AI14" s="22"/>
      <c r="AJ14" s="22"/>
      <c r="AK14" s="22"/>
      <c r="AL14" s="22" t="s">
        <v>2504</v>
      </c>
      <c r="AM14" s="87">
        <f>MIN(AQ3:AQ7)</f>
        <v>-0.12505215717250609</v>
      </c>
      <c r="AN14" s="87">
        <f>MAX(AQ3:AQ7)</f>
        <v>3.7451967368620748E-2</v>
      </c>
      <c r="AO14" s="87">
        <f>AVERAGE(AQ3:AQ7)</f>
        <v>-5.3622389908148937E-2</v>
      </c>
      <c r="AP14" s="87">
        <f>MEDIAN(AQ3:AQ7)</f>
        <v>-6.0764191427062852E-2</v>
      </c>
      <c r="AQ14" s="87">
        <f>STDEV(AQ3:AQ7)</f>
        <v>5.9190776926925336E-2</v>
      </c>
      <c r="AR14" s="87">
        <f>AN14/AP14</f>
        <v>-0.6163493085162749</v>
      </c>
      <c r="AS14" s="9">
        <f>AQ8</f>
        <v>-1.8711963412446714E-2</v>
      </c>
      <c r="BB14" s="7" t="s">
        <v>160</v>
      </c>
      <c r="BC14" s="9">
        <f ca="1">AVERAGE(BG3:BG7)</f>
        <v>6.3001556515251689E-3</v>
      </c>
      <c r="BD14" s="9">
        <f ca="1">AVERAGE(BF3:BF7)</f>
        <v>-3.0555632329315002E-4</v>
      </c>
      <c r="BE14" s="9">
        <f ca="1">AVERAGE(BH3:BH7)</f>
        <v>-2.4866609806447497E-2</v>
      </c>
      <c r="BF14" s="9">
        <f ca="1">AVERAGE(BI3:BI7)</f>
        <v>2.1611785528543762E-2</v>
      </c>
      <c r="BG14" s="111">
        <f ca="1">AVERAGE(BJ3:BJ7)</f>
        <v>-6.6116478926749669E-2</v>
      </c>
      <c r="BI14" s="125">
        <v>2</v>
      </c>
      <c r="BJ14" s="9">
        <f ca="1">$BC$14*BI14</f>
        <v>1.2600311303050338E-2</v>
      </c>
      <c r="BK14" s="111">
        <f ca="1">COUNTIFS(C3:C1136,"&gt;="&amp;-BJ14,C3:C1136,"&lt;="&amp;BJ14)/COUNT(C3:C1136)</f>
        <v>0.93033509700176364</v>
      </c>
      <c r="BL14" s="111">
        <v>0.95450000000000002</v>
      </c>
      <c r="BM14" s="111">
        <f ca="1">BK14-BL14</f>
        <v>-2.4164902998236371E-2</v>
      </c>
      <c r="BN14" t="str">
        <f ca="1">IF(ABS(BM14)&lt;0.1,"✅ OK",IF(ABS(BM14)&lt;0.2,"⚠️ Moderado","❌ Alto gap"))</f>
        <v>✅ OK</v>
      </c>
    </row>
    <row r="15" spans="1:66" x14ac:dyDescent="0.25">
      <c r="A15" s="1">
        <f>DATEVALUE(Sheet1!A14)</f>
        <v>44580</v>
      </c>
      <c r="B15" s="2">
        <f>VALUE(Sheet1!B14)</f>
        <v>97.7</v>
      </c>
      <c r="C15" s="9">
        <f>(B15-B14)/B14</f>
        <v>3.183078344799284E-3</v>
      </c>
      <c r="D15" s="2">
        <f>MAX(D14,B15)</f>
        <v>97.7</v>
      </c>
      <c r="E15" s="9">
        <f>(B15-D15)/D15</f>
        <v>0</v>
      </c>
      <c r="G15" t="s">
        <v>2317</v>
      </c>
      <c r="H15" s="2">
        <f>B61</f>
        <v>96.16</v>
      </c>
      <c r="I15" s="9">
        <f>(H15-H14)/H14</f>
        <v>-6.3041995517879756E-2</v>
      </c>
      <c r="J15" s="2">
        <f>MAX(J14,H15)</f>
        <v>103.9</v>
      </c>
      <c r="K15" s="9">
        <f>(H15-J15)/J15</f>
        <v>-7.4494706448508266E-2</v>
      </c>
      <c r="M15" s="65" t="s">
        <v>2464</v>
      </c>
      <c r="N15" s="2">
        <f>B275</f>
        <v>85.76</v>
      </c>
      <c r="O15" s="9">
        <f>(N15-N14)/N14</f>
        <v>-3.6017195306144775E-3</v>
      </c>
      <c r="P15" s="2">
        <f>MAX(P14,N15)</f>
        <v>97.4</v>
      </c>
      <c r="Q15" s="9">
        <f>(N15-P15)/P15</f>
        <v>-0.11950718685831623</v>
      </c>
      <c r="S15" s="62" t="s">
        <v>141</v>
      </c>
      <c r="T15" s="62" t="s">
        <v>152</v>
      </c>
      <c r="AB15" s="1">
        <f>A15</f>
        <v>44580</v>
      </c>
      <c r="AC15" s="2">
        <f>B15</f>
        <v>97.7</v>
      </c>
      <c r="AD15" s="2">
        <f>13</f>
        <v>13</v>
      </c>
      <c r="AE15" s="2">
        <f>INTERCEPT($AC$3:$AC$1136,$AD$3:$AD$1136)+SLOPE($AC$3:$AC$1136,$AD$3:$AD$1136)*AD15</f>
        <v>82.061312812730748</v>
      </c>
      <c r="AF15" s="22">
        <f t="shared" si="0"/>
        <v>84.712972413133443</v>
      </c>
      <c r="AG15" s="22">
        <f t="shared" si="1"/>
        <v>79.409653212328053</v>
      </c>
      <c r="AH15" s="22">
        <f>AC15-AE15</f>
        <v>15.638687187269255</v>
      </c>
      <c r="AI15" s="22"/>
      <c r="AJ15" s="22"/>
      <c r="AK15" s="22"/>
      <c r="AL15" s="22" t="s">
        <v>2563</v>
      </c>
      <c r="AM15" s="87">
        <f>MIN(AW3:AW7)</f>
        <v>1.8490367230533533</v>
      </c>
      <c r="AN15" s="87">
        <f>MAX(AW3:AW7)</f>
        <v>9.1820021308740856</v>
      </c>
      <c r="AO15" s="87">
        <f>AVERAGE(AW3:AW7)</f>
        <v>5.1771918103820527</v>
      </c>
      <c r="AP15" s="87">
        <f>MEDIAN(AW3:AW7)</f>
        <v>4.8011232234372265</v>
      </c>
      <c r="AQ15" s="87">
        <f>STDEV(AW3:AW7)</f>
        <v>2.7132760595465708</v>
      </c>
      <c r="AR15" s="87">
        <f>AN15/AP15</f>
        <v>1.912469583378136</v>
      </c>
      <c r="AS15" s="9">
        <f>AW8</f>
        <v>10.629803865830469</v>
      </c>
      <c r="BB15" s="7" t="s">
        <v>2569</v>
      </c>
      <c r="BC15" s="9">
        <f ca="1">MEDIAN(BG3:BG7)</f>
        <v>6.2747802990020625E-3</v>
      </c>
      <c r="BD15" s="9">
        <f ca="1">MEDIAN(BF3:BF7)</f>
        <v>-2.4683800481194466E-4</v>
      </c>
      <c r="BE15" s="9">
        <f ca="1">MEDIAN(BH3:BH7)</f>
        <v>-1.9994031632348391E-2</v>
      </c>
      <c r="BF15" s="9">
        <f ca="1">MEDIAN(BI3:BI7)</f>
        <v>2.2215852085423496E-2</v>
      </c>
      <c r="BG15" s="111">
        <f ca="1">MEDIAN(BJ3:BJ7)</f>
        <v>-6.4558200195631035E-2</v>
      </c>
      <c r="BI15" s="125">
        <v>2.5</v>
      </c>
      <c r="BJ15" s="9">
        <f ca="1">$BC$14*BI15</f>
        <v>1.5750389128812922E-2</v>
      </c>
      <c r="BK15" s="111">
        <f ca="1">COUNTIFS(C3:C1136,"&gt;="&amp;-BJ15,C3:C1136,"&lt;="&amp;BJ15)/COUNT(C3:C1136)</f>
        <v>0.96384479717813054</v>
      </c>
      <c r="BL15" s="111">
        <v>0.98760000000000003</v>
      </c>
      <c r="BM15" s="111">
        <f ca="1">BK15-BL15</f>
        <v>-2.3755202821869492E-2</v>
      </c>
      <c r="BN15" t="str">
        <f ca="1">IF(ABS(BM15)&lt;0.1,"✅ OK",IF(ABS(BM15)&lt;0.2,"⚠️ Moderado","❌ Alto gap"))</f>
        <v>✅ OK</v>
      </c>
    </row>
    <row r="16" spans="1:66" x14ac:dyDescent="0.25">
      <c r="A16" s="1">
        <f>DATEVALUE(Sheet1!A15)</f>
        <v>44581</v>
      </c>
      <c r="B16" s="2">
        <f>VALUE(Sheet1!B15)</f>
        <v>98.13</v>
      </c>
      <c r="C16" s="9">
        <f>(B16-B15)/B15</f>
        <v>4.4012282497440389E-3</v>
      </c>
      <c r="D16" s="2">
        <f>MAX(D15,B16)</f>
        <v>98.13</v>
      </c>
      <c r="E16" s="9">
        <f>(B16-D16)/D16</f>
        <v>0</v>
      </c>
      <c r="G16" t="s">
        <v>2318</v>
      </c>
      <c r="H16" s="2">
        <f>B66</f>
        <v>91.55</v>
      </c>
      <c r="I16" s="9">
        <f>(H16-H15)/H15</f>
        <v>-4.7940931780366056E-2</v>
      </c>
      <c r="J16" s="2">
        <f>MAX(J15,H16)</f>
        <v>103.9</v>
      </c>
      <c r="K16" s="9">
        <f>(H16-J16)/J16</f>
        <v>-0.11886429258902799</v>
      </c>
      <c r="M16" s="65" t="s">
        <v>2445</v>
      </c>
      <c r="N16" s="2">
        <f>B293</f>
        <v>86.11</v>
      </c>
      <c r="O16" s="9">
        <f>(N16-N15)/N15</f>
        <v>4.0811567164178442E-3</v>
      </c>
      <c r="P16" s="2">
        <f>MAX(P15,N16)</f>
        <v>97.4</v>
      </c>
      <c r="Q16" s="9">
        <f>(N16-P16)/P16</f>
        <v>-0.1159137577002054</v>
      </c>
      <c r="S16" t="s">
        <v>142</v>
      </c>
      <c r="T16" s="9">
        <f>AVERAGE(I4:I240)</f>
        <v>-1.2502724909121599E-3</v>
      </c>
      <c r="AB16" s="1">
        <f>A16</f>
        <v>44581</v>
      </c>
      <c r="AC16" s="2">
        <f>B16</f>
        <v>98.13</v>
      </c>
      <c r="AD16" s="2">
        <f>14</f>
        <v>14</v>
      </c>
      <c r="AE16" s="2">
        <f>INTERCEPT($AC$3:$AC$1136,$AD$3:$AD$1136)+SLOPE($AC$3:$AC$1136,$AD$3:$AD$1136)*AD16</f>
        <v>82.042600849318305</v>
      </c>
      <c r="AF16" s="22">
        <f t="shared" si="0"/>
        <v>84.694260449721</v>
      </c>
      <c r="AG16" s="22">
        <f t="shared" si="1"/>
        <v>79.39094124891561</v>
      </c>
      <c r="AH16" s="22">
        <f>AC16-AE16</f>
        <v>16.087399150681691</v>
      </c>
      <c r="AI16" s="22"/>
      <c r="AJ16" s="22"/>
      <c r="AK16" s="22"/>
      <c r="AL16" s="22" t="s">
        <v>2564</v>
      </c>
      <c r="AM16" s="87">
        <f>MIN(AX3:AX7)</f>
        <v>2.7735550845800301</v>
      </c>
      <c r="AN16" s="87">
        <f>MAX(AX3:AX7)</f>
        <v>13.773003196311128</v>
      </c>
      <c r="AO16" s="87">
        <f>AVERAGE(AX3:AX7)</f>
        <v>7.7657877155730786</v>
      </c>
      <c r="AP16" s="87">
        <f>MEDIAN(AX3:AX7)</f>
        <v>7.2016848351558398</v>
      </c>
      <c r="AQ16" s="87">
        <f>STDEV(AX3:AX7)</f>
        <v>4.0699140893198571</v>
      </c>
      <c r="AR16" s="87">
        <f>AN16/AP16</f>
        <v>1.912469583378136</v>
      </c>
      <c r="AS16" s="9">
        <f>AX8</f>
        <v>15.944705798745705</v>
      </c>
      <c r="BB16" s="7" t="s">
        <v>165</v>
      </c>
      <c r="BC16" s="9">
        <f ca="1">_xlfn.STDEV.S(BG3:BG7)</f>
        <v>1.6575238426479216E-3</v>
      </c>
      <c r="BD16" s="9">
        <f ca="1">_xlfn.STDEV.S(BF3:BF7)</f>
        <v>3.9295107241739738E-4</v>
      </c>
      <c r="BE16" s="9"/>
      <c r="BF16" s="9"/>
      <c r="BG16" s="111"/>
      <c r="BI16" s="125">
        <v>3</v>
      </c>
      <c r="BJ16" s="9">
        <f ca="1">$BC$14*BI16</f>
        <v>1.8900466954575507E-2</v>
      </c>
      <c r="BK16" s="111">
        <f ca="1">COUNTIFS(C3:C1136,"&gt;="&amp;-BJ16,C3:C1136,"&lt;="&amp;BJ16)/COUNT(C3:C1136)</f>
        <v>0.97795414462081132</v>
      </c>
      <c r="BL16" s="111">
        <v>0.99729999999999996</v>
      </c>
      <c r="BM16" s="111">
        <f ca="1">BK16-BL16</f>
        <v>-1.9345855379188648E-2</v>
      </c>
      <c r="BN16" t="str">
        <f ca="1">IF(ABS(BM16)&lt;0.1,"✅ OK",IF(ABS(BM16)&lt;0.2,"⚠️ Moderado","❌ Alto gap"))</f>
        <v>✅ OK</v>
      </c>
    </row>
    <row r="17" spans="1:66" x14ac:dyDescent="0.25">
      <c r="A17" s="1">
        <f>DATEVALUE(Sheet1!A16)</f>
        <v>44582</v>
      </c>
      <c r="B17" s="2">
        <f>VALUE(Sheet1!B16)</f>
        <v>98.33</v>
      </c>
      <c r="C17" s="9">
        <f>(B17-B16)/B16</f>
        <v>2.0381127076327613E-3</v>
      </c>
      <c r="D17" s="2">
        <f>MAX(D16,B17)</f>
        <v>98.33</v>
      </c>
      <c r="E17" s="9">
        <f>(B17-D17)/D17</f>
        <v>0</v>
      </c>
      <c r="G17" t="s">
        <v>2319</v>
      </c>
      <c r="H17" s="2">
        <f>B71</f>
        <v>88.9</v>
      </c>
      <c r="I17" s="9">
        <f>(H17-H16)/H16</f>
        <v>-2.8945931185144637E-2</v>
      </c>
      <c r="J17" s="2">
        <f>MAX(J16,H17)</f>
        <v>103.9</v>
      </c>
      <c r="K17" s="9">
        <f>(H17-J17)/J17</f>
        <v>-0.14436958614051973</v>
      </c>
      <c r="M17" s="65" t="s">
        <v>2465</v>
      </c>
      <c r="N17" s="2">
        <f>B315</f>
        <v>82.6</v>
      </c>
      <c r="O17" s="9">
        <f>(N17-N16)/N16</f>
        <v>-4.0761816281500468E-2</v>
      </c>
      <c r="P17" s="2">
        <f>MAX(P16,N17)</f>
        <v>97.4</v>
      </c>
      <c r="Q17" s="9">
        <f>(N17-P17)/P17</f>
        <v>-0.15195071868583174</v>
      </c>
      <c r="S17" t="s">
        <v>143</v>
      </c>
      <c r="T17" s="9">
        <f>_xlfn.STDEV.P(I4:I240)</f>
        <v>2.0828963664218016E-2</v>
      </c>
      <c r="AB17" s="1">
        <f>A17</f>
        <v>44582</v>
      </c>
      <c r="AC17" s="2">
        <f>B17</f>
        <v>98.33</v>
      </c>
      <c r="AD17" s="2">
        <f>15</f>
        <v>15</v>
      </c>
      <c r="AE17" s="2">
        <f>INTERCEPT($AC$3:$AC$1136,$AD$3:$AD$1136)+SLOPE($AC$3:$AC$1136,$AD$3:$AD$1136)*AD17</f>
        <v>82.023888885905862</v>
      </c>
      <c r="AF17" s="22">
        <f t="shared" si="0"/>
        <v>84.675548486308557</v>
      </c>
      <c r="AG17" s="22">
        <f t="shared" si="1"/>
        <v>79.372229285503167</v>
      </c>
      <c r="AH17" s="22">
        <f>AC17-AE17</f>
        <v>16.306111114094136</v>
      </c>
      <c r="AI17" s="22"/>
      <c r="AJ17" s="22"/>
      <c r="AK17" s="22"/>
      <c r="AL17" s="22" t="s">
        <v>2565</v>
      </c>
      <c r="AM17" s="87">
        <f>MIN(AY3:AY7)</f>
        <v>3.6980734461067066</v>
      </c>
      <c r="AN17" s="87">
        <f>MAX(AY3:AY7)</f>
        <v>18.364004261748171</v>
      </c>
      <c r="AO17" s="87">
        <f>AVERAGE(AY3:AY7)</f>
        <v>10.354383620764105</v>
      </c>
      <c r="AP17" s="87">
        <f>MEDIAN(AY3:AY7)</f>
        <v>9.6022464468744531</v>
      </c>
      <c r="AQ17" s="87">
        <f>STDEV(AY3:AY7)</f>
        <v>5.4265521190931416</v>
      </c>
      <c r="AR17" s="87">
        <f>AN17/AP17</f>
        <v>1.912469583378136</v>
      </c>
      <c r="AS17" s="9">
        <f>AY8</f>
        <v>21.259607731660939</v>
      </c>
      <c r="BB17" s="7" t="s">
        <v>2570</v>
      </c>
      <c r="BC17" s="111">
        <f ca="1">BC16/BC14</f>
        <v>0.26309252252310006</v>
      </c>
      <c r="BD17" s="111">
        <f ca="1">BD16/ABS(BD14)</f>
        <v>1.2860184603033105</v>
      </c>
      <c r="BE17" s="9"/>
      <c r="BF17" s="9"/>
      <c r="BG17" s="111"/>
    </row>
    <row r="18" spans="1:66" x14ac:dyDescent="0.25">
      <c r="A18" s="1">
        <f>DATEVALUE(Sheet1!A17)</f>
        <v>44585</v>
      </c>
      <c r="B18" s="2">
        <f>VALUE(Sheet1!B17)</f>
        <v>97.93</v>
      </c>
      <c r="C18" s="9">
        <f>(B18-B17)/B17</f>
        <v>-4.0679345062543627E-3</v>
      </c>
      <c r="D18" s="2">
        <f>MAX(D17,B18)</f>
        <v>98.33</v>
      </c>
      <c r="E18" s="9">
        <f>(B18-D18)/D18</f>
        <v>-4.0679345062543627E-3</v>
      </c>
      <c r="G18" t="s">
        <v>2320</v>
      </c>
      <c r="H18" s="2">
        <f>B75</f>
        <v>87.63</v>
      </c>
      <c r="I18" s="9">
        <f>(H18-H17)/H17</f>
        <v>-1.42857142857144E-2</v>
      </c>
      <c r="J18" s="2">
        <f>MAX(J17,H18)</f>
        <v>103.9</v>
      </c>
      <c r="K18" s="9">
        <f>(H18-J18)/J18</f>
        <v>-0.15659287776708383</v>
      </c>
      <c r="M18" s="65" t="s">
        <v>2446</v>
      </c>
      <c r="N18" s="2">
        <f>B333</f>
        <v>65.61</v>
      </c>
      <c r="O18" s="9">
        <f>(N18-N17)/N17</f>
        <v>-0.20569007263922515</v>
      </c>
      <c r="P18" s="2">
        <f>MAX(P17,N18)</f>
        <v>97.4</v>
      </c>
      <c r="Q18" s="9">
        <f>(N18-P18)/P18</f>
        <v>-0.32638603696098567</v>
      </c>
      <c r="S18" t="s">
        <v>144</v>
      </c>
      <c r="T18" s="9">
        <f>T16-T17</f>
        <v>-2.2079236155130175E-2</v>
      </c>
      <c r="AB18" s="1">
        <f>A18</f>
        <v>44585</v>
      </c>
      <c r="AC18" s="2">
        <f>B18</f>
        <v>97.93</v>
      </c>
      <c r="AD18" s="2">
        <f>16</f>
        <v>16</v>
      </c>
      <c r="AE18" s="2">
        <f>INTERCEPT($AC$3:$AC$1136,$AD$3:$AD$1136)+SLOPE($AC$3:$AC$1136,$AD$3:$AD$1136)*AD18</f>
        <v>82.005176922493419</v>
      </c>
      <c r="AF18" s="22">
        <f t="shared" si="0"/>
        <v>84.656836522896114</v>
      </c>
      <c r="AG18" s="22">
        <f t="shared" si="1"/>
        <v>79.353517322090724</v>
      </c>
      <c r="AH18" s="22">
        <f>AC18-AE18</f>
        <v>15.924823077506588</v>
      </c>
      <c r="AI18" s="22"/>
      <c r="AJ18" s="22"/>
      <c r="AK18" s="22"/>
      <c r="AL18" s="22" t="s">
        <v>2566</v>
      </c>
      <c r="AM18" s="87">
        <f>MIN(AZ3:AZ7)</f>
        <v>4.6225918076333832</v>
      </c>
      <c r="AN18" s="87">
        <f>MAX(AZ3:AZ7)</f>
        <v>22.955005327185212</v>
      </c>
      <c r="AO18" s="87">
        <f>AVERAGE(AZ3:AZ7)</f>
        <v>12.942979525955133</v>
      </c>
      <c r="AP18" s="87">
        <f>MEDIAN(AZ3:AZ7)</f>
        <v>12.002808058593066</v>
      </c>
      <c r="AQ18" s="87">
        <f>STDEV(AZ3:AZ7)</f>
        <v>6.7831901488664235</v>
      </c>
      <c r="AR18" s="87">
        <f>AN18/AP18</f>
        <v>1.9124695833781358</v>
      </c>
      <c r="AS18" s="9">
        <f>AZ8</f>
        <v>26.574509664576173</v>
      </c>
      <c r="BB18" s="101" t="s">
        <v>2644</v>
      </c>
      <c r="BC18" s="105">
        <f>BG8</f>
        <v>6.6642380484254549E-3</v>
      </c>
      <c r="BD18" s="105">
        <f>BF8</f>
        <v>-2.8499671176053873E-4</v>
      </c>
      <c r="BE18" s="105">
        <f>BH8</f>
        <v>-3.5253743760399345E-2</v>
      </c>
      <c r="BF18" s="105">
        <f>BI8</f>
        <v>2.9780762894436808E-2</v>
      </c>
      <c r="BG18" s="123">
        <f>BJ8</f>
        <v>-0.29420715139658737</v>
      </c>
    </row>
    <row r="19" spans="1:66" x14ac:dyDescent="0.25">
      <c r="A19" s="1">
        <f>DATEVALUE(Sheet1!A18)</f>
        <v>44586</v>
      </c>
      <c r="B19" s="2">
        <f>VALUE(Sheet1!B18)</f>
        <v>97.76</v>
      </c>
      <c r="C19" s="9">
        <f>(B19-B18)/B18</f>
        <v>-1.7359338302869569E-3</v>
      </c>
      <c r="D19" s="2">
        <f>MAX(D18,B19)</f>
        <v>98.33</v>
      </c>
      <c r="E19" s="9">
        <f>(B19-D19)/D19</f>
        <v>-5.7968066714125209E-3</v>
      </c>
      <c r="G19" t="s">
        <v>2321</v>
      </c>
      <c r="H19" s="2">
        <f>B79</f>
        <v>88.71</v>
      </c>
      <c r="I19" s="9">
        <f>(H19-H18)/H18</f>
        <v>1.2324546388223192E-2</v>
      </c>
      <c r="J19" s="2">
        <f>MAX(J18,H19)</f>
        <v>103.9</v>
      </c>
      <c r="K19" s="9">
        <f>(H19-J19)/J19</f>
        <v>-0.14619826756496643</v>
      </c>
      <c r="M19" s="65" t="s">
        <v>2447</v>
      </c>
      <c r="N19" s="2">
        <f>B356</f>
        <v>53.9</v>
      </c>
      <c r="O19" s="9">
        <f>(N19-N18)/N18</f>
        <v>-0.17847889041304679</v>
      </c>
      <c r="P19" s="2">
        <f>MAX(P18,N19)</f>
        <v>97.4</v>
      </c>
      <c r="Q19" s="9">
        <f>(N19-P19)/P19</f>
        <v>-0.44661190965092407</v>
      </c>
      <c r="S19" t="s">
        <v>145</v>
      </c>
      <c r="T19" s="9">
        <f>T16+T17</f>
        <v>1.9578691173305858E-2</v>
      </c>
      <c r="AB19" s="1">
        <f>A19</f>
        <v>44586</v>
      </c>
      <c r="AC19" s="2">
        <f>B19</f>
        <v>97.76</v>
      </c>
      <c r="AD19" s="2">
        <f>17</f>
        <v>17</v>
      </c>
      <c r="AE19" s="2">
        <f>INTERCEPT($AC$3:$AC$1136,$AD$3:$AD$1136)+SLOPE($AC$3:$AC$1136,$AD$3:$AD$1136)*AD19</f>
        <v>81.986464959080962</v>
      </c>
      <c r="AF19" s="2">
        <f t="shared" si="0"/>
        <v>84.638124559483657</v>
      </c>
      <c r="AG19" s="2">
        <f t="shared" si="1"/>
        <v>79.334805358678267</v>
      </c>
      <c r="AH19" s="22">
        <f>AC19-AE19</f>
        <v>15.773535040919043</v>
      </c>
    </row>
    <row r="20" spans="1:66" ht="15.75" x14ac:dyDescent="0.25">
      <c r="A20" s="1">
        <f>DATEVALUE(Sheet1!A19)</f>
        <v>44587</v>
      </c>
      <c r="B20" s="2">
        <f>VALUE(Sheet1!B19)</f>
        <v>97.9</v>
      </c>
      <c r="C20" s="9">
        <f>(B20-B19)/B19</f>
        <v>1.43207855973814E-3</v>
      </c>
      <c r="D20" s="2">
        <f>MAX(D19,B20)</f>
        <v>98.33</v>
      </c>
      <c r="E20" s="9">
        <f>(B20-D20)/D20</f>
        <v>-4.3730295942234583E-3</v>
      </c>
      <c r="G20" t="s">
        <v>2322</v>
      </c>
      <c r="H20" s="2">
        <f>B84</f>
        <v>87.87</v>
      </c>
      <c r="I20" s="9">
        <f>(H20-H19)/H19</f>
        <v>-9.4690564761581476E-3</v>
      </c>
      <c r="J20" s="2">
        <f>MAX(J19,H20)</f>
        <v>103.9</v>
      </c>
      <c r="K20" s="9">
        <f>(H20-J20)/J20</f>
        <v>-0.15428296438883543</v>
      </c>
      <c r="M20" s="65" t="s">
        <v>2466</v>
      </c>
      <c r="N20" s="2">
        <f>B376</f>
        <v>55.36</v>
      </c>
      <c r="O20" s="9">
        <f>(N20-N19)/N19</f>
        <v>2.7087198515769961E-2</v>
      </c>
      <c r="P20" s="2">
        <f>MAX(P19,N20)</f>
        <v>97.4</v>
      </c>
      <c r="Q20" s="9">
        <f>(N20-P20)/P20</f>
        <v>-0.43162217659137581</v>
      </c>
      <c r="S20" t="s">
        <v>146</v>
      </c>
      <c r="T20" s="9">
        <f>T16-2*T17</f>
        <v>-4.2908199819348194E-2</v>
      </c>
      <c r="AB20" s="1">
        <f>A20</f>
        <v>44587</v>
      </c>
      <c r="AC20" s="2">
        <f>B20</f>
        <v>97.9</v>
      </c>
      <c r="AD20" s="2">
        <f>18</f>
        <v>18</v>
      </c>
      <c r="AE20" s="2">
        <f>INTERCEPT($AC$3:$AC$1136,$AD$3:$AD$1136)+SLOPE($AC$3:$AC$1136,$AD$3:$AD$1136)*AD20</f>
        <v>81.967752995668519</v>
      </c>
      <c r="AF20" s="2">
        <f t="shared" si="0"/>
        <v>84.619412596071214</v>
      </c>
      <c r="AG20" s="2">
        <f t="shared" si="1"/>
        <v>79.316093395265824</v>
      </c>
      <c r="AH20" s="22">
        <f>AC20-AE20</f>
        <v>15.932247004331487</v>
      </c>
      <c r="AL20" s="67" t="s">
        <v>2572</v>
      </c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B20" s="112" t="s">
        <v>2658</v>
      </c>
      <c r="BC20" s="112"/>
      <c r="BD20" s="112"/>
      <c r="BE20" s="112"/>
      <c r="BF20" s="112"/>
      <c r="BG20" s="112"/>
      <c r="BH20" s="112"/>
      <c r="BI20" s="112"/>
      <c r="BJ20" s="112"/>
      <c r="BK20" s="112"/>
      <c r="BL20" s="112"/>
      <c r="BM20" s="112"/>
      <c r="BN20" s="112"/>
    </row>
    <row r="21" spans="1:66" ht="90" x14ac:dyDescent="0.25">
      <c r="A21" s="1">
        <f>DATEVALUE(Sheet1!A20)</f>
        <v>44588</v>
      </c>
      <c r="B21" s="2">
        <f>VALUE(Sheet1!B20)</f>
        <v>97.37</v>
      </c>
      <c r="C21" s="9">
        <f>(B21-B20)/B20</f>
        <v>-5.4136874361593573E-3</v>
      </c>
      <c r="D21" s="2">
        <f>MAX(D20,B21)</f>
        <v>98.33</v>
      </c>
      <c r="E21" s="9">
        <f>(B21-D21)/D21</f>
        <v>-9.7630428150106141E-3</v>
      </c>
      <c r="G21" t="s">
        <v>2323</v>
      </c>
      <c r="H21" s="2">
        <f>B89</f>
        <v>86.15</v>
      </c>
      <c r="I21" s="9">
        <f>(H21-H20)/H20</f>
        <v>-1.9574371230226456E-2</v>
      </c>
      <c r="J21" s="2">
        <f>MAX(J20,H21)</f>
        <v>103.9</v>
      </c>
      <c r="K21" s="9">
        <f>(H21-J21)/J21</f>
        <v>-0.170837343599615</v>
      </c>
      <c r="M21" s="65" t="s">
        <v>2467</v>
      </c>
      <c r="N21" s="2">
        <f>B398</f>
        <v>53.75</v>
      </c>
      <c r="O21" s="9">
        <f>(N21-N20)/N20</f>
        <v>-2.9082369942196522E-2</v>
      </c>
      <c r="P21" s="2">
        <f>MAX(P20,N21)</f>
        <v>97.4</v>
      </c>
      <c r="Q21" s="9">
        <f>(N21-P21)/P21</f>
        <v>-0.44815195071868585</v>
      </c>
      <c r="S21" t="s">
        <v>147</v>
      </c>
      <c r="T21" s="9">
        <f>T16+2*T17</f>
        <v>4.0407654837523871E-2</v>
      </c>
      <c r="AB21" s="1">
        <f>A21</f>
        <v>44588</v>
      </c>
      <c r="AC21" s="2">
        <f>B21</f>
        <v>97.37</v>
      </c>
      <c r="AD21" s="2">
        <f>19</f>
        <v>19</v>
      </c>
      <c r="AE21" s="2">
        <f>INTERCEPT($AC$3:$AC$1136,$AD$3:$AD$1136)+SLOPE($AC$3:$AC$1136,$AD$3:$AD$1136)*AD21</f>
        <v>81.949041032256076</v>
      </c>
      <c r="AF21" s="2">
        <f t="shared" si="0"/>
        <v>84.600700632658771</v>
      </c>
      <c r="AG21" s="2">
        <f t="shared" si="1"/>
        <v>79.297381431853381</v>
      </c>
      <c r="AH21" s="22">
        <f>AC21-AE21</f>
        <v>15.420958967743928</v>
      </c>
      <c r="AL21" s="7" t="s">
        <v>2573</v>
      </c>
      <c r="AN21" s="22">
        <f>AP12</f>
        <v>4.8011232234372265</v>
      </c>
      <c r="AQ21" s="106" t="s">
        <v>2581</v>
      </c>
      <c r="BB21" s="7" t="s">
        <v>2602</v>
      </c>
      <c r="BD21" s="113" t="s">
        <v>2660</v>
      </c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</row>
    <row r="22" spans="1:66" ht="90" x14ac:dyDescent="0.25">
      <c r="A22" s="1">
        <f>DATEVALUE(Sheet1!A21)</f>
        <v>44589</v>
      </c>
      <c r="B22" s="2">
        <f>VALUE(Sheet1!B21)</f>
        <v>97.4</v>
      </c>
      <c r="C22" s="9">
        <f>(B22-B21)/B21</f>
        <v>3.0810311184144127E-4</v>
      </c>
      <c r="D22" s="2">
        <f>MAX(D21,B22)</f>
        <v>98.33</v>
      </c>
      <c r="E22" s="9">
        <f>(B22-D22)/D22</f>
        <v>-9.4579477270415203E-3</v>
      </c>
      <c r="G22" t="s">
        <v>2324</v>
      </c>
      <c r="H22" s="2">
        <f>B94</f>
        <v>87.97</v>
      </c>
      <c r="I22" s="9">
        <f>(H22-H21)/H21</f>
        <v>2.1125943122460744E-2</v>
      </c>
      <c r="J22" s="2">
        <f>MAX(J21,H22)</f>
        <v>103.9</v>
      </c>
      <c r="K22" s="9">
        <f>(H22-J22)/J22</f>
        <v>-0.15332050048123202</v>
      </c>
      <c r="M22" s="65" t="s">
        <v>2448</v>
      </c>
      <c r="N22" s="2">
        <f>B421</f>
        <v>53.88</v>
      </c>
      <c r="O22" s="9">
        <f>(N22-N21)/N21</f>
        <v>2.4186046511628385E-3</v>
      </c>
      <c r="P22" s="2">
        <f>MAX(P21,N22)</f>
        <v>97.4</v>
      </c>
      <c r="Q22" s="9">
        <f>(N22-P22)/P22</f>
        <v>-0.44681724845995896</v>
      </c>
      <c r="S22" t="s">
        <v>148</v>
      </c>
      <c r="T22" s="9">
        <f>T16-3*T17</f>
        <v>-6.37371634835662E-2</v>
      </c>
      <c r="AB22" s="1">
        <f>A22</f>
        <v>44589</v>
      </c>
      <c r="AC22" s="2">
        <f>B22</f>
        <v>97.4</v>
      </c>
      <c r="AD22" s="2">
        <f>20</f>
        <v>20</v>
      </c>
      <c r="AE22" s="2">
        <f>INTERCEPT($AC$3:$AC$1136,$AD$3:$AD$1136)+SLOPE($AC$3:$AC$1136,$AD$3:$AD$1136)*AD22</f>
        <v>81.930329068843633</v>
      </c>
      <c r="AF22" s="2">
        <f t="shared" si="0"/>
        <v>84.581988669246329</v>
      </c>
      <c r="AG22" s="2">
        <f t="shared" si="1"/>
        <v>79.278669468440938</v>
      </c>
      <c r="AH22" s="22">
        <f>AC22-AE22</f>
        <v>15.469670931156372</v>
      </c>
      <c r="AL22" s="7" t="s">
        <v>2574</v>
      </c>
      <c r="AN22" s="22">
        <f>AS12</f>
        <v>10.629803865830469</v>
      </c>
      <c r="AQ22" s="106" t="s">
        <v>2582</v>
      </c>
      <c r="BB22" s="7" t="s">
        <v>2603</v>
      </c>
      <c r="BD22" s="113" t="s">
        <v>2661</v>
      </c>
      <c r="BE22" s="113"/>
      <c r="BF22" s="113"/>
      <c r="BG22" s="113"/>
      <c r="BH22" s="113"/>
      <c r="BI22" s="113"/>
      <c r="BJ22" s="113"/>
      <c r="BK22" s="113"/>
      <c r="BL22" s="113"/>
      <c r="BM22" s="113"/>
      <c r="BN22" s="113"/>
    </row>
    <row r="23" spans="1:66" ht="90" x14ac:dyDescent="0.25">
      <c r="A23" s="1">
        <f>DATEVALUE(Sheet1!A22)</f>
        <v>44592</v>
      </c>
      <c r="B23" s="2">
        <f>VALUE(Sheet1!B22)</f>
        <v>97.42</v>
      </c>
      <c r="C23" s="9">
        <f>(B23-B22)/B22</f>
        <v>2.0533880903486672E-4</v>
      </c>
      <c r="D23" s="2">
        <f>MAX(D22,B23)</f>
        <v>98.33</v>
      </c>
      <c r="E23" s="9">
        <f>(B23-D23)/D23</f>
        <v>-9.2545510017288373E-3</v>
      </c>
      <c r="G23" t="s">
        <v>2325</v>
      </c>
      <c r="H23" s="2">
        <f>B99</f>
        <v>88.03</v>
      </c>
      <c r="I23" s="9">
        <f>(H23-H22)/H22</f>
        <v>6.8205069910199246E-4</v>
      </c>
      <c r="J23" s="2">
        <f>MAX(J22,H23)</f>
        <v>103.9</v>
      </c>
      <c r="K23" s="9">
        <f>(H23-J23)/J23</f>
        <v>-0.1527430221366699</v>
      </c>
      <c r="M23" s="65" t="s">
        <v>2449</v>
      </c>
      <c r="N23" s="2">
        <f>B440</f>
        <v>57.47</v>
      </c>
      <c r="O23" s="9">
        <f>(N23-N22)/N22</f>
        <v>6.6629547141796516E-2</v>
      </c>
      <c r="P23" s="2">
        <f>MAX(P22,N23)</f>
        <v>97.4</v>
      </c>
      <c r="Q23" s="9">
        <f>(N23-P23)/P23</f>
        <v>-0.40995893223819307</v>
      </c>
      <c r="S23" t="s">
        <v>149</v>
      </c>
      <c r="T23" s="9">
        <f>T16+3*T17</f>
        <v>6.1236618501741884E-2</v>
      </c>
      <c r="AB23" s="1">
        <f>A23</f>
        <v>44592</v>
      </c>
      <c r="AC23" s="2">
        <f>B23</f>
        <v>97.42</v>
      </c>
      <c r="AD23" s="2">
        <f>21</f>
        <v>21</v>
      </c>
      <c r="AE23" s="2">
        <f>INTERCEPT($AC$3:$AC$1136,$AD$3:$AD$1136)+SLOPE($AC$3:$AC$1136,$AD$3:$AD$1136)*AD23</f>
        <v>81.911617105431176</v>
      </c>
      <c r="AF23" s="2">
        <f t="shared" si="0"/>
        <v>84.563276705833871</v>
      </c>
      <c r="AG23" s="2">
        <f t="shared" si="1"/>
        <v>79.259957505028481</v>
      </c>
      <c r="AH23" s="22">
        <f>AC23-AE23</f>
        <v>15.508382894568825</v>
      </c>
      <c r="AL23" s="7" t="s">
        <v>2575</v>
      </c>
      <c r="AN23" s="107">
        <f>AN22/AN21</f>
        <v>2.2140243795326642</v>
      </c>
      <c r="AQ23" s="106" t="s">
        <v>2583</v>
      </c>
      <c r="BB23" s="7" t="s">
        <v>2604</v>
      </c>
      <c r="BD23" s="113" t="s">
        <v>2662</v>
      </c>
      <c r="BE23" s="113"/>
      <c r="BF23" s="113"/>
      <c r="BG23" s="113"/>
      <c r="BH23" s="113"/>
      <c r="BI23" s="113"/>
      <c r="BJ23" s="113"/>
      <c r="BK23" s="113"/>
      <c r="BL23" s="113"/>
      <c r="BM23" s="113"/>
      <c r="BN23" s="113"/>
    </row>
    <row r="24" spans="1:66" x14ac:dyDescent="0.25">
      <c r="A24" s="1">
        <f>DATEVALUE(Sheet1!A23)</f>
        <v>44593</v>
      </c>
      <c r="B24" s="2">
        <f>VALUE(Sheet1!B23)</f>
        <v>97.4</v>
      </c>
      <c r="C24" s="9">
        <f>(B24-B23)/B23</f>
        <v>-2.0529665366450441E-4</v>
      </c>
      <c r="D24" s="2">
        <f>MAX(D23,B24)</f>
        <v>98.33</v>
      </c>
      <c r="E24" s="9">
        <f>(B24-D24)/D24</f>
        <v>-9.4579477270415203E-3</v>
      </c>
      <c r="G24" t="s">
        <v>2326</v>
      </c>
      <c r="H24" s="2">
        <f>B104</f>
        <v>86.84</v>
      </c>
      <c r="I24" s="9">
        <f>(H24-H23)/H23</f>
        <v>-1.3518118823128453E-2</v>
      </c>
      <c r="J24" s="2">
        <f>MAX(J23,H24)</f>
        <v>103.9</v>
      </c>
      <c r="K24" s="9">
        <f>(H24-J24)/J24</f>
        <v>-0.16419634263715113</v>
      </c>
      <c r="M24" s="65" t="s">
        <v>2450</v>
      </c>
      <c r="N24" s="2">
        <f>B462</f>
        <v>60.03</v>
      </c>
      <c r="O24" s="9">
        <f>(N24-N23)/N23</f>
        <v>4.4544979989559808E-2</v>
      </c>
      <c r="P24" s="2">
        <f>MAX(P23,N24)</f>
        <v>97.4</v>
      </c>
      <c r="Q24" s="9">
        <f>(N24-P24)/P24</f>
        <v>-0.38367556468172487</v>
      </c>
      <c r="S24" t="s">
        <v>150</v>
      </c>
      <c r="T24" s="9">
        <f>MIN(K3:K240)</f>
        <v>-0.48864292589027913</v>
      </c>
      <c r="AB24" s="1">
        <f>A24</f>
        <v>44593</v>
      </c>
      <c r="AC24" s="2">
        <f>B24</f>
        <v>97.4</v>
      </c>
      <c r="AD24" s="2">
        <f>22</f>
        <v>22</v>
      </c>
      <c r="AE24" s="2">
        <f>INTERCEPT($AC$3:$AC$1136,$AD$3:$AD$1136)+SLOPE($AC$3:$AC$1136,$AD$3:$AD$1136)*AD24</f>
        <v>81.892905142018733</v>
      </c>
      <c r="AF24" s="2">
        <f t="shared" si="0"/>
        <v>84.544564742421429</v>
      </c>
      <c r="AG24" s="2">
        <f t="shared" si="1"/>
        <v>79.241245541616038</v>
      </c>
      <c r="AH24" s="22">
        <f>AC24-AE24</f>
        <v>15.507094857981272</v>
      </c>
      <c r="AL24" s="7"/>
      <c r="AN24" s="22"/>
      <c r="AQ24" s="106"/>
      <c r="BB24" s="7" t="s">
        <v>2659</v>
      </c>
      <c r="BD24" s="113" t="s">
        <v>2663</v>
      </c>
      <c r="BE24" s="113"/>
      <c r="BF24" s="113"/>
      <c r="BG24" s="113"/>
      <c r="BH24" s="113"/>
      <c r="BI24" s="113"/>
      <c r="BJ24" s="113"/>
      <c r="BK24" s="113"/>
      <c r="BL24" s="113"/>
      <c r="BM24" s="113"/>
      <c r="BN24" s="113"/>
    </row>
    <row r="25" spans="1:66" ht="60" x14ac:dyDescent="0.25">
      <c r="A25" s="1">
        <f>DATEVALUE(Sheet1!A24)</f>
        <v>44594</v>
      </c>
      <c r="B25" s="2">
        <f>VALUE(Sheet1!B24)</f>
        <v>97.14</v>
      </c>
      <c r="C25" s="9">
        <f>(B25-B24)/B24</f>
        <v>-2.6694045174538513E-3</v>
      </c>
      <c r="D25" s="2">
        <f>MAX(D24,B25)</f>
        <v>98.33</v>
      </c>
      <c r="E25" s="9">
        <f>(B25-D25)/D25</f>
        <v>-1.2102105156106964E-2</v>
      </c>
      <c r="G25" t="s">
        <v>2327</v>
      </c>
      <c r="H25" s="2">
        <f>B109</f>
        <v>84.8</v>
      </c>
      <c r="I25" s="9">
        <f>(H25-H24)/H24</f>
        <v>-2.3491478581299012E-2</v>
      </c>
      <c r="J25" s="2">
        <f>MAX(J24,H25)</f>
        <v>103.9</v>
      </c>
      <c r="K25" s="9">
        <f>(H25-J25)/J25</f>
        <v>-0.18383060635226187</v>
      </c>
      <c r="M25" s="65" t="s">
        <v>2468</v>
      </c>
      <c r="N25" s="2">
        <f>B482</f>
        <v>62.63</v>
      </c>
      <c r="O25" s="9">
        <f>(N25-N24)/N24</f>
        <v>4.3311677494586066E-2</v>
      </c>
      <c r="P25" s="2">
        <f>MAX(P24,N25)</f>
        <v>97.4</v>
      </c>
      <c r="Q25" s="9">
        <f>(N25-P25)/P25</f>
        <v>-0.35698151950718687</v>
      </c>
      <c r="S25" t="s">
        <v>151</v>
      </c>
      <c r="T25" s="9">
        <f>AVERAGEIF(K3:K240,"&lt;0")</f>
        <v>-0.31415362971527272</v>
      </c>
      <c r="AB25" s="1">
        <f>A25</f>
        <v>44594</v>
      </c>
      <c r="AC25" s="2">
        <f>B25</f>
        <v>97.14</v>
      </c>
      <c r="AD25" s="2">
        <f>23</f>
        <v>23</v>
      </c>
      <c r="AE25" s="2">
        <f>INTERCEPT($AC$3:$AC$1136,$AD$3:$AD$1136)+SLOPE($AC$3:$AC$1136,$AD$3:$AD$1136)*AD25</f>
        <v>81.874193178606291</v>
      </c>
      <c r="AF25" s="2">
        <f t="shared" si="0"/>
        <v>84.525852779008986</v>
      </c>
      <c r="AG25" s="2">
        <f t="shared" si="1"/>
        <v>79.222533578203596</v>
      </c>
      <c r="AH25" s="22">
        <f>AC25-AE25</f>
        <v>15.26580682139371</v>
      </c>
      <c r="AL25" s="7" t="s">
        <v>2576</v>
      </c>
      <c r="AN25" s="22">
        <f>AM12</f>
        <v>1.8490367230533533</v>
      </c>
      <c r="AQ25" s="106" t="s">
        <v>2584</v>
      </c>
    </row>
    <row r="26" spans="1:66" ht="60" x14ac:dyDescent="0.25">
      <c r="A26" s="1">
        <f>DATEVALUE(Sheet1!A25)</f>
        <v>44595</v>
      </c>
      <c r="B26" s="2">
        <f>VALUE(Sheet1!B25)</f>
        <v>96.82</v>
      </c>
      <c r="C26" s="9">
        <f>(B26-B25)/B25</f>
        <v>-3.294214535721715E-3</v>
      </c>
      <c r="D26" s="2">
        <f>MAX(D25,B26)</f>
        <v>98.33</v>
      </c>
      <c r="E26" s="9">
        <f>(B26-D26)/D26</f>
        <v>-1.5356452761110598E-2</v>
      </c>
      <c r="G26" t="s">
        <v>2328</v>
      </c>
      <c r="H26" s="2">
        <f>B114</f>
        <v>85.41</v>
      </c>
      <c r="I26" s="9">
        <f>(H26-H25)/H25</f>
        <v>7.1933962264150875E-3</v>
      </c>
      <c r="J26" s="2">
        <f>MAX(J25,H26)</f>
        <v>103.9</v>
      </c>
      <c r="K26" s="9">
        <f>(H26-J26)/J26</f>
        <v>-0.17795957651588074</v>
      </c>
      <c r="M26" s="65" t="s">
        <v>2451</v>
      </c>
      <c r="N26" s="2">
        <f>B500</f>
        <v>69.209999999999994</v>
      </c>
      <c r="O26" s="9">
        <f>(N26-N25)/N25</f>
        <v>0.10506147213795292</v>
      </c>
      <c r="P26" s="2">
        <f>MAX(P25,N26)</f>
        <v>97.4</v>
      </c>
      <c r="Q26" s="9">
        <f>(N26-P26)/P26</f>
        <v>-0.28942505133470237</v>
      </c>
      <c r="AB26" s="1">
        <f>A26</f>
        <v>44595</v>
      </c>
      <c r="AC26" s="2">
        <f>B26</f>
        <v>96.82</v>
      </c>
      <c r="AD26" s="2">
        <f>24</f>
        <v>24</v>
      </c>
      <c r="AE26" s="2">
        <f>INTERCEPT($AC$3:$AC$1136,$AD$3:$AD$1136)+SLOPE($AC$3:$AC$1136,$AD$3:$AD$1136)*AD26</f>
        <v>81.855481215193834</v>
      </c>
      <c r="AF26" s="2">
        <f t="shared" si="0"/>
        <v>84.507140815596529</v>
      </c>
      <c r="AG26" s="2">
        <f t="shared" si="1"/>
        <v>79.203821614791138</v>
      </c>
      <c r="AH26" s="22">
        <f>AC26-AE26</f>
        <v>14.96451878480616</v>
      </c>
      <c r="AL26" s="7" t="s">
        <v>2577</v>
      </c>
      <c r="AN26" s="22">
        <f>AN12</f>
        <v>9.1820021308740856</v>
      </c>
      <c r="AQ26" s="106" t="s">
        <v>2585</v>
      </c>
      <c r="BB26" s="143" t="s">
        <v>2664</v>
      </c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</row>
    <row r="27" spans="1:66" ht="45" x14ac:dyDescent="0.25">
      <c r="A27" s="1">
        <f>DATEVALUE(Sheet1!A26)</f>
        <v>44596</v>
      </c>
      <c r="B27" s="2">
        <f>VALUE(Sheet1!B26)</f>
        <v>97.13</v>
      </c>
      <c r="C27" s="9">
        <f>(B27-B26)/B26</f>
        <v>3.2018178062384042E-3</v>
      </c>
      <c r="D27" s="2">
        <f>MAX(D26,B27)</f>
        <v>98.33</v>
      </c>
      <c r="E27" s="9">
        <f>(B27-D27)/D27</f>
        <v>-1.2203803518763377E-2</v>
      </c>
      <c r="G27" t="s">
        <v>2329</v>
      </c>
      <c r="H27" s="2">
        <f>B118</f>
        <v>87.42</v>
      </c>
      <c r="I27" s="9">
        <f>(H27-H26)/H26</f>
        <v>2.3533544081489347E-2</v>
      </c>
      <c r="J27" s="2">
        <f>MAX(J26,H27)</f>
        <v>103.9</v>
      </c>
      <c r="K27" s="9">
        <f>(H27-J27)/J27</f>
        <v>-0.15861405197305103</v>
      </c>
      <c r="M27" s="65" t="s">
        <v>2469</v>
      </c>
      <c r="N27" s="2">
        <f>B523</f>
        <v>61.45</v>
      </c>
      <c r="O27" s="9">
        <f>(N27-N26)/N26</f>
        <v>-0.11212252564658275</v>
      </c>
      <c r="P27" s="2">
        <f>MAX(P26,N27)</f>
        <v>97.4</v>
      </c>
      <c r="Q27" s="9">
        <f>(N27-P27)/P27</f>
        <v>-0.3690965092402464</v>
      </c>
      <c r="S27" s="69" t="s">
        <v>154</v>
      </c>
      <c r="T27" s="69"/>
      <c r="U27" s="69"/>
      <c r="AB27" s="1">
        <f>A27</f>
        <v>44596</v>
      </c>
      <c r="AC27" s="2">
        <f>B27</f>
        <v>97.13</v>
      </c>
      <c r="AD27" s="2">
        <f>25</f>
        <v>25</v>
      </c>
      <c r="AE27" s="2">
        <f>INTERCEPT($AC$3:$AC$1136,$AD$3:$AD$1136)+SLOPE($AC$3:$AC$1136,$AD$3:$AD$1136)*AD27</f>
        <v>81.836769251781391</v>
      </c>
      <c r="AF27" s="2">
        <f t="shared" si="0"/>
        <v>84.488428852184086</v>
      </c>
      <c r="AG27" s="2">
        <f t="shared" si="1"/>
        <v>79.185109651378696</v>
      </c>
      <c r="AH27" s="22">
        <f>AC27-AE27</f>
        <v>15.293230748218605</v>
      </c>
      <c r="AL27" s="7" t="s">
        <v>2578</v>
      </c>
      <c r="AN27" s="22">
        <f>AN26-AN25</f>
        <v>7.3329654078207325</v>
      </c>
      <c r="AQ27" s="106" t="s">
        <v>2586</v>
      </c>
      <c r="BB27" s="62" t="s">
        <v>2665</v>
      </c>
      <c r="BC27" s="115"/>
      <c r="BD27" s="144">
        <f ca="1">BC14</f>
        <v>6.3001556515251689E-3</v>
      </c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</row>
    <row r="28" spans="1:66" x14ac:dyDescent="0.25">
      <c r="A28" s="1">
        <f>DATEVALUE(Sheet1!A27)</f>
        <v>44599</v>
      </c>
      <c r="B28" s="2">
        <f>VALUE(Sheet1!B27)</f>
        <v>96.97</v>
      </c>
      <c r="C28" s="9">
        <f>(B28-B27)/B27</f>
        <v>-1.6472768454648058E-3</v>
      </c>
      <c r="D28" s="2">
        <f>MAX(D27,B28)</f>
        <v>98.33</v>
      </c>
      <c r="E28" s="9">
        <f>(B28-D28)/D28</f>
        <v>-1.3830977321265122E-2</v>
      </c>
      <c r="G28" t="s">
        <v>2330</v>
      </c>
      <c r="H28" s="2">
        <f>B123</f>
        <v>84.75</v>
      </c>
      <c r="I28" s="9">
        <f>(H28-H27)/H27</f>
        <v>-3.0542210020590273E-2</v>
      </c>
      <c r="J28" s="2">
        <f>MAX(J27,H28)</f>
        <v>103.9</v>
      </c>
      <c r="K28" s="9">
        <f>(H28-J28)/J28</f>
        <v>-0.18431183830606357</v>
      </c>
      <c r="M28" s="65" t="s">
        <v>2452</v>
      </c>
      <c r="N28" s="2">
        <f>B542</f>
        <v>62.72</v>
      </c>
      <c r="O28" s="9">
        <f>(N28-N27)/N27</f>
        <v>2.0667209113100014E-2</v>
      </c>
      <c r="P28" s="2">
        <f>MAX(P27,N28)</f>
        <v>97.4</v>
      </c>
      <c r="Q28" s="9">
        <f>(N28-P28)/P28</f>
        <v>-0.35605749486652982</v>
      </c>
      <c r="S28" s="64" t="s">
        <v>141</v>
      </c>
      <c r="T28" s="64" t="s">
        <v>152</v>
      </c>
      <c r="AB28" s="1">
        <f>A28</f>
        <v>44599</v>
      </c>
      <c r="AC28" s="2">
        <f>B28</f>
        <v>96.97</v>
      </c>
      <c r="AD28" s="2">
        <f>26</f>
        <v>26</v>
      </c>
      <c r="AE28" s="2">
        <f>INTERCEPT($AC$3:$AC$1136,$AD$3:$AD$1136)+SLOPE($AC$3:$AC$1136,$AD$3:$AD$1136)*AD28</f>
        <v>81.818057288368948</v>
      </c>
      <c r="AF28" s="2">
        <f t="shared" si="0"/>
        <v>84.469716888771643</v>
      </c>
      <c r="AG28" s="2">
        <f t="shared" si="1"/>
        <v>79.166397687966253</v>
      </c>
      <c r="AH28" s="22">
        <f>AC28-AE28</f>
        <v>15.151942711631051</v>
      </c>
      <c r="AL28" s="7"/>
      <c r="AN28" s="22"/>
      <c r="AQ28" s="106"/>
      <c r="BB28" s="62" t="s">
        <v>2640</v>
      </c>
      <c r="BC28" s="115"/>
      <c r="BD28" s="115">
        <v>2</v>
      </c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</row>
    <row r="29" spans="1:66" ht="105" x14ac:dyDescent="0.25">
      <c r="A29" s="1">
        <f>DATEVALUE(Sheet1!A28)</f>
        <v>44600</v>
      </c>
      <c r="B29" s="2">
        <f>VALUE(Sheet1!B28)</f>
        <v>97.14</v>
      </c>
      <c r="C29" s="9">
        <f>(B29-B28)/B28</f>
        <v>1.753119521501513E-3</v>
      </c>
      <c r="D29" s="2">
        <f>MAX(D28,B29)</f>
        <v>98.33</v>
      </c>
      <c r="E29" s="9">
        <f>(B29-D29)/D29</f>
        <v>-1.2102105156106964E-2</v>
      </c>
      <c r="G29" t="s">
        <v>2331</v>
      </c>
      <c r="H29" s="2">
        <f>B128</f>
        <v>83.24</v>
      </c>
      <c r="I29" s="9">
        <f>(H29-H28)/H28</f>
        <v>-1.7817109144542834E-2</v>
      </c>
      <c r="J29" s="2">
        <f>MAX(J28,H29)</f>
        <v>103.9</v>
      </c>
      <c r="K29" s="9">
        <f>(H29-J29)/J29</f>
        <v>-0.19884504331087594</v>
      </c>
      <c r="M29" s="65" t="s">
        <v>2470</v>
      </c>
      <c r="N29" s="2">
        <f>B562</f>
        <v>61.71</v>
      </c>
      <c r="O29" s="9">
        <f>(N29-N28)/N28</f>
        <v>-1.610331632653058E-2</v>
      </c>
      <c r="P29" s="2">
        <f>MAX(P28,N29)</f>
        <v>97.4</v>
      </c>
      <c r="Q29" s="9">
        <f>(N29-P29)/P29</f>
        <v>-0.36642710472279266</v>
      </c>
      <c r="S29" t="s">
        <v>142</v>
      </c>
      <c r="T29" s="9">
        <f>AVERAGE(O4:O57)</f>
        <v>-5.4346471911545869E-3</v>
      </c>
      <c r="AB29" s="1">
        <f>A29</f>
        <v>44600</v>
      </c>
      <c r="AC29" s="2">
        <f>B29</f>
        <v>97.14</v>
      </c>
      <c r="AD29" s="2">
        <f>27</f>
        <v>27</v>
      </c>
      <c r="AE29" s="2">
        <f>INTERCEPT($AC$3:$AC$1136,$AD$3:$AD$1136)+SLOPE($AC$3:$AC$1136,$AD$3:$AD$1136)*AD29</f>
        <v>81.799345324956505</v>
      </c>
      <c r="AF29" s="2">
        <f t="shared" si="0"/>
        <v>84.4510049253592</v>
      </c>
      <c r="AG29" s="2">
        <f t="shared" si="1"/>
        <v>79.14768572455381</v>
      </c>
      <c r="AH29" s="22">
        <f>AC29-AE29</f>
        <v>15.340654675043496</v>
      </c>
      <c r="AL29" s="108" t="s">
        <v>2579</v>
      </c>
      <c r="AM29" s="108"/>
      <c r="AN29" s="109">
        <f>AP12</f>
        <v>4.8011232234372265</v>
      </c>
      <c r="AO29" s="108"/>
      <c r="AP29" s="108"/>
      <c r="AQ29" s="110" t="s">
        <v>2587</v>
      </c>
      <c r="BB29" s="62" t="s">
        <v>2666</v>
      </c>
      <c r="BC29" s="115"/>
      <c r="BD29" s="145">
        <f ca="1">BD27*BD28</f>
        <v>1.2600311303050338E-2</v>
      </c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</row>
    <row r="30" spans="1:66" ht="240" x14ac:dyDescent="0.25">
      <c r="A30" s="1">
        <f>DATEVALUE(Sheet1!A29)</f>
        <v>44601</v>
      </c>
      <c r="B30" s="2">
        <f>VALUE(Sheet1!B29)</f>
        <v>96.93</v>
      </c>
      <c r="C30" s="9">
        <f>(B30-B29)/B29</f>
        <v>-2.1618282890672612E-3</v>
      </c>
      <c r="D30" s="2">
        <f>MAX(D29,B30)</f>
        <v>98.33</v>
      </c>
      <c r="E30" s="9">
        <f>(B30-D30)/D30</f>
        <v>-1.4237770771890486E-2</v>
      </c>
      <c r="G30" t="s">
        <v>2332</v>
      </c>
      <c r="H30" s="2">
        <f>B133</f>
        <v>82.36</v>
      </c>
      <c r="I30" s="9">
        <f>(H30-H29)/H29</f>
        <v>-1.0571840461316621E-2</v>
      </c>
      <c r="J30" s="2">
        <f>MAX(J29,H30)</f>
        <v>103.9</v>
      </c>
      <c r="K30" s="9">
        <f>(H30-J30)/J30</f>
        <v>-0.20731472569778639</v>
      </c>
      <c r="M30" s="65" t="s">
        <v>2453</v>
      </c>
      <c r="N30" s="2">
        <f>B583</f>
        <v>57.93</v>
      </c>
      <c r="O30" s="9">
        <f>(N30-N29)/N29</f>
        <v>-6.1254253767622772E-2</v>
      </c>
      <c r="P30" s="2">
        <f>MAX(P29,N30)</f>
        <v>97.4</v>
      </c>
      <c r="Q30" s="9">
        <f>(N30-P30)/P30</f>
        <v>-0.40523613963039018</v>
      </c>
      <c r="S30" t="s">
        <v>143</v>
      </c>
      <c r="T30" s="9">
        <f>_xlfn.STDEV.P(O4:O57)</f>
        <v>6.269951084535462E-2</v>
      </c>
      <c r="AB30" s="1">
        <f>A30</f>
        <v>44601</v>
      </c>
      <c r="AC30" s="2">
        <f>B30</f>
        <v>96.93</v>
      </c>
      <c r="AD30" s="2">
        <f>28</f>
        <v>28</v>
      </c>
      <c r="AE30" s="2">
        <f>INTERCEPT($AC$3:$AC$1136,$AD$3:$AD$1136)+SLOPE($AC$3:$AC$1136,$AD$3:$AD$1136)*AD30</f>
        <v>81.780633361544048</v>
      </c>
      <c r="AF30" s="2">
        <f t="shared" si="0"/>
        <v>84.432292961946743</v>
      </c>
      <c r="AG30" s="2">
        <f t="shared" si="1"/>
        <v>79.128973761141353</v>
      </c>
      <c r="AH30" s="22">
        <f>AC30-AE30</f>
        <v>15.149366638455959</v>
      </c>
      <c r="AL30" s="7" t="s">
        <v>2580</v>
      </c>
      <c r="AQ30" s="106" t="s">
        <v>2588</v>
      </c>
      <c r="BB30" s="62" t="s">
        <v>2607</v>
      </c>
      <c r="BC30" s="115"/>
      <c r="BD30" s="116">
        <f ca="1">BK14</f>
        <v>0.93033509700176364</v>
      </c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</row>
    <row r="31" spans="1:66" x14ac:dyDescent="0.25">
      <c r="A31" s="1">
        <f>DATEVALUE(Sheet1!A30)</f>
        <v>44602</v>
      </c>
      <c r="B31" s="2">
        <f>VALUE(Sheet1!B30)</f>
        <v>97.08</v>
      </c>
      <c r="C31" s="9">
        <f>(B31-B30)/B30</f>
        <v>1.5475085112967241E-3</v>
      </c>
      <c r="D31" s="2">
        <f>MAX(D30,B31)</f>
        <v>98.33</v>
      </c>
      <c r="E31" s="9">
        <f>(B31-D31)/D31</f>
        <v>-1.2712295332045154E-2</v>
      </c>
      <c r="G31" t="s">
        <v>2333</v>
      </c>
      <c r="H31" s="2">
        <f>B138</f>
        <v>82.36</v>
      </c>
      <c r="I31" s="9">
        <f>(H31-H30)/H30</f>
        <v>0</v>
      </c>
      <c r="J31" s="2">
        <f>MAX(J30,H31)</f>
        <v>103.9</v>
      </c>
      <c r="K31" s="9">
        <f>(H31-J31)/J31</f>
        <v>-0.20731472569778639</v>
      </c>
      <c r="M31" s="65" t="s">
        <v>2454</v>
      </c>
      <c r="N31" s="2">
        <f>B604</f>
        <v>59.36</v>
      </c>
      <c r="O31" s="9">
        <f>(N31-N30)/N30</f>
        <v>2.4684964612463313E-2</v>
      </c>
      <c r="P31" s="2">
        <f>MAX(P30,N31)</f>
        <v>97.4</v>
      </c>
      <c r="Q31" s="9">
        <f>(N31-P31)/P31</f>
        <v>-0.39055441478439429</v>
      </c>
      <c r="S31" t="s">
        <v>144</v>
      </c>
      <c r="T31" s="9">
        <f>T29-T30</f>
        <v>-6.8134158036509213E-2</v>
      </c>
      <c r="AB31" s="1">
        <f>A31</f>
        <v>44602</v>
      </c>
      <c r="AC31" s="2">
        <f>B31</f>
        <v>97.08</v>
      </c>
      <c r="AD31" s="2">
        <f>29</f>
        <v>29</v>
      </c>
      <c r="AE31" s="2">
        <f>INTERCEPT($AC$3:$AC$1136,$AD$3:$AD$1136)+SLOPE($AC$3:$AC$1136,$AD$3:$AD$1136)*AD31</f>
        <v>81.761921398131605</v>
      </c>
      <c r="AF31" s="2">
        <f t="shared" si="0"/>
        <v>84.4135809985343</v>
      </c>
      <c r="AG31" s="2">
        <f t="shared" si="1"/>
        <v>79.11026179772891</v>
      </c>
      <c r="AH31" s="22">
        <f>AC31-AE31</f>
        <v>15.318078601868393</v>
      </c>
      <c r="BB31" s="62" t="s">
        <v>2641</v>
      </c>
      <c r="BC31" s="115"/>
      <c r="BD31" s="146" t="s">
        <v>2667</v>
      </c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</row>
    <row r="32" spans="1:66" x14ac:dyDescent="0.25">
      <c r="A32" s="1">
        <f>DATEVALUE(Sheet1!A31)</f>
        <v>44603</v>
      </c>
      <c r="B32" s="2">
        <f>VALUE(Sheet1!B31)</f>
        <v>97.05</v>
      </c>
      <c r="C32" s="9">
        <f>(B32-B31)/B31</f>
        <v>-3.0902348578493139E-4</v>
      </c>
      <c r="D32" s="2">
        <f>MAX(D31,B32)</f>
        <v>98.33</v>
      </c>
      <c r="E32" s="9">
        <f>(B32-D32)/D32</f>
        <v>-1.3017390420014249E-2</v>
      </c>
      <c r="G32" t="s">
        <v>2334</v>
      </c>
      <c r="H32" s="2">
        <f>B143</f>
        <v>80.2</v>
      </c>
      <c r="I32" s="9">
        <f>(H32-H31)/H31</f>
        <v>-2.6226323457989274E-2</v>
      </c>
      <c r="J32" s="2">
        <f>MAX(J31,H32)</f>
        <v>103.9</v>
      </c>
      <c r="K32" s="9">
        <f>(H32-J32)/J32</f>
        <v>-0.2281039461020212</v>
      </c>
      <c r="M32" s="65" t="s">
        <v>2471</v>
      </c>
      <c r="N32" s="2">
        <f>B625</f>
        <v>57.32</v>
      </c>
      <c r="O32" s="9">
        <f>(N32-N31)/N31</f>
        <v>-3.4366576819406996E-2</v>
      </c>
      <c r="P32" s="2">
        <f>MAX(P31,N32)</f>
        <v>97.4</v>
      </c>
      <c r="Q32" s="9">
        <f>(N32-P32)/P32</f>
        <v>-0.41149897330595486</v>
      </c>
      <c r="S32" t="s">
        <v>145</v>
      </c>
      <c r="T32" s="9">
        <f>T29+T30</f>
        <v>5.7264863654200034E-2</v>
      </c>
      <c r="AB32" s="1">
        <f>A32</f>
        <v>44603</v>
      </c>
      <c r="AC32" s="2">
        <f>B32</f>
        <v>97.05</v>
      </c>
      <c r="AD32" s="2">
        <f>30</f>
        <v>30</v>
      </c>
      <c r="AE32" s="2">
        <f>INTERCEPT($AC$3:$AC$1136,$AD$3:$AD$1136)+SLOPE($AC$3:$AC$1136,$AD$3:$AD$1136)*AD32</f>
        <v>81.743209434719162</v>
      </c>
      <c r="AF32" s="2">
        <f t="shared" si="0"/>
        <v>84.394869035121857</v>
      </c>
      <c r="AG32" s="2">
        <f t="shared" si="1"/>
        <v>79.091549834316467</v>
      </c>
      <c r="AH32" s="22">
        <f>AC32-AE32</f>
        <v>15.306790565280835</v>
      </c>
      <c r="AL32" s="81" t="s">
        <v>2589</v>
      </c>
      <c r="AM32" s="81"/>
      <c r="AN32" s="81"/>
      <c r="AO32" s="81"/>
      <c r="AP32" s="81"/>
      <c r="AQ32" s="81"/>
      <c r="AR32" s="81"/>
      <c r="AS32" s="81"/>
      <c r="AT32" s="81"/>
      <c r="AU32" s="81"/>
      <c r="AV32" s="81"/>
    </row>
    <row r="33" spans="1:60" x14ac:dyDescent="0.25">
      <c r="A33" s="1">
        <f>DATEVALUE(Sheet1!A32)</f>
        <v>44606</v>
      </c>
      <c r="B33" s="2">
        <f>VALUE(Sheet1!B32)</f>
        <v>95.98</v>
      </c>
      <c r="C33" s="9">
        <f>(B33-B32)/B32</f>
        <v>-1.1025244719216828E-2</v>
      </c>
      <c r="D33" s="2">
        <f>MAX(D32,B33)</f>
        <v>98.33</v>
      </c>
      <c r="E33" s="9">
        <f>(B33-D33)/D33</f>
        <v>-2.3899115224244833E-2</v>
      </c>
      <c r="G33" t="s">
        <v>2335</v>
      </c>
      <c r="H33" s="2">
        <f>B148</f>
        <v>82.64</v>
      </c>
      <c r="I33" s="9">
        <f>(H33-H32)/H32</f>
        <v>3.0423940149625905E-2</v>
      </c>
      <c r="J33" s="2">
        <f>MAX(J32,H33)</f>
        <v>103.9</v>
      </c>
      <c r="K33" s="9">
        <f>(H33-J33)/J33</f>
        <v>-0.20461982675649668</v>
      </c>
      <c r="M33" s="65" t="s">
        <v>2472</v>
      </c>
      <c r="N33" s="2">
        <f>B648</f>
        <v>59.44</v>
      </c>
      <c r="O33" s="9">
        <f>(N33-N32)/N32</f>
        <v>3.6985345429169529E-2</v>
      </c>
      <c r="P33" s="2">
        <f>MAX(P32,N33)</f>
        <v>97.4</v>
      </c>
      <c r="Q33" s="9">
        <f>(N33-P33)/P33</f>
        <v>-0.38973305954825466</v>
      </c>
      <c r="S33" t="s">
        <v>146</v>
      </c>
      <c r="T33" s="9">
        <f>T29-2*T30</f>
        <v>-0.13083366888186382</v>
      </c>
      <c r="AB33" s="1">
        <f>A33</f>
        <v>44606</v>
      </c>
      <c r="AC33" s="2">
        <f>B33</f>
        <v>95.98</v>
      </c>
      <c r="AD33" s="2">
        <f>31</f>
        <v>31</v>
      </c>
      <c r="AE33" s="2">
        <f>INTERCEPT($AC$3:$AC$1136,$AD$3:$AD$1136)+SLOPE($AC$3:$AC$1136,$AD$3:$AD$1136)*AD33</f>
        <v>81.724497471306719</v>
      </c>
      <c r="AF33" s="2">
        <f t="shared" si="0"/>
        <v>84.376157071709414</v>
      </c>
      <c r="AG33" s="2">
        <f t="shared" si="1"/>
        <v>79.072837870904024</v>
      </c>
      <c r="AH33" s="22">
        <f>AC33-AE33</f>
        <v>14.255502528693285</v>
      </c>
      <c r="AL33" s="14" t="s">
        <v>2590</v>
      </c>
      <c r="AM33" s="14" t="s">
        <v>2591</v>
      </c>
      <c r="AN33" s="14" t="s">
        <v>2592</v>
      </c>
      <c r="AO33" s="14" t="s">
        <v>2593</v>
      </c>
      <c r="AP33" s="14" t="s">
        <v>2594</v>
      </c>
      <c r="AQ33" s="14" t="s">
        <v>2595</v>
      </c>
      <c r="AR33" s="14" t="s">
        <v>2596</v>
      </c>
      <c r="AS33" s="14" t="s">
        <v>2597</v>
      </c>
      <c r="AT33" s="14" t="s">
        <v>2598</v>
      </c>
      <c r="AU33" s="14" t="s">
        <v>2599</v>
      </c>
      <c r="AV33" s="14" t="s">
        <v>2600</v>
      </c>
      <c r="BB33" s="81" t="s">
        <v>2668</v>
      </c>
      <c r="BC33" s="81"/>
      <c r="BD33" s="81"/>
      <c r="BE33" s="81"/>
      <c r="BF33" s="81"/>
      <c r="BG33" s="81"/>
      <c r="BH33" s="81"/>
    </row>
    <row r="34" spans="1:60" x14ac:dyDescent="0.25">
      <c r="A34" s="1">
        <f>DATEVALUE(Sheet1!A33)</f>
        <v>44607</v>
      </c>
      <c r="B34" s="2">
        <f>VALUE(Sheet1!B33)</f>
        <v>96.55</v>
      </c>
      <c r="C34" s="9">
        <f>(B34-B33)/B33</f>
        <v>5.9387372369242878E-3</v>
      </c>
      <c r="D34" s="2">
        <f>MAX(D33,B34)</f>
        <v>98.33</v>
      </c>
      <c r="E34" s="9">
        <f>(B34-D34)/D34</f>
        <v>-1.8102308552832312E-2</v>
      </c>
      <c r="G34" t="s">
        <v>2336</v>
      </c>
      <c r="H34" s="2">
        <f>B153</f>
        <v>82.05</v>
      </c>
      <c r="I34" s="9">
        <f>(H34-H33)/H33</f>
        <v>-7.1393998063891987E-3</v>
      </c>
      <c r="J34" s="2">
        <f>MAX(J33,H34)</f>
        <v>103.9</v>
      </c>
      <c r="K34" s="9">
        <f>(H34-J34)/J34</f>
        <v>-0.21029836381135714</v>
      </c>
      <c r="M34" s="65" t="s">
        <v>2455</v>
      </c>
      <c r="N34" s="2">
        <f>B669</f>
        <v>60.59</v>
      </c>
      <c r="O34" s="9">
        <f>(N34-N33)/N33</f>
        <v>1.9347240915208709E-2</v>
      </c>
      <c r="P34" s="2">
        <f>MAX(P33,N34)</f>
        <v>97.4</v>
      </c>
      <c r="Q34" s="9">
        <f>(N34-P34)/P34</f>
        <v>-0.37792607802874745</v>
      </c>
      <c r="S34" t="s">
        <v>147</v>
      </c>
      <c r="T34" s="9">
        <f>T29+2*T30</f>
        <v>0.11996437449955465</v>
      </c>
      <c r="AB34" s="1">
        <f>A34</f>
        <v>44607</v>
      </c>
      <c r="AC34" s="2">
        <f>B34</f>
        <v>96.55</v>
      </c>
      <c r="AD34" s="2">
        <f>32</f>
        <v>32</v>
      </c>
      <c r="AE34" s="2">
        <f>INTERCEPT($AC$3:$AC$1136,$AD$3:$AD$1136)+SLOPE($AC$3:$AC$1136,$AD$3:$AD$1136)*AD34</f>
        <v>81.705785507894262</v>
      </c>
      <c r="AF34" s="2">
        <f t="shared" si="0"/>
        <v>84.357445108296957</v>
      </c>
      <c r="AG34" s="2">
        <f t="shared" si="1"/>
        <v>79.054125907491567</v>
      </c>
      <c r="AH34" s="22">
        <f>AC34-AE34</f>
        <v>14.844214492105735</v>
      </c>
      <c r="AL34">
        <v>1</v>
      </c>
      <c r="AM34" s="89">
        <f>$AN$21*1</f>
        <v>4.8011232234372265</v>
      </c>
      <c r="AN34" s="111" cm="1">
        <f t="array" ref="AN34">SUMPRODUCT((ABS($AH$3:$AH$252)&lt;=$AM34)*1)/250</f>
        <v>0.24</v>
      </c>
      <c r="AO34" s="111" cm="1">
        <f t="array" ref="AO34">SUMPRODUCT((ABS($AH$253:$AH$500)&lt;=$AM34)*1)/248</f>
        <v>4.8387096774193547E-2</v>
      </c>
      <c r="AP34" s="111" cm="1">
        <f t="array" ref="AP34">SUMPRODUCT((ABS($AH$501:$AH$751)&lt;=$AM34)*1)/251</f>
        <v>0.22709163346613545</v>
      </c>
      <c r="AQ34" s="111" cm="1">
        <f t="array" ref="AQ34">SUMPRODUCT((ABS($AH$752:$AH$1001)&lt;=$AM34)*1)/250</f>
        <v>0.54800000000000004</v>
      </c>
      <c r="AR34" s="111" cm="1">
        <f t="array" ref="AR34">SUMPRODUCT((ABS($AH$1002:$AH$1136)&lt;=$AM34)*1)/135</f>
        <v>0.6</v>
      </c>
      <c r="AS34" s="111" cm="1">
        <f t="array" ref="AS34">SUMPRODUCT((ABS($AH$3:$AH$1136)&lt;=$AM34)*1)/1134</f>
        <v>0.30599647266313934</v>
      </c>
      <c r="AT34" s="111">
        <f>AVERAGE(AN34:AR34)</f>
        <v>0.33269574604806584</v>
      </c>
      <c r="AU34" s="111">
        <v>0.68269999999999997</v>
      </c>
      <c r="AV34" s="111">
        <f>AT34-AU34</f>
        <v>-0.35000425395193413</v>
      </c>
      <c r="BB34" s="14" t="s">
        <v>141</v>
      </c>
      <c r="BC34" s="14" t="s">
        <v>2669</v>
      </c>
      <c r="BD34" s="14" t="s">
        <v>2670</v>
      </c>
      <c r="BE34" s="14" t="s">
        <v>2671</v>
      </c>
      <c r="BF34" s="14" t="s">
        <v>2672</v>
      </c>
      <c r="BG34" s="14" t="s">
        <v>2673</v>
      </c>
      <c r="BH34" s="14"/>
    </row>
    <row r="35" spans="1:60" x14ac:dyDescent="0.25">
      <c r="A35" s="1">
        <f>DATEVALUE(Sheet1!A34)</f>
        <v>44608</v>
      </c>
      <c r="B35" s="2">
        <f>VALUE(Sheet1!B34)</f>
        <v>96.53</v>
      </c>
      <c r="C35" s="9">
        <f>(B35-B34)/B34</f>
        <v>-2.0714655618846216E-4</v>
      </c>
      <c r="D35" s="2">
        <f>MAX(D34,B35)</f>
        <v>98.33</v>
      </c>
      <c r="E35" s="9">
        <f>(B35-D35)/D35</f>
        <v>-1.8305705278144992E-2</v>
      </c>
      <c r="G35" t="s">
        <v>2337</v>
      </c>
      <c r="H35" s="2">
        <f>B158</f>
        <v>81.41</v>
      </c>
      <c r="I35" s="9">
        <f>(H35-H34)/H34</f>
        <v>-7.800121876904334E-3</v>
      </c>
      <c r="J35" s="2">
        <f>MAX(J34,H35)</f>
        <v>103.9</v>
      </c>
      <c r="K35" s="9">
        <f>(H35-J35)/J35</f>
        <v>-0.21645813282001933</v>
      </c>
      <c r="M35" s="65" t="s">
        <v>2456</v>
      </c>
      <c r="N35" s="2">
        <f>B691</f>
        <v>65.040000000000006</v>
      </c>
      <c r="O35" s="9">
        <f>(N35-N34)/N34</f>
        <v>7.3444462782637443E-2</v>
      </c>
      <c r="P35" s="2">
        <f>MAX(P34,N35)</f>
        <v>97.4</v>
      </c>
      <c r="Q35" s="9">
        <f>(N35-P35)/P35</f>
        <v>-0.33223819301848045</v>
      </c>
      <c r="S35" t="s">
        <v>148</v>
      </c>
      <c r="T35" s="9">
        <f>T29-3*T30</f>
        <v>-0.19353317972721842</v>
      </c>
      <c r="AB35" s="1">
        <f>A35</f>
        <v>44608</v>
      </c>
      <c r="AC35" s="2">
        <f>B35</f>
        <v>96.53</v>
      </c>
      <c r="AD35" s="2">
        <f>33</f>
        <v>33</v>
      </c>
      <c r="AE35" s="2">
        <f>INTERCEPT($AC$3:$AC$1136,$AD$3:$AD$1136)+SLOPE($AC$3:$AC$1136,$AD$3:$AD$1136)*AD35</f>
        <v>81.687073544481819</v>
      </c>
      <c r="AF35" s="2">
        <f t="shared" si="0"/>
        <v>84.338733144884515</v>
      </c>
      <c r="AG35" s="2">
        <f t="shared" si="1"/>
        <v>79.035413944079124</v>
      </c>
      <c r="AH35" s="22">
        <f>AC35-AE35</f>
        <v>14.842926455518182</v>
      </c>
      <c r="AL35">
        <v>1.5</v>
      </c>
      <c r="AM35" s="89">
        <f>$AN$21*1.5</f>
        <v>7.2016848351558398</v>
      </c>
      <c r="AN35" s="111" cm="1">
        <f t="array" ref="AN35">SUMPRODUCT((ABS($AH$3:$AH$252)&lt;=$AM35)*1)/250</f>
        <v>0.56399999999999995</v>
      </c>
      <c r="AO35" s="111" cm="1">
        <f t="array" ref="AO35">SUMPRODUCT((ABS($AH$253:$AH$500)&lt;=$AM35)*1)/248</f>
        <v>0.12903225806451613</v>
      </c>
      <c r="AP35" s="111" cm="1">
        <f t="array" ref="AP35">SUMPRODUCT((ABS($AH$501:$AH$751)&lt;=$AM35)*1)/251</f>
        <v>0.32669322709163345</v>
      </c>
      <c r="AQ35" s="111" cm="1">
        <f t="array" ref="AQ35">SUMPRODUCT((ABS($AH$752:$AH$1001)&lt;=$AM35)*1)/250</f>
        <v>0.73599999999999999</v>
      </c>
      <c r="AR35" s="111" cm="1">
        <f t="array" ref="AR35">SUMPRODUCT((ABS($AH$1002:$AH$1136)&lt;=$AM35)*1)/135</f>
        <v>0.81481481481481477</v>
      </c>
      <c r="AS35" s="111" cm="1">
        <f t="array" ref="AS35">SUMPRODUCT((ABS($AH$3:$AH$1136)&lt;=$AM35)*1)/1134</f>
        <v>0.48412698412698413</v>
      </c>
      <c r="AT35" s="111">
        <f>AVERAGE(AN35:AR35)</f>
        <v>0.51410805999419285</v>
      </c>
      <c r="AU35" s="111">
        <v>0.86639999999999995</v>
      </c>
      <c r="AV35" s="111">
        <f>AT35-AU35</f>
        <v>-0.3522919400058071</v>
      </c>
      <c r="BB35" t="s">
        <v>2674</v>
      </c>
      <c r="BC35" s="9">
        <f ca="1">BC14</f>
        <v>6.3001556515251689E-3</v>
      </c>
      <c r="BD35" s="89">
        <f>Análise_À_Vista!AP12</f>
        <v>4.8011232234372265</v>
      </c>
      <c r="BE35" t="s">
        <v>2675</v>
      </c>
      <c r="BF35" t="s">
        <v>2676</v>
      </c>
      <c r="BG35" t="s">
        <v>2677</v>
      </c>
    </row>
    <row r="36" spans="1:60" x14ac:dyDescent="0.25">
      <c r="A36" s="1">
        <f>DATEVALUE(Sheet1!A35)</f>
        <v>44609</v>
      </c>
      <c r="B36" s="2">
        <f>VALUE(Sheet1!B35)</f>
        <v>96.51</v>
      </c>
      <c r="C36" s="9">
        <f>(B36-B35)/B35</f>
        <v>-2.0718947477464021E-4</v>
      </c>
      <c r="D36" s="2">
        <f>MAX(D35,B36)</f>
        <v>98.33</v>
      </c>
      <c r="E36" s="9">
        <f>(B36-D36)/D36</f>
        <v>-1.8509102003457675E-2</v>
      </c>
      <c r="G36" t="s">
        <v>2338</v>
      </c>
      <c r="H36" s="2">
        <f>B163</f>
        <v>81.900000000000006</v>
      </c>
      <c r="I36" s="9">
        <f>(H36-H35)/H35</f>
        <v>6.0189165950130094E-3</v>
      </c>
      <c r="J36" s="2">
        <f>MAX(J35,H36)</f>
        <v>103.9</v>
      </c>
      <c r="K36" s="9">
        <f>(H36-J36)/J36</f>
        <v>-0.21174205967276227</v>
      </c>
      <c r="M36" s="65" t="s">
        <v>2457</v>
      </c>
      <c r="N36" s="2">
        <f>B714</f>
        <v>73.11</v>
      </c>
      <c r="O36" s="9">
        <f>(N36-N35)/N35</f>
        <v>0.12407749077490764</v>
      </c>
      <c r="P36" s="2">
        <f>MAX(P35,N36)</f>
        <v>97.4</v>
      </c>
      <c r="Q36" s="9">
        <f>(N36-P36)/P36</f>
        <v>-0.24938398357289532</v>
      </c>
      <c r="S36" t="s">
        <v>149</v>
      </c>
      <c r="T36" s="9">
        <f>T29+3*T30</f>
        <v>0.18266388534490927</v>
      </c>
      <c r="AB36" s="1">
        <f>A36</f>
        <v>44609</v>
      </c>
      <c r="AC36" s="2">
        <f>B36</f>
        <v>96.51</v>
      </c>
      <c r="AD36" s="2">
        <f>34</f>
        <v>34</v>
      </c>
      <c r="AE36" s="2">
        <f>INTERCEPT($AC$3:$AC$1136,$AD$3:$AD$1136)+SLOPE($AC$3:$AC$1136,$AD$3:$AD$1136)*AD36</f>
        <v>81.668361581069377</v>
      </c>
      <c r="AF36" s="2">
        <f t="shared" si="0"/>
        <v>84.320021181472072</v>
      </c>
      <c r="AG36" s="2">
        <f t="shared" si="1"/>
        <v>79.016701980666681</v>
      </c>
      <c r="AH36" s="22">
        <f>AC36-AE36</f>
        <v>14.841638418930629</v>
      </c>
      <c r="AL36">
        <v>2</v>
      </c>
      <c r="AM36" s="89">
        <f>$AN$21*2</f>
        <v>9.6022464468744531</v>
      </c>
      <c r="AN36" s="111" cm="1">
        <f t="array" ref="AN36">SUMPRODUCT((ABS($AH$3:$AH$252)&lt;=$AM36)*1)/250</f>
        <v>0.74399999999999999</v>
      </c>
      <c r="AO36" s="111" cm="1">
        <f t="array" ref="AO36">SUMPRODUCT((ABS($AH$253:$AH$500)&lt;=$AM36)*1)/248</f>
        <v>0.37096774193548387</v>
      </c>
      <c r="AP36" s="111" cm="1">
        <f t="array" ref="AP36">SUMPRODUCT((ABS($AH$501:$AH$751)&lt;=$AM36)*1)/251</f>
        <v>0.48605577689243029</v>
      </c>
      <c r="AQ36" s="111" cm="1">
        <f t="array" ref="AQ36">SUMPRODUCT((ABS($AH$752:$AH$1001)&lt;=$AM36)*1)/250</f>
        <v>0.77200000000000002</v>
      </c>
      <c r="AR36" s="111" cm="1">
        <f t="array" ref="AR36">SUMPRODUCT((ABS($AH$1002:$AH$1136)&lt;=$AM36)*1)/135</f>
        <v>1</v>
      </c>
      <c r="AS36" s="111" cm="1">
        <f t="array" ref="AS36">SUMPRODUCT((ABS($AH$3:$AH$1136)&lt;=$AM36)*1)/1134</f>
        <v>0.64197530864197527</v>
      </c>
      <c r="AT36" s="111">
        <f>AVERAGE(AN36:AR36)</f>
        <v>0.67460470376558279</v>
      </c>
      <c r="AU36" s="111">
        <v>0.95450000000000002</v>
      </c>
      <c r="AV36" s="111">
        <f>AT36-AU36</f>
        <v>-0.27989529623441722</v>
      </c>
      <c r="BB36" t="s">
        <v>2678</v>
      </c>
      <c r="BC36" s="9">
        <f>BC18</f>
        <v>6.6642380484254549E-3</v>
      </c>
      <c r="BD36" s="89">
        <f>Análise_À_Vista!AS12</f>
        <v>10.629803865830469</v>
      </c>
      <c r="BE36" t="s">
        <v>2679</v>
      </c>
      <c r="BF36" t="s">
        <v>2680</v>
      </c>
      <c r="BG36" t="s">
        <v>2681</v>
      </c>
    </row>
    <row r="37" spans="1:60" x14ac:dyDescent="0.25">
      <c r="A37" s="1">
        <f>DATEVALUE(Sheet1!A36)</f>
        <v>44610</v>
      </c>
      <c r="B37" s="2">
        <f>VALUE(Sheet1!B36)</f>
        <v>96.49</v>
      </c>
      <c r="C37" s="9">
        <f>(B37-B36)/B36</f>
        <v>-2.0723241114920971E-4</v>
      </c>
      <c r="D37" s="2">
        <f>MAX(D36,B37)</f>
        <v>98.33</v>
      </c>
      <c r="E37" s="9">
        <f>(B37-D37)/D37</f>
        <v>-1.8712498728770503E-2</v>
      </c>
      <c r="G37" t="s">
        <v>2339</v>
      </c>
      <c r="H37" s="2">
        <f>B168</f>
        <v>83.8</v>
      </c>
      <c r="I37" s="9">
        <f>(H37-H36)/H36</f>
        <v>2.3199023199023092E-2</v>
      </c>
      <c r="J37" s="2">
        <f>MAX(J36,H37)</f>
        <v>103.9</v>
      </c>
      <c r="K37" s="9">
        <f>(H37-J37)/J37</f>
        <v>-0.19345524542829651</v>
      </c>
      <c r="M37" s="65" t="s">
        <v>2473</v>
      </c>
      <c r="N37" s="2">
        <f>B732</f>
        <v>72.77</v>
      </c>
      <c r="O37" s="9">
        <f>(N37-N36)/N36</f>
        <v>-4.6505266037478237E-3</v>
      </c>
      <c r="P37" s="2">
        <f>MAX(P36,N37)</f>
        <v>97.4</v>
      </c>
      <c r="Q37" s="9">
        <f>(N37-P37)/P37</f>
        <v>-0.25287474332648879</v>
      </c>
      <c r="S37" t="s">
        <v>150</v>
      </c>
      <c r="T37" s="9">
        <f>MIN(Q3:Q57)</f>
        <v>-0.44815195071868585</v>
      </c>
      <c r="AB37" s="1">
        <f>A37</f>
        <v>44610</v>
      </c>
      <c r="AC37" s="2">
        <f>B37</f>
        <v>96.49</v>
      </c>
      <c r="AD37" s="2">
        <f>35</f>
        <v>35</v>
      </c>
      <c r="AE37" s="2">
        <f>INTERCEPT($AC$3:$AC$1136,$AD$3:$AD$1136)+SLOPE($AC$3:$AC$1136,$AD$3:$AD$1136)*AD37</f>
        <v>81.649649617656934</v>
      </c>
      <c r="AF37" s="2">
        <f t="shared" si="0"/>
        <v>84.301309218059629</v>
      </c>
      <c r="AG37" s="2">
        <f t="shared" si="1"/>
        <v>78.997990017254239</v>
      </c>
      <c r="AH37" s="22">
        <f>AC37-AE37</f>
        <v>14.840350382343061</v>
      </c>
      <c r="AL37">
        <v>2.5</v>
      </c>
      <c r="AM37" s="89">
        <f>$AN$21*2.5</f>
        <v>12.002808058593066</v>
      </c>
      <c r="AN37" s="111" cm="1">
        <f t="array" ref="AN37">SUMPRODUCT((ABS($AH$3:$AH$252)&lt;=$AM37)*1)/250</f>
        <v>0.78400000000000003</v>
      </c>
      <c r="AO37" s="111" cm="1">
        <f t="array" ref="AO37">SUMPRODUCT((ABS($AH$253:$AH$500)&lt;=$AM37)*1)/248</f>
        <v>0.42741935483870969</v>
      </c>
      <c r="AP37" s="111" cm="1">
        <f t="array" ref="AP37">SUMPRODUCT((ABS($AH$501:$AH$751)&lt;=$AM37)*1)/251</f>
        <v>0.76095617529880477</v>
      </c>
      <c r="AQ37" s="111" cm="1">
        <f t="array" ref="AQ37">SUMPRODUCT((ABS($AH$752:$AH$1001)&lt;=$AM37)*1)/250</f>
        <v>0.8</v>
      </c>
      <c r="AR37" s="111" cm="1">
        <f t="array" ref="AR37">SUMPRODUCT((ABS($AH$1002:$AH$1136)&lt;=$AM37)*1)/135</f>
        <v>1</v>
      </c>
      <c r="AS37" s="111" cm="1">
        <f t="array" ref="AS37">SUMPRODUCT((ABS($AH$3:$AH$1136)&lt;=$AM37)*1)/1134</f>
        <v>0.73015873015873012</v>
      </c>
      <c r="AT37" s="111">
        <f>AVERAGE(AN37:AR37)</f>
        <v>0.7544751060275029</v>
      </c>
      <c r="AU37" s="111">
        <v>0.98760000000000003</v>
      </c>
      <c r="AV37" s="111">
        <f>AT37-AU37</f>
        <v>-0.23312489397249714</v>
      </c>
      <c r="BB37" t="s">
        <v>2682</v>
      </c>
      <c r="BC37" s="9">
        <f ca="1">BC17</f>
        <v>0.26309252252310006</v>
      </c>
      <c r="BE37" t="s">
        <v>2675</v>
      </c>
      <c r="BF37" t="s">
        <v>2683</v>
      </c>
      <c r="BG37" t="s">
        <v>2684</v>
      </c>
    </row>
    <row r="38" spans="1:60" x14ac:dyDescent="0.25">
      <c r="A38" s="1">
        <f>DATEVALUE(Sheet1!A37)</f>
        <v>44613</v>
      </c>
      <c r="B38" s="2">
        <f>VALUE(Sheet1!B37)</f>
        <v>96.52</v>
      </c>
      <c r="C38" s="9">
        <f>(B38-B37)/B37</f>
        <v>3.1091304798425888E-4</v>
      </c>
      <c r="D38" s="2">
        <f>MAX(D37,B38)</f>
        <v>98.33</v>
      </c>
      <c r="E38" s="9">
        <f>(B38-D38)/D38</f>
        <v>-1.8407403640801408E-2</v>
      </c>
      <c r="G38" t="s">
        <v>2340</v>
      </c>
      <c r="H38" s="2">
        <f>B173</f>
        <v>83.26</v>
      </c>
      <c r="I38" s="9">
        <f>(H38-H37)/H37</f>
        <v>-6.4439140811454899E-3</v>
      </c>
      <c r="J38" s="2">
        <f>MAX(J37,H38)</f>
        <v>103.9</v>
      </c>
      <c r="K38" s="9">
        <f>(H38-J38)/J38</f>
        <v>-0.19865255052935515</v>
      </c>
      <c r="M38" s="65" t="s">
        <v>2458</v>
      </c>
      <c r="N38" s="2">
        <f>B751</f>
        <v>72.69</v>
      </c>
      <c r="O38" s="9">
        <f>(N38-N37)/N37</f>
        <v>-1.0993541294489254E-3</v>
      </c>
      <c r="P38" s="2">
        <f>MAX(P37,N38)</f>
        <v>97.4</v>
      </c>
      <c r="Q38" s="9">
        <f>(N38-P38)/P38</f>
        <v>-0.25369609856262842</v>
      </c>
      <c r="S38" t="s">
        <v>151</v>
      </c>
      <c r="T38" s="9">
        <f>AVERAGEIF(Q3:Q57,"&lt;0")</f>
        <v>-0.27134763099855508</v>
      </c>
      <c r="AB38" s="1">
        <f>A38</f>
        <v>44613</v>
      </c>
      <c r="AC38" s="2">
        <f>B38</f>
        <v>96.52</v>
      </c>
      <c r="AD38" s="2">
        <f>36</f>
        <v>36</v>
      </c>
      <c r="AE38" s="2">
        <f>INTERCEPT($AC$3:$AC$1136,$AD$3:$AD$1136)+SLOPE($AC$3:$AC$1136,$AD$3:$AD$1136)*AD38</f>
        <v>81.630937654244477</v>
      </c>
      <c r="AF38" s="2">
        <f t="shared" si="0"/>
        <v>84.282597254647172</v>
      </c>
      <c r="AG38" s="2">
        <f t="shared" si="1"/>
        <v>78.979278053841782</v>
      </c>
      <c r="AH38" s="22">
        <f>AC38-AE38</f>
        <v>14.889062345755519</v>
      </c>
      <c r="AL38">
        <v>3</v>
      </c>
      <c r="AM38" s="89">
        <f>$AN$21*3</f>
        <v>14.40336967031168</v>
      </c>
      <c r="AN38" s="111" cm="1">
        <f t="array" ref="AN38">SUMPRODUCT((ABS($AH$3:$AH$252)&lt;=$AM38)*1)/250</f>
        <v>0.80400000000000005</v>
      </c>
      <c r="AO38" s="111" cm="1">
        <f t="array" ref="AO38">SUMPRODUCT((ABS($AH$253:$AH$500)&lt;=$AM38)*1)/248</f>
        <v>0.52822580645161288</v>
      </c>
      <c r="AP38" s="111" cm="1">
        <f t="array" ref="AP38">SUMPRODUCT((ABS($AH$501:$AH$751)&lt;=$AM38)*1)/251</f>
        <v>0.98406374501992033</v>
      </c>
      <c r="AQ38" s="111" cm="1">
        <f t="array" ref="AQ38">SUMPRODUCT((ABS($AH$752:$AH$1001)&lt;=$AM38)*1)/250</f>
        <v>0.83199999999999996</v>
      </c>
      <c r="AR38" s="111" cm="1">
        <f t="array" ref="AR38">SUMPRODUCT((ABS($AH$1002:$AH$1136)&lt;=$AM38)*1)/135</f>
        <v>1</v>
      </c>
      <c r="AS38" s="111" cm="1">
        <f t="array" ref="AS38">SUMPRODUCT((ABS($AH$3:$AH$1136)&lt;=$AM38)*1)/1134</f>
        <v>0.81305114638447973</v>
      </c>
      <c r="AT38" s="111">
        <f>AVERAGE(AN38:AR38)</f>
        <v>0.82965791029430669</v>
      </c>
      <c r="AU38" s="111">
        <v>0.99729999999999996</v>
      </c>
      <c r="AV38" s="111">
        <f>AT38-AU38</f>
        <v>-0.16764208970569328</v>
      </c>
      <c r="BB38" t="s">
        <v>2685</v>
      </c>
      <c r="BC38" s="111">
        <f ca="1">BK14</f>
        <v>0.93033509700176364</v>
      </c>
      <c r="BD38" s="111">
        <f>Análise_À_Vista!AT36</f>
        <v>0.67460470376558279</v>
      </c>
      <c r="BE38" t="s">
        <v>2675</v>
      </c>
      <c r="BF38" t="s">
        <v>2686</v>
      </c>
      <c r="BG38" t="s">
        <v>2687</v>
      </c>
    </row>
    <row r="39" spans="1:60" x14ac:dyDescent="0.25">
      <c r="A39" s="1">
        <f>DATEVALUE(Sheet1!A38)</f>
        <v>44614</v>
      </c>
      <c r="B39" s="2">
        <f>VALUE(Sheet1!B38)</f>
        <v>96.8</v>
      </c>
      <c r="C39" s="9">
        <f>(B39-B38)/B38</f>
        <v>2.9009531703274053E-3</v>
      </c>
      <c r="D39" s="2">
        <f>MAX(D38,B39)</f>
        <v>98.33</v>
      </c>
      <c r="E39" s="9">
        <f>(B39-D39)/D39</f>
        <v>-1.5559849486423281E-2</v>
      </c>
      <c r="G39" t="s">
        <v>2341</v>
      </c>
      <c r="H39" s="2">
        <f>B177</f>
        <v>83.95</v>
      </c>
      <c r="I39" s="9">
        <f>(H39-H38)/H38</f>
        <v>8.2872928176795299E-3</v>
      </c>
      <c r="J39" s="2">
        <f>MAX(J38,H39)</f>
        <v>103.9</v>
      </c>
      <c r="K39" s="9">
        <f>(H39-J39)/J39</f>
        <v>-0.19201154956689126</v>
      </c>
      <c r="M39" s="65" t="s">
        <v>2474</v>
      </c>
      <c r="N39" s="2">
        <f>B773</f>
        <v>74.989999999999995</v>
      </c>
      <c r="O39" s="9">
        <f>(N39-N38)/N38</f>
        <v>3.1641216123263136E-2</v>
      </c>
      <c r="P39" s="2">
        <f>MAX(P38,N39)</f>
        <v>97.4</v>
      </c>
      <c r="Q39" s="9">
        <f>(N39-P39)/P39</f>
        <v>-0.23008213552361406</v>
      </c>
      <c r="AB39" s="1">
        <f>A39</f>
        <v>44614</v>
      </c>
      <c r="AC39" s="2">
        <f>B39</f>
        <v>96.8</v>
      </c>
      <c r="AD39" s="2">
        <f>37</f>
        <v>37</v>
      </c>
      <c r="AE39" s="2">
        <f>INTERCEPT($AC$3:$AC$1136,$AD$3:$AD$1136)+SLOPE($AC$3:$AC$1136,$AD$3:$AD$1136)*AD39</f>
        <v>81.612225690832034</v>
      </c>
      <c r="AF39" s="2">
        <f t="shared" si="0"/>
        <v>84.263885291234729</v>
      </c>
      <c r="AG39" s="2">
        <f t="shared" si="1"/>
        <v>78.960566090429339</v>
      </c>
      <c r="AH39" s="22">
        <f>AC39-AE39</f>
        <v>15.187774309167963</v>
      </c>
      <c r="BB39" t="s">
        <v>2688</v>
      </c>
      <c r="BC39" s="111">
        <f ca="1">BM14</f>
        <v>-2.4164902998236371E-2</v>
      </c>
      <c r="BD39" s="111">
        <f>Análise_À_Vista!AV36</f>
        <v>-0.27989529623441722</v>
      </c>
      <c r="BE39" t="s">
        <v>2689</v>
      </c>
      <c r="BF39" t="s">
        <v>2690</v>
      </c>
      <c r="BG39" t="s">
        <v>2691</v>
      </c>
    </row>
    <row r="40" spans="1:60" ht="15.75" x14ac:dyDescent="0.25">
      <c r="A40" s="1">
        <f>DATEVALUE(Sheet1!A39)</f>
        <v>44615</v>
      </c>
      <c r="B40" s="2">
        <f>VALUE(Sheet1!B39)</f>
        <v>96.85</v>
      </c>
      <c r="C40" s="9">
        <f>(B40-B39)/B39</f>
        <v>5.1652892561980534E-4</v>
      </c>
      <c r="D40" s="2">
        <f>MAX(D39,B40)</f>
        <v>98.33</v>
      </c>
      <c r="E40" s="9">
        <f>(B40-D40)/D40</f>
        <v>-1.5051357673141504E-2</v>
      </c>
      <c r="G40" t="s">
        <v>2342</v>
      </c>
      <c r="H40" s="2">
        <f>B182</f>
        <v>84.02</v>
      </c>
      <c r="I40" s="9">
        <f>(H40-H39)/H39</f>
        <v>8.3382966051212841E-4</v>
      </c>
      <c r="J40" s="2">
        <f>MAX(J39,H40)</f>
        <v>103.9</v>
      </c>
      <c r="K40" s="9">
        <f>(H40-J40)/J40</f>
        <v>-0.19133782483156889</v>
      </c>
      <c r="M40" s="65" t="s">
        <v>2475</v>
      </c>
      <c r="N40" s="2">
        <f>B793</f>
        <v>87.49</v>
      </c>
      <c r="O40" s="9">
        <f>(N40-N39)/N39</f>
        <v>0.16668889185224697</v>
      </c>
      <c r="P40" s="2">
        <f>MAX(P39,N40)</f>
        <v>97.4</v>
      </c>
      <c r="Q40" s="9">
        <f>(N40-P40)/P40</f>
        <v>-0.10174537987679681</v>
      </c>
      <c r="AB40" s="1">
        <f>A40</f>
        <v>44615</v>
      </c>
      <c r="AC40" s="2">
        <f>B40</f>
        <v>96.85</v>
      </c>
      <c r="AD40" s="2">
        <f>38</f>
        <v>38</v>
      </c>
      <c r="AE40" s="2">
        <f>INTERCEPT($AC$3:$AC$1136,$AD$3:$AD$1136)+SLOPE($AC$3:$AC$1136,$AD$3:$AD$1136)*AD40</f>
        <v>81.593513727419591</v>
      </c>
      <c r="AF40" s="2">
        <f t="shared" si="0"/>
        <v>84.245173327822286</v>
      </c>
      <c r="AG40" s="2">
        <f t="shared" si="1"/>
        <v>78.941854127016896</v>
      </c>
      <c r="AH40" s="22">
        <f>AC40-AE40</f>
        <v>15.256486272580403</v>
      </c>
      <c r="AL40" s="112" t="s">
        <v>2601</v>
      </c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</row>
    <row r="41" spans="1:60" x14ac:dyDescent="0.25">
      <c r="A41" s="1">
        <f>DATEVALUE(Sheet1!A40)</f>
        <v>44616</v>
      </c>
      <c r="B41" s="2">
        <f>VALUE(Sheet1!B40)</f>
        <v>96.89</v>
      </c>
      <c r="C41" s="9">
        <f>(B41-B40)/B40</f>
        <v>4.1300980898302791E-4</v>
      </c>
      <c r="D41" s="2">
        <f>MAX(D40,B41)</f>
        <v>98.33</v>
      </c>
      <c r="E41" s="9">
        <f>(B41-D41)/D41</f>
        <v>-1.4644564222515994E-2</v>
      </c>
      <c r="G41" t="s">
        <v>2343</v>
      </c>
      <c r="H41" s="2">
        <f>B187</f>
        <v>84.58</v>
      </c>
      <c r="I41" s="9">
        <f>(H41-H40)/H40</f>
        <v>6.6650797429183804E-3</v>
      </c>
      <c r="J41" s="2">
        <f>MAX(J40,H41)</f>
        <v>103.9</v>
      </c>
      <c r="K41" s="9">
        <f>(H41-J41)/J41</f>
        <v>-0.18594802694898949</v>
      </c>
      <c r="M41" s="65" t="s">
        <v>2476</v>
      </c>
      <c r="N41" s="2">
        <f>B813</f>
        <v>86.62</v>
      </c>
      <c r="O41" s="9">
        <f>(N41-N40)/N40</f>
        <v>-9.9439935992683779E-3</v>
      </c>
      <c r="P41" s="2">
        <f>MAX(P40,N41)</f>
        <v>97.4</v>
      </c>
      <c r="Q41" s="9">
        <f>(N41-P41)/P41</f>
        <v>-0.1106776180698152</v>
      </c>
      <c r="AB41" s="1">
        <f>A41</f>
        <v>44616</v>
      </c>
      <c r="AC41" s="2">
        <f>B41</f>
        <v>96.89</v>
      </c>
      <c r="AD41" s="2">
        <f>39</f>
        <v>39</v>
      </c>
      <c r="AE41" s="2">
        <f>INTERCEPT($AC$3:$AC$1136,$AD$3:$AD$1136)+SLOPE($AC$3:$AC$1136,$AD$3:$AD$1136)*AD41</f>
        <v>81.574801764007134</v>
      </c>
      <c r="AF41" s="2">
        <f t="shared" si="0"/>
        <v>84.226461364409829</v>
      </c>
      <c r="AG41" s="2">
        <f t="shared" si="1"/>
        <v>78.923142163604439</v>
      </c>
      <c r="AH41" s="22">
        <f>AC41-AE41</f>
        <v>15.315198235992867</v>
      </c>
      <c r="AL41" s="7" t="s">
        <v>2602</v>
      </c>
      <c r="AO41" s="113" t="s">
        <v>2609</v>
      </c>
      <c r="AP41" s="113"/>
      <c r="AQ41" s="113"/>
      <c r="AR41" s="113"/>
      <c r="AS41" s="113"/>
      <c r="AT41" s="113"/>
      <c r="AU41" s="113"/>
      <c r="AV41" s="113"/>
      <c r="BB41" s="147" t="s">
        <v>2692</v>
      </c>
      <c r="BC41" s="147"/>
      <c r="BD41" s="147"/>
      <c r="BE41" s="147"/>
      <c r="BF41" s="147"/>
      <c r="BG41" s="147"/>
      <c r="BH41" s="147"/>
    </row>
    <row r="42" spans="1:60" x14ac:dyDescent="0.25">
      <c r="A42" s="1">
        <f>DATEVALUE(Sheet1!A41)</f>
        <v>44617</v>
      </c>
      <c r="B42" s="2">
        <f>VALUE(Sheet1!B41)</f>
        <v>97.34</v>
      </c>
      <c r="C42" s="9">
        <f>(B42-B41)/B41</f>
        <v>4.6444421508927943E-3</v>
      </c>
      <c r="D42" s="2">
        <f>MAX(D41,B42)</f>
        <v>98.33</v>
      </c>
      <c r="E42" s="9">
        <f>(B42-D42)/D42</f>
        <v>-1.006813790297971E-2</v>
      </c>
      <c r="G42" t="s">
        <v>2344</v>
      </c>
      <c r="H42" s="2">
        <f>B192</f>
        <v>84.14</v>
      </c>
      <c r="I42" s="9">
        <f>(H42-H41)/H41</f>
        <v>-5.2021754551903254E-3</v>
      </c>
      <c r="J42" s="2">
        <f>MAX(J41,H42)</f>
        <v>103.9</v>
      </c>
      <c r="K42" s="9">
        <f>(H42-J42)/J42</f>
        <v>-0.1901828681424447</v>
      </c>
      <c r="M42" s="65" t="s">
        <v>2477</v>
      </c>
      <c r="N42" s="2">
        <f>B832</f>
        <v>80.13</v>
      </c>
      <c r="O42" s="9">
        <f>(N42-N41)/N41</f>
        <v>-7.4924959593627438E-2</v>
      </c>
      <c r="P42" s="2">
        <f>MAX(P41,N42)</f>
        <v>97.4</v>
      </c>
      <c r="Q42" s="9">
        <f>(N42-P42)/P42</f>
        <v>-0.17731006160164281</v>
      </c>
      <c r="AB42" s="1">
        <f>A42</f>
        <v>44617</v>
      </c>
      <c r="AC42" s="2">
        <f>B42</f>
        <v>97.34</v>
      </c>
      <c r="AD42" s="2">
        <f>40</f>
        <v>40</v>
      </c>
      <c r="AE42" s="2">
        <f>INTERCEPT($AC$3:$AC$1136,$AD$3:$AD$1136)+SLOPE($AC$3:$AC$1136,$AD$3:$AD$1136)*AD42</f>
        <v>81.556089800594691</v>
      </c>
      <c r="AF42" s="2">
        <f t="shared" si="0"/>
        <v>84.207749400997386</v>
      </c>
      <c r="AG42" s="2">
        <f t="shared" si="1"/>
        <v>78.904430200191996</v>
      </c>
      <c r="AH42" s="22">
        <f>AC42-AE42</f>
        <v>15.783910199405312</v>
      </c>
      <c r="AL42" s="7" t="s">
        <v>2603</v>
      </c>
      <c r="AO42" s="113" t="s">
        <v>2610</v>
      </c>
      <c r="AP42" s="113"/>
      <c r="AQ42" s="113"/>
      <c r="AR42" s="113"/>
      <c r="AS42" s="113"/>
      <c r="AT42" s="113"/>
      <c r="AU42" s="113"/>
      <c r="AV42" s="113"/>
      <c r="BB42" s="148" t="s">
        <v>2693</v>
      </c>
      <c r="BC42" s="149" t="s">
        <v>2694</v>
      </c>
      <c r="BD42" s="149"/>
      <c r="BE42" s="149"/>
      <c r="BF42" s="149"/>
      <c r="BG42" s="149"/>
      <c r="BH42" s="149"/>
    </row>
    <row r="43" spans="1:60" x14ac:dyDescent="0.25">
      <c r="A43" s="1">
        <f>DATEVALUE(Sheet1!A42)</f>
        <v>44622</v>
      </c>
      <c r="B43" s="2">
        <f>VALUE(Sheet1!B42)</f>
        <v>97.2</v>
      </c>
      <c r="C43" s="9">
        <f>(B43-B42)/B42</f>
        <v>-1.4382576535853767E-3</v>
      </c>
      <c r="D43" s="2">
        <f>MAX(D42,B43)</f>
        <v>98.33</v>
      </c>
      <c r="E43" s="9">
        <f>(B43-D43)/D43</f>
        <v>-1.1491914980168773E-2</v>
      </c>
      <c r="G43" t="s">
        <v>2345</v>
      </c>
      <c r="H43" s="2">
        <f>B197</f>
        <v>83.5</v>
      </c>
      <c r="I43" s="9">
        <f>(H43-H42)/H42</f>
        <v>-7.6063703351556995E-3</v>
      </c>
      <c r="J43" s="2">
        <f>MAX(J42,H43)</f>
        <v>103.9</v>
      </c>
      <c r="K43" s="9">
        <f>(H43-J43)/J43</f>
        <v>-0.19634263715110689</v>
      </c>
      <c r="M43" s="65" t="s">
        <v>2478</v>
      </c>
      <c r="N43" s="2">
        <f>B853</f>
        <v>68.95</v>
      </c>
      <c r="O43" s="9">
        <f>(N43-N42)/N42</f>
        <v>-0.13952327467864711</v>
      </c>
      <c r="P43" s="2">
        <f>MAX(P42,N43)</f>
        <v>97.4</v>
      </c>
      <c r="Q43" s="9">
        <f>(N43-P43)/P43</f>
        <v>-0.29209445585215604</v>
      </c>
      <c r="AB43" s="1">
        <f>A43</f>
        <v>44622</v>
      </c>
      <c r="AC43" s="2">
        <f>B43</f>
        <v>97.2</v>
      </c>
      <c r="AD43" s="2">
        <f>41</f>
        <v>41</v>
      </c>
      <c r="AE43" s="2">
        <f>INTERCEPT($AC$3:$AC$1136,$AD$3:$AD$1136)+SLOPE($AC$3:$AC$1136,$AD$3:$AD$1136)*AD43</f>
        <v>81.537377837182248</v>
      </c>
      <c r="AF43" s="2">
        <f t="shared" si="0"/>
        <v>84.189037437584943</v>
      </c>
      <c r="AG43" s="2">
        <f t="shared" si="1"/>
        <v>78.885718236779553</v>
      </c>
      <c r="AH43" s="22">
        <f>AC43-AE43</f>
        <v>15.662622162817755</v>
      </c>
      <c r="AL43" s="7" t="s">
        <v>2604</v>
      </c>
      <c r="AO43" s="113" t="s">
        <v>2611</v>
      </c>
      <c r="AP43" s="113"/>
      <c r="AQ43" s="113"/>
      <c r="AR43" s="113"/>
      <c r="AS43" s="113"/>
      <c r="AT43" s="113"/>
      <c r="AU43" s="113"/>
      <c r="AV43" s="113"/>
      <c r="BB43" s="150" t="s">
        <v>2695</v>
      </c>
      <c r="BC43" s="149" t="s">
        <v>2696</v>
      </c>
      <c r="BD43" s="149"/>
      <c r="BE43" s="149"/>
      <c r="BF43" s="149"/>
      <c r="BG43" s="149"/>
      <c r="BH43" s="149"/>
    </row>
    <row r="44" spans="1:60" x14ac:dyDescent="0.25">
      <c r="A44" s="1">
        <f>DATEVALUE(Sheet1!A43)</f>
        <v>44623</v>
      </c>
      <c r="B44" s="2">
        <f>VALUE(Sheet1!B43)</f>
        <v>97.72</v>
      </c>
      <c r="C44" s="9">
        <f>(B44-B43)/B43</f>
        <v>5.349794238683086E-3</v>
      </c>
      <c r="D44" s="2">
        <f>MAX(D43,B44)</f>
        <v>98.33</v>
      </c>
      <c r="E44" s="9">
        <f>(B44-D44)/D44</f>
        <v>-6.2036001220380299E-3</v>
      </c>
      <c r="G44" t="s">
        <v>2346</v>
      </c>
      <c r="H44" s="2">
        <f>B201</f>
        <v>84.86</v>
      </c>
      <c r="I44" s="9">
        <f>(H44-H43)/H43</f>
        <v>1.6287425149700593E-2</v>
      </c>
      <c r="J44" s="2">
        <f>MAX(J43,H44)</f>
        <v>103.9</v>
      </c>
      <c r="K44" s="9">
        <f>(H44-J44)/J44</f>
        <v>-0.18325312800769977</v>
      </c>
      <c r="M44" s="65" t="s">
        <v>2479</v>
      </c>
      <c r="N44" s="2">
        <f>B874</f>
        <v>65.680000000000007</v>
      </c>
      <c r="O44" s="9">
        <f>(N44-N43)/N43</f>
        <v>-4.7425670775924522E-2</v>
      </c>
      <c r="P44" s="2">
        <f>MAX(P43,N44)</f>
        <v>97.4</v>
      </c>
      <c r="Q44" s="9">
        <f>(N44-P44)/P44</f>
        <v>-0.3256673511293634</v>
      </c>
      <c r="AB44" s="1">
        <f>A44</f>
        <v>44623</v>
      </c>
      <c r="AC44" s="2">
        <f>B44</f>
        <v>97.72</v>
      </c>
      <c r="AD44" s="2">
        <f>42</f>
        <v>42</v>
      </c>
      <c r="AE44" s="2">
        <f>INTERCEPT($AC$3:$AC$1136,$AD$3:$AD$1136)+SLOPE($AC$3:$AC$1136,$AD$3:$AD$1136)*AD44</f>
        <v>81.518665873769805</v>
      </c>
      <c r="AF44" s="2">
        <f t="shared" si="0"/>
        <v>84.1703254741725</v>
      </c>
      <c r="AG44" s="2">
        <f t="shared" si="1"/>
        <v>78.86700627336711</v>
      </c>
      <c r="AH44" s="22">
        <f>AC44-AE44</f>
        <v>16.201334126230194</v>
      </c>
      <c r="AL44" s="7"/>
      <c r="AO44" s="114"/>
      <c r="AP44" s="114"/>
      <c r="AQ44" s="114"/>
      <c r="AR44" s="114"/>
      <c r="AS44" s="114"/>
      <c r="AT44" s="114"/>
      <c r="AU44" s="114"/>
      <c r="AV44" s="114"/>
      <c r="BB44" s="148" t="s">
        <v>2697</v>
      </c>
      <c r="BC44" s="149" t="s">
        <v>2698</v>
      </c>
      <c r="BD44" s="149"/>
      <c r="BE44" s="149"/>
      <c r="BF44" s="149"/>
      <c r="BG44" s="149"/>
      <c r="BH44" s="149"/>
    </row>
    <row r="45" spans="1:60" x14ac:dyDescent="0.25">
      <c r="A45" s="1">
        <f>DATEVALUE(Sheet1!A44)</f>
        <v>44624</v>
      </c>
      <c r="B45" s="2">
        <f>VALUE(Sheet1!B44)</f>
        <v>98.15</v>
      </c>
      <c r="C45" s="9">
        <f>(B45-B44)/B44</f>
        <v>4.4003274662301152E-3</v>
      </c>
      <c r="D45" s="2">
        <f>MAX(D44,B45)</f>
        <v>98.33</v>
      </c>
      <c r="E45" s="9">
        <f>(B45-D45)/D45</f>
        <v>-1.830570527814427E-3</v>
      </c>
      <c r="G45" t="s">
        <v>2347</v>
      </c>
      <c r="H45" s="2">
        <f>B206</f>
        <v>85.08</v>
      </c>
      <c r="I45" s="9">
        <f>(H45-H44)/H44</f>
        <v>2.5925053028517425E-3</v>
      </c>
      <c r="J45" s="2">
        <f>MAX(J44,H45)</f>
        <v>103.9</v>
      </c>
      <c r="K45" s="9">
        <f>(H45-J45)/J45</f>
        <v>-0.18113570741097215</v>
      </c>
      <c r="M45" s="65" t="s">
        <v>2480</v>
      </c>
      <c r="N45" s="2">
        <f>B897</f>
        <v>63.71</v>
      </c>
      <c r="O45" s="9">
        <f>(N45-N44)/N44</f>
        <v>-2.9993909866017139E-2</v>
      </c>
      <c r="P45" s="2">
        <f>MAX(P44,N45)</f>
        <v>97.4</v>
      </c>
      <c r="Q45" s="9">
        <f>(N45-P45)/P45</f>
        <v>-0.34589322381930188</v>
      </c>
      <c r="AB45" s="1">
        <f>A45</f>
        <v>44624</v>
      </c>
      <c r="AC45" s="2">
        <f>B45</f>
        <v>98.15</v>
      </c>
      <c r="AD45" s="2">
        <f>43</f>
        <v>43</v>
      </c>
      <c r="AE45" s="2">
        <f>INTERCEPT($AC$3:$AC$1136,$AD$3:$AD$1136)+SLOPE($AC$3:$AC$1136,$AD$3:$AD$1136)*AD45</f>
        <v>81.499953910357348</v>
      </c>
      <c r="AF45" s="2">
        <f t="shared" si="0"/>
        <v>84.151613510760043</v>
      </c>
      <c r="AG45" s="2">
        <f t="shared" si="1"/>
        <v>78.848294309954653</v>
      </c>
      <c r="AH45" s="22">
        <f>AC45-AE45</f>
        <v>16.650046089642657</v>
      </c>
      <c r="AL45" s="62" t="s">
        <v>2605</v>
      </c>
      <c r="AM45" s="62"/>
      <c r="AN45" s="117">
        <f>$AN$21</f>
        <v>4.8011232234372265</v>
      </c>
      <c r="AO45" s="118" t="s">
        <v>2612</v>
      </c>
      <c r="AP45" s="118"/>
      <c r="AQ45" s="118"/>
      <c r="AR45" s="118"/>
      <c r="AS45" s="118"/>
      <c r="AT45" s="118"/>
      <c r="AU45" s="118"/>
      <c r="AV45" s="118"/>
      <c r="BB45" s="150" t="s">
        <v>2695</v>
      </c>
      <c r="BC45" s="149" t="s">
        <v>2699</v>
      </c>
      <c r="BD45" s="149"/>
      <c r="BE45" s="149"/>
      <c r="BF45" s="149"/>
      <c r="BG45" s="149"/>
      <c r="BH45" s="149"/>
    </row>
    <row r="46" spans="1:60" x14ac:dyDescent="0.25">
      <c r="A46" s="1">
        <f>DATEVALUE(Sheet1!A45)</f>
        <v>44627</v>
      </c>
      <c r="B46" s="2">
        <f>VALUE(Sheet1!B45)</f>
        <v>100.19</v>
      </c>
      <c r="C46" s="9">
        <f>(B46-B45)/B45</f>
        <v>2.0784513499745205E-2</v>
      </c>
      <c r="D46" s="2">
        <f>MAX(D45,B46)</f>
        <v>100.19</v>
      </c>
      <c r="E46" s="9">
        <f>(B46-D46)/D46</f>
        <v>0</v>
      </c>
      <c r="G46" t="s">
        <v>2348</v>
      </c>
      <c r="H46" s="2">
        <f>B211</f>
        <v>85.35</v>
      </c>
      <c r="I46" s="9">
        <f>(H46-H45)/H45</f>
        <v>3.1734837799717447E-3</v>
      </c>
      <c r="J46" s="2">
        <f>MAX(J45,H46)</f>
        <v>103.9</v>
      </c>
      <c r="K46" s="9">
        <f>(H46-J46)/J46</f>
        <v>-0.17853705486044283</v>
      </c>
      <c r="M46" s="65" t="s">
        <v>2481</v>
      </c>
      <c r="N46" s="2">
        <f>B918</f>
        <v>64.34</v>
      </c>
      <c r="O46" s="9">
        <f>(N46-N45)/N45</f>
        <v>9.8885575262910464E-3</v>
      </c>
      <c r="P46" s="2">
        <f>MAX(P45,N46)</f>
        <v>97.4</v>
      </c>
      <c r="Q46" s="9">
        <f>(N46-P46)/P46</f>
        <v>-0.33942505133470224</v>
      </c>
      <c r="AB46" s="1">
        <f>A46</f>
        <v>44627</v>
      </c>
      <c r="AC46" s="2">
        <f>B46</f>
        <v>100.19</v>
      </c>
      <c r="AD46" s="2">
        <f>44</f>
        <v>44</v>
      </c>
      <c r="AE46" s="2">
        <f>INTERCEPT($AC$3:$AC$1136,$AD$3:$AD$1136)+SLOPE($AC$3:$AC$1136,$AD$3:$AD$1136)*AD46</f>
        <v>81.481241946944905</v>
      </c>
      <c r="AF46" s="2">
        <f t="shared" si="0"/>
        <v>84.132901547347601</v>
      </c>
      <c r="AG46" s="2">
        <f t="shared" si="1"/>
        <v>78.82958234654221</v>
      </c>
      <c r="AH46" s="22">
        <f>AC46-AE46</f>
        <v>18.708758053055092</v>
      </c>
      <c r="AL46" s="62" t="s">
        <v>2606</v>
      </c>
      <c r="AM46" s="62"/>
      <c r="AN46" s="117">
        <f>$AN$21*2</f>
        <v>9.6022464468744531</v>
      </c>
      <c r="AO46" s="118" t="s">
        <v>2613</v>
      </c>
      <c r="AP46" s="118"/>
      <c r="AQ46" s="118"/>
      <c r="AR46" s="118"/>
      <c r="AS46" s="118"/>
      <c r="AT46" s="118"/>
      <c r="AU46" s="118"/>
      <c r="AV46" s="118"/>
      <c r="BB46" s="148" t="s">
        <v>2700</v>
      </c>
      <c r="BC46" s="149" t="s">
        <v>2701</v>
      </c>
      <c r="BD46" s="149"/>
      <c r="BE46" s="149"/>
      <c r="BF46" s="149"/>
      <c r="BG46" s="149"/>
      <c r="BH46" s="149"/>
    </row>
    <row r="47" spans="1:60" x14ac:dyDescent="0.25">
      <c r="A47" s="1">
        <f>DATEVALUE(Sheet1!A46)</f>
        <v>44628</v>
      </c>
      <c r="B47" s="2">
        <f>VALUE(Sheet1!B46)</f>
        <v>101.36</v>
      </c>
      <c r="C47" s="9">
        <f>(B47-B46)/B46</f>
        <v>1.1677812156901904E-2</v>
      </c>
      <c r="D47" s="2">
        <f>MAX(D46,B47)</f>
        <v>101.36</v>
      </c>
      <c r="E47" s="9">
        <f>(B47-D47)/D47</f>
        <v>0</v>
      </c>
      <c r="G47" t="s">
        <v>2349</v>
      </c>
      <c r="H47" s="2">
        <f>B215</f>
        <v>85.19</v>
      </c>
      <c r="I47" s="9">
        <f>(H47-H46)/H46</f>
        <v>-1.8746338605740668E-3</v>
      </c>
      <c r="J47" s="2">
        <f>MAX(J46,H47)</f>
        <v>103.9</v>
      </c>
      <c r="K47" s="9">
        <f>(H47-J47)/J47</f>
        <v>-0.18007699711260836</v>
      </c>
      <c r="M47" s="65" t="s">
        <v>2482</v>
      </c>
      <c r="N47" s="2">
        <f>B940</f>
        <v>64.31</v>
      </c>
      <c r="O47" s="9">
        <f>(N47-N46)/N46</f>
        <v>-4.6627292508550104E-4</v>
      </c>
      <c r="P47" s="2">
        <f>MAX(P46,N47)</f>
        <v>97.4</v>
      </c>
      <c r="Q47" s="9">
        <f>(N47-P47)/P47</f>
        <v>-0.33973305954825461</v>
      </c>
      <c r="AB47" s="1">
        <f>A47</f>
        <v>44628</v>
      </c>
      <c r="AC47" s="2">
        <f>B47</f>
        <v>101.36</v>
      </c>
      <c r="AD47" s="2">
        <f>45</f>
        <v>45</v>
      </c>
      <c r="AE47" s="2">
        <f>INTERCEPT($AC$3:$AC$1136,$AD$3:$AD$1136)+SLOPE($AC$3:$AC$1136,$AD$3:$AD$1136)*AD47</f>
        <v>81.462529983532463</v>
      </c>
      <c r="AF47" s="2">
        <f t="shared" si="0"/>
        <v>84.114189583935158</v>
      </c>
      <c r="AG47" s="2">
        <f t="shared" si="1"/>
        <v>78.810870383129767</v>
      </c>
      <c r="AH47" s="22">
        <f>AC47-AE47</f>
        <v>19.897470016467537</v>
      </c>
      <c r="AL47" s="62" t="s">
        <v>2607</v>
      </c>
      <c r="AM47" s="62"/>
      <c r="AN47" s="119">
        <f>AT36</f>
        <v>0.67460470376558279</v>
      </c>
      <c r="AO47" s="118" t="s">
        <v>2614</v>
      </c>
      <c r="AP47" s="118"/>
      <c r="AQ47" s="118"/>
      <c r="AR47" s="118"/>
      <c r="AS47" s="118"/>
      <c r="AT47" s="118"/>
      <c r="AU47" s="118"/>
      <c r="AV47" s="118"/>
    </row>
    <row r="48" spans="1:60" x14ac:dyDescent="0.25">
      <c r="A48" s="1">
        <f>DATEVALUE(Sheet1!A47)</f>
        <v>44629</v>
      </c>
      <c r="B48" s="2">
        <f>VALUE(Sheet1!B47)</f>
        <v>101.25</v>
      </c>
      <c r="C48" s="9">
        <f>(B48-B47)/B47</f>
        <v>-1.0852407261246985E-3</v>
      </c>
      <c r="D48" s="2">
        <f>MAX(D47,B48)</f>
        <v>101.36</v>
      </c>
      <c r="E48" s="9">
        <f>(B48-D48)/D48</f>
        <v>-1.0852407261246985E-3</v>
      </c>
      <c r="G48" t="s">
        <v>2350</v>
      </c>
      <c r="H48" s="2">
        <f>B220</f>
        <v>84</v>
      </c>
      <c r="I48" s="9">
        <f>(H48-H47)/H47</f>
        <v>-1.396877567789644E-2</v>
      </c>
      <c r="J48" s="2">
        <f>MAX(J47,H48)</f>
        <v>103.9</v>
      </c>
      <c r="K48" s="9">
        <f>(H48-J48)/J48</f>
        <v>-0.19153031761308956</v>
      </c>
      <c r="M48" s="65" t="s">
        <v>2483</v>
      </c>
      <c r="N48" s="2">
        <f>B962</f>
        <v>66.150000000000006</v>
      </c>
      <c r="O48" s="9">
        <f>(N48-N47)/N47</f>
        <v>2.8611413466023999E-2</v>
      </c>
      <c r="P48" s="2">
        <f>MAX(P47,N48)</f>
        <v>97.4</v>
      </c>
      <c r="Q48" s="9">
        <f>(N48-P48)/P48</f>
        <v>-0.32084188911704309</v>
      </c>
      <c r="AB48" s="1">
        <f>A48</f>
        <v>44629</v>
      </c>
      <c r="AC48" s="2">
        <f>B48</f>
        <v>101.25</v>
      </c>
      <c r="AD48" s="2">
        <f>46</f>
        <v>46</v>
      </c>
      <c r="AE48" s="2">
        <f>INTERCEPT($AC$3:$AC$1136,$AD$3:$AD$1136)+SLOPE($AC$3:$AC$1136,$AD$3:$AD$1136)*AD48</f>
        <v>81.44381802012002</v>
      </c>
      <c r="AF48" s="2">
        <f t="shared" si="0"/>
        <v>84.095477620522715</v>
      </c>
      <c r="AG48" s="2">
        <f t="shared" si="1"/>
        <v>78.792158419717325</v>
      </c>
      <c r="AH48" s="22">
        <f>AC48-AE48</f>
        <v>19.80618197987998</v>
      </c>
      <c r="AL48" s="7" t="s">
        <v>2608</v>
      </c>
      <c r="AO48" s="113" t="s">
        <v>2615</v>
      </c>
      <c r="AP48" s="113"/>
      <c r="AQ48" s="113"/>
      <c r="AR48" s="113"/>
      <c r="AS48" s="113"/>
      <c r="AT48" s="113"/>
      <c r="AU48" s="113"/>
      <c r="AV48" s="113"/>
    </row>
    <row r="49" spans="1:34" x14ac:dyDescent="0.25">
      <c r="A49" s="1">
        <f>DATEVALUE(Sheet1!A48)</f>
        <v>44630</v>
      </c>
      <c r="B49" s="2">
        <f>VALUE(Sheet1!B48)</f>
        <v>101.42</v>
      </c>
      <c r="C49" s="9">
        <f>(B49-B48)/B48</f>
        <v>1.6790123456790291E-3</v>
      </c>
      <c r="D49" s="2">
        <f>MAX(D48,B49)</f>
        <v>101.42</v>
      </c>
      <c r="E49" s="9">
        <f>(B49-D49)/D49</f>
        <v>0</v>
      </c>
      <c r="G49" t="s">
        <v>2351</v>
      </c>
      <c r="H49" s="2">
        <f>B224</f>
        <v>85.08</v>
      </c>
      <c r="I49" s="9">
        <f>(H49-H48)/H48</f>
        <v>1.2857142857142836E-2</v>
      </c>
      <c r="J49" s="2">
        <f>MAX(J48,H49)</f>
        <v>103.9</v>
      </c>
      <c r="K49" s="9">
        <f>(H49-J49)/J49</f>
        <v>-0.18113570741097215</v>
      </c>
      <c r="M49" s="65" t="s">
        <v>2484</v>
      </c>
      <c r="N49" s="2">
        <f>B982</f>
        <v>69.040000000000006</v>
      </c>
      <c r="O49" s="9">
        <f>(N49-N48)/N48</f>
        <v>4.3688586545729408E-2</v>
      </c>
      <c r="P49" s="2">
        <f>MAX(P48,N49)</f>
        <v>97.4</v>
      </c>
      <c r="Q49" s="9">
        <f>(N49-P49)/P49</f>
        <v>-0.29117043121149894</v>
      </c>
      <c r="AB49" s="1">
        <f>A49</f>
        <v>44630</v>
      </c>
      <c r="AC49" s="2">
        <f>B49</f>
        <v>101.42</v>
      </c>
      <c r="AD49" s="2">
        <f>47</f>
        <v>47</v>
      </c>
      <c r="AE49" s="2">
        <f>INTERCEPT($AC$3:$AC$1136,$AD$3:$AD$1136)+SLOPE($AC$3:$AC$1136,$AD$3:$AD$1136)*AD49</f>
        <v>81.425106056707563</v>
      </c>
      <c r="AF49" s="2">
        <f t="shared" si="0"/>
        <v>84.076765657110258</v>
      </c>
      <c r="AG49" s="2">
        <f t="shared" si="1"/>
        <v>78.773446456304868</v>
      </c>
      <c r="AH49" s="22">
        <f>AC49-AE49</f>
        <v>19.994893943292439</v>
      </c>
    </row>
    <row r="50" spans="1:34" x14ac:dyDescent="0.25">
      <c r="A50" s="1">
        <f>DATEVALUE(Sheet1!A49)</f>
        <v>44631</v>
      </c>
      <c r="B50" s="2">
        <f>VALUE(Sheet1!B49)</f>
        <v>103.57</v>
      </c>
      <c r="C50" s="9">
        <f>(B50-B49)/B49</f>
        <v>2.1198974561230443E-2</v>
      </c>
      <c r="D50" s="2">
        <f>MAX(D49,B50)</f>
        <v>103.57</v>
      </c>
      <c r="E50" s="9">
        <f>(B50-D50)/D50</f>
        <v>0</v>
      </c>
      <c r="G50" t="s">
        <v>2352</v>
      </c>
      <c r="H50" s="2">
        <f>B229</f>
        <v>85.96</v>
      </c>
      <c r="I50" s="9">
        <f>(H50-H49)/H49</f>
        <v>1.0343206393982082E-2</v>
      </c>
      <c r="J50" s="2">
        <f>MAX(J49,H50)</f>
        <v>103.9</v>
      </c>
      <c r="K50" s="9">
        <f>(H50-J50)/J50</f>
        <v>-0.1726660250240617</v>
      </c>
      <c r="M50" s="65" t="s">
        <v>2485</v>
      </c>
      <c r="N50" s="2">
        <f>B1001</f>
        <v>69.5</v>
      </c>
      <c r="O50" s="9">
        <f>(N50-N49)/N49</f>
        <v>6.6628041714946948E-3</v>
      </c>
      <c r="P50" s="2">
        <f>MAX(P49,N50)</f>
        <v>97.4</v>
      </c>
      <c r="Q50" s="9">
        <f>(N50-P50)/P50</f>
        <v>-0.28644763860369615</v>
      </c>
      <c r="AB50" s="1">
        <f>A50</f>
        <v>44631</v>
      </c>
      <c r="AC50" s="2">
        <f>B50</f>
        <v>103.57</v>
      </c>
      <c r="AD50" s="2">
        <f>48</f>
        <v>48</v>
      </c>
      <c r="AE50" s="2">
        <f>INTERCEPT($AC$3:$AC$1136,$AD$3:$AD$1136)+SLOPE($AC$3:$AC$1136,$AD$3:$AD$1136)*AD50</f>
        <v>81.40639409329512</v>
      </c>
      <c r="AF50" s="2">
        <f t="shared" si="0"/>
        <v>84.058053693697815</v>
      </c>
      <c r="AG50" s="2">
        <f t="shared" si="1"/>
        <v>78.754734492892425</v>
      </c>
      <c r="AH50" s="22">
        <f>AC50-AE50</f>
        <v>22.163605906704873</v>
      </c>
    </row>
    <row r="51" spans="1:34" x14ac:dyDescent="0.25">
      <c r="A51" s="1">
        <f>DATEVALUE(Sheet1!A50)</f>
        <v>44634</v>
      </c>
      <c r="B51" s="2">
        <f>VALUE(Sheet1!B50)</f>
        <v>103.9</v>
      </c>
      <c r="C51" s="9">
        <f>(B51-B50)/B50</f>
        <v>3.1862508448393602E-3</v>
      </c>
      <c r="D51" s="2">
        <f>MAX(D50,B51)</f>
        <v>103.9</v>
      </c>
      <c r="E51" s="9">
        <f>(B51-D51)/D51</f>
        <v>0</v>
      </c>
      <c r="G51" t="s">
        <v>2353</v>
      </c>
      <c r="H51" s="2">
        <f>B234</f>
        <v>85.54</v>
      </c>
      <c r="I51" s="9">
        <f>(H51-H50)/H50</f>
        <v>-4.8859934853418743E-3</v>
      </c>
      <c r="J51" s="2">
        <f>MAX(J50,H51)</f>
        <v>103.9</v>
      </c>
      <c r="K51" s="9">
        <f>(H51-J51)/J51</f>
        <v>-0.17670837343599613</v>
      </c>
      <c r="M51" s="65" t="s">
        <v>2486</v>
      </c>
      <c r="N51" s="2">
        <f>B1022</f>
        <v>66.099999999999994</v>
      </c>
      <c r="O51" s="9">
        <f>(N51-N50)/N50</f>
        <v>-4.8920863309352601E-2</v>
      </c>
      <c r="P51" s="2">
        <f>MAX(P50,N51)</f>
        <v>97.4</v>
      </c>
      <c r="Q51" s="9">
        <f>(N51-P51)/P51</f>
        <v>-0.32135523613963046</v>
      </c>
      <c r="AB51" s="1">
        <f>A51</f>
        <v>44634</v>
      </c>
      <c r="AC51" s="2">
        <f>B51</f>
        <v>103.9</v>
      </c>
      <c r="AD51" s="2">
        <f>49</f>
        <v>49</v>
      </c>
      <c r="AE51" s="2">
        <f>INTERCEPT($AC$3:$AC$1136,$AD$3:$AD$1136)+SLOPE($AC$3:$AC$1136,$AD$3:$AD$1136)*AD51</f>
        <v>81.387682129882677</v>
      </c>
      <c r="AF51" s="2">
        <f t="shared" si="0"/>
        <v>84.039341730285372</v>
      </c>
      <c r="AG51" s="2">
        <f t="shared" si="1"/>
        <v>78.736022529479982</v>
      </c>
      <c r="AH51" s="22">
        <f>AC51-AE51</f>
        <v>22.512317870117329</v>
      </c>
    </row>
    <row r="52" spans="1:34" x14ac:dyDescent="0.25">
      <c r="A52" s="1">
        <f>DATEVALUE(Sheet1!A51)</f>
        <v>44635</v>
      </c>
      <c r="B52" s="2">
        <f>VALUE(Sheet1!B51)</f>
        <v>103.87</v>
      </c>
      <c r="C52" s="9">
        <f>(B52-B51)/B51</f>
        <v>-2.8873917228105036E-4</v>
      </c>
      <c r="D52" s="2">
        <f>MAX(D51,B52)</f>
        <v>103.9</v>
      </c>
      <c r="E52" s="9">
        <f>(B52-D52)/D52</f>
        <v>-2.8873917228105036E-4</v>
      </c>
      <c r="G52" t="s">
        <v>2354</v>
      </c>
      <c r="H52" s="2">
        <f>B239</f>
        <v>86.15</v>
      </c>
      <c r="I52" s="9">
        <f>(H52-H51)/H51</f>
        <v>7.1311667056347837E-3</v>
      </c>
      <c r="J52" s="2">
        <f>MAX(J51,H52)</f>
        <v>103.9</v>
      </c>
      <c r="K52" s="9">
        <f>(H52-J52)/J52</f>
        <v>-0.170837343599615</v>
      </c>
      <c r="M52" s="65" t="s">
        <v>2487</v>
      </c>
      <c r="N52" s="2">
        <f>B1040</f>
        <v>69.53</v>
      </c>
      <c r="O52" s="9">
        <f>(N52-N51)/N51</f>
        <v>5.1891074130106005E-2</v>
      </c>
      <c r="P52" s="2">
        <f>MAX(P51,N52)</f>
        <v>97.4</v>
      </c>
      <c r="Q52" s="9">
        <f>(N52-P52)/P52</f>
        <v>-0.28613963039014378</v>
      </c>
      <c r="AB52" s="1">
        <f>A52</f>
        <v>44635</v>
      </c>
      <c r="AC52" s="2">
        <f>B52</f>
        <v>103.87</v>
      </c>
      <c r="AD52" s="2">
        <f>50</f>
        <v>50</v>
      </c>
      <c r="AE52" s="2">
        <f>INTERCEPT($AC$3:$AC$1136,$AD$3:$AD$1136)+SLOPE($AC$3:$AC$1136,$AD$3:$AD$1136)*AD52</f>
        <v>81.36897016647022</v>
      </c>
      <c r="AF52" s="2">
        <f t="shared" si="0"/>
        <v>84.020629766872915</v>
      </c>
      <c r="AG52" s="2">
        <f t="shared" si="1"/>
        <v>78.717310566067525</v>
      </c>
      <c r="AH52" s="22">
        <f>AC52-AE52</f>
        <v>22.501029833529785</v>
      </c>
    </row>
    <row r="53" spans="1:34" x14ac:dyDescent="0.25">
      <c r="A53" s="1">
        <f>DATEVALUE(Sheet1!A52)</f>
        <v>44636</v>
      </c>
      <c r="B53" s="2">
        <f>VALUE(Sheet1!B52)</f>
        <v>103.74</v>
      </c>
      <c r="C53" s="9">
        <f>(B53-B52)/B52</f>
        <v>-1.2515644555695549E-3</v>
      </c>
      <c r="D53" s="2">
        <f>MAX(D52,B53)</f>
        <v>103.9</v>
      </c>
      <c r="E53" s="9">
        <f>(B53-D53)/D53</f>
        <v>-1.5399422521656476E-3</v>
      </c>
      <c r="G53" t="s">
        <v>2355</v>
      </c>
      <c r="H53" s="2">
        <f>B244</f>
        <v>86.05</v>
      </c>
      <c r="I53" s="9">
        <f>(H53-H52)/H52</f>
        <v>-1.1607661056298145E-3</v>
      </c>
      <c r="J53" s="2">
        <f>MAX(J52,H53)</f>
        <v>103.9</v>
      </c>
      <c r="K53" s="9">
        <f>(H53-J53)/J53</f>
        <v>-0.17179980750721854</v>
      </c>
      <c r="M53" s="65" t="s">
        <v>2488</v>
      </c>
      <c r="N53" s="2">
        <f>B1063</f>
        <v>70.319999999999993</v>
      </c>
      <c r="O53" s="9">
        <f>(N53-N52)/N52</f>
        <v>1.136200201351923E-2</v>
      </c>
      <c r="P53" s="2">
        <f>MAX(P52,N53)</f>
        <v>97.4</v>
      </c>
      <c r="Q53" s="9">
        <f>(N53-P53)/P53</f>
        <v>-0.278028747433265</v>
      </c>
      <c r="AB53" s="1">
        <f>A53</f>
        <v>44636</v>
      </c>
      <c r="AC53" s="2">
        <f>B53</f>
        <v>103.74</v>
      </c>
      <c r="AD53" s="2">
        <f>51</f>
        <v>51</v>
      </c>
      <c r="AE53" s="2">
        <f>INTERCEPT($AC$3:$AC$1136,$AD$3:$AD$1136)+SLOPE($AC$3:$AC$1136,$AD$3:$AD$1136)*AD53</f>
        <v>81.350258203057777</v>
      </c>
      <c r="AF53" s="2">
        <f t="shared" si="0"/>
        <v>84.001917803460472</v>
      </c>
      <c r="AG53" s="2">
        <f t="shared" si="1"/>
        <v>78.698598602655082</v>
      </c>
      <c r="AH53" s="22">
        <f>AC53-AE53</f>
        <v>22.389741796942218</v>
      </c>
    </row>
    <row r="54" spans="1:34" x14ac:dyDescent="0.25">
      <c r="A54" s="1">
        <f>DATEVALUE(Sheet1!A53)</f>
        <v>44637</v>
      </c>
      <c r="B54" s="2">
        <f>VALUE(Sheet1!B53)</f>
        <v>103.57</v>
      </c>
      <c r="C54" s="9">
        <f>(B54-B53)/B53</f>
        <v>-1.638712165027971E-3</v>
      </c>
      <c r="D54" s="2">
        <f>MAX(D53,B54)</f>
        <v>103.9</v>
      </c>
      <c r="E54" s="9">
        <f>(B54-D54)/D54</f>
        <v>-3.1761308950915544E-3</v>
      </c>
      <c r="G54" t="s">
        <v>2356</v>
      </c>
      <c r="H54" s="2">
        <f>B249</f>
        <v>85.79</v>
      </c>
      <c r="I54" s="9">
        <f>(H54-H53)/H53</f>
        <v>-3.0214991284136074E-3</v>
      </c>
      <c r="J54" s="2">
        <f>MAX(J53,H54)</f>
        <v>103.9</v>
      </c>
      <c r="K54" s="9">
        <f>(H54-J54)/J54</f>
        <v>-0.17430221366698748</v>
      </c>
      <c r="M54" s="65" t="s">
        <v>2489</v>
      </c>
      <c r="N54" s="2">
        <f>B1082</f>
        <v>66.91</v>
      </c>
      <c r="O54" s="9">
        <f>(N54-N53)/N53</f>
        <v>-4.8492605233219521E-2</v>
      </c>
      <c r="P54" s="2">
        <f>MAX(P53,N54)</f>
        <v>97.4</v>
      </c>
      <c r="Q54" s="9">
        <f>(N54-P54)/P54</f>
        <v>-0.31303901437371673</v>
      </c>
      <c r="AB54" s="1">
        <f>A54</f>
        <v>44637</v>
      </c>
      <c r="AC54" s="2">
        <f>B54</f>
        <v>103.57</v>
      </c>
      <c r="AD54" s="2">
        <f>52</f>
        <v>52</v>
      </c>
      <c r="AE54" s="2">
        <f>INTERCEPT($AC$3:$AC$1136,$AD$3:$AD$1136)+SLOPE($AC$3:$AC$1136,$AD$3:$AD$1136)*AD54</f>
        <v>81.331546239645334</v>
      </c>
      <c r="AF54" s="2">
        <f t="shared" si="0"/>
        <v>83.983205840048029</v>
      </c>
      <c r="AG54" s="2">
        <f t="shared" si="1"/>
        <v>78.679886639242639</v>
      </c>
      <c r="AH54" s="22">
        <f>AC54-AE54</f>
        <v>22.238453760354659</v>
      </c>
    </row>
    <row r="55" spans="1:34" x14ac:dyDescent="0.25">
      <c r="A55" s="1">
        <f>DATEVALUE(Sheet1!A54)</f>
        <v>44638</v>
      </c>
      <c r="B55" s="2">
        <f>VALUE(Sheet1!B54)</f>
        <v>102.59</v>
      </c>
      <c r="C55" s="9">
        <f>(B55-B54)/B54</f>
        <v>-9.4621994786133999E-3</v>
      </c>
      <c r="D55" s="2">
        <f>MAX(D54,B55)</f>
        <v>103.9</v>
      </c>
      <c r="E55" s="9">
        <f>(B55-D55)/D55</f>
        <v>-1.2608277189605411E-2</v>
      </c>
      <c r="G55" t="s">
        <v>2357</v>
      </c>
      <c r="H55" s="2">
        <f>B253</f>
        <v>86.09</v>
      </c>
      <c r="I55" s="9">
        <f>(H55-H54)/H54</f>
        <v>3.4969110618952924E-3</v>
      </c>
      <c r="J55" s="2">
        <f>MAX(J54,H55)</f>
        <v>103.9</v>
      </c>
      <c r="K55" s="9">
        <f>(H55-J55)/J55</f>
        <v>-0.17141482194417709</v>
      </c>
      <c r="M55" s="65" t="s">
        <v>2490</v>
      </c>
      <c r="N55" s="2">
        <f>B1103</f>
        <v>64.760000000000005</v>
      </c>
      <c r="O55" s="9">
        <f>(N55-N54)/N54</f>
        <v>-3.2132715588103294E-2</v>
      </c>
      <c r="P55" s="2">
        <f>MAX(P54,N55)</f>
        <v>97.4</v>
      </c>
      <c r="Q55" s="9">
        <f>(N55-P55)/P55</f>
        <v>-0.33511293634496919</v>
      </c>
      <c r="AB55" s="1">
        <f>A55</f>
        <v>44638</v>
      </c>
      <c r="AC55" s="2">
        <f>B55</f>
        <v>102.59</v>
      </c>
      <c r="AD55" s="2">
        <f>53</f>
        <v>53</v>
      </c>
      <c r="AE55" s="2">
        <f>INTERCEPT($AC$3:$AC$1136,$AD$3:$AD$1136)+SLOPE($AC$3:$AC$1136,$AD$3:$AD$1136)*AD55</f>
        <v>81.312834276232891</v>
      </c>
      <c r="AF55" s="2">
        <f t="shared" si="0"/>
        <v>83.964493876635586</v>
      </c>
      <c r="AG55" s="2">
        <f t="shared" si="1"/>
        <v>78.661174675830196</v>
      </c>
      <c r="AH55" s="22">
        <f>AC55-AE55</f>
        <v>21.277165723767112</v>
      </c>
    </row>
    <row r="56" spans="1:34" x14ac:dyDescent="0.25">
      <c r="A56" s="1">
        <f>DATEVALUE(Sheet1!A55)</f>
        <v>44641</v>
      </c>
      <c r="B56" s="2">
        <f>VALUE(Sheet1!B55)</f>
        <v>102.63</v>
      </c>
      <c r="C56" s="9">
        <f>(B56-B55)/B55</f>
        <v>3.899015498585831E-4</v>
      </c>
      <c r="D56" s="2">
        <f>MAX(D55,B56)</f>
        <v>103.9</v>
      </c>
      <c r="E56" s="9">
        <f>(B56-D56)/D56</f>
        <v>-1.2223291626564102E-2</v>
      </c>
      <c r="G56" t="s">
        <v>2358</v>
      </c>
      <c r="H56" s="2">
        <f>B258</f>
        <v>87.27</v>
      </c>
      <c r="I56" s="9">
        <f>(H56-H55)/H55</f>
        <v>1.370658613079327E-2</v>
      </c>
      <c r="J56" s="2">
        <f>MAX(J55,H56)</f>
        <v>103.9</v>
      </c>
      <c r="K56" s="9">
        <f>(H56-J56)/J56</f>
        <v>-0.16005774783445628</v>
      </c>
      <c r="M56" s="65" t="s">
        <v>2491</v>
      </c>
      <c r="N56" s="2">
        <f>B1124</f>
        <v>64.02</v>
      </c>
      <c r="O56" s="9">
        <f>(N56-N55)/N55</f>
        <v>-1.1426806670784575E-2</v>
      </c>
      <c r="P56" s="2">
        <f>MAX(P55,N56)</f>
        <v>97.4</v>
      </c>
      <c r="Q56" s="9">
        <f>(N56-P56)/P56</f>
        <v>-0.34271047227926088</v>
      </c>
      <c r="AB56" s="1">
        <f>A56</f>
        <v>44641</v>
      </c>
      <c r="AC56" s="2">
        <f>B56</f>
        <v>102.63</v>
      </c>
      <c r="AD56" s="2">
        <f>54</f>
        <v>54</v>
      </c>
      <c r="AE56" s="2">
        <f>INTERCEPT($AC$3:$AC$1136,$AD$3:$AD$1136)+SLOPE($AC$3:$AC$1136,$AD$3:$AD$1136)*AD56</f>
        <v>81.294122312820434</v>
      </c>
      <c r="AF56" s="2">
        <f t="shared" si="0"/>
        <v>83.945781913223129</v>
      </c>
      <c r="AG56" s="2">
        <f t="shared" si="1"/>
        <v>78.642462712417739</v>
      </c>
      <c r="AH56" s="22">
        <f>AC56-AE56</f>
        <v>21.335877687179561</v>
      </c>
    </row>
    <row r="57" spans="1:34" x14ac:dyDescent="0.25">
      <c r="A57" s="1">
        <f>DATEVALUE(Sheet1!A56)</f>
        <v>44642</v>
      </c>
      <c r="B57" s="2">
        <f>VALUE(Sheet1!B56)</f>
        <v>101.29</v>
      </c>
      <c r="C57" s="9">
        <f>(B57-B56)/B56</f>
        <v>-1.3056611127350572E-2</v>
      </c>
      <c r="D57" s="2">
        <f>MAX(D56,B57)</f>
        <v>103.9</v>
      </c>
      <c r="E57" s="9">
        <f>(B57-D57)/D57</f>
        <v>-2.5120307988450427E-2</v>
      </c>
      <c r="G57" t="s">
        <v>2359</v>
      </c>
      <c r="H57" s="2">
        <f>B263</f>
        <v>86.39</v>
      </c>
      <c r="I57" s="9">
        <f>(H57-H56)/H56</f>
        <v>-1.0083648447347261E-2</v>
      </c>
      <c r="J57" s="2">
        <f>MAX(J56,H57)</f>
        <v>103.9</v>
      </c>
      <c r="K57" s="9">
        <f>(H57-J57)/J57</f>
        <v>-0.16852743022136674</v>
      </c>
      <c r="M57" s="65" t="s">
        <v>2492</v>
      </c>
      <c r="N57" s="2">
        <f>B1136</f>
        <v>64.94</v>
      </c>
      <c r="O57" s="9">
        <f>(N57-N56)/N56</f>
        <v>1.4370509215870068E-2</v>
      </c>
      <c r="P57" s="2">
        <f>MAX(P56,N57)</f>
        <v>97.4</v>
      </c>
      <c r="Q57" s="9">
        <f>(N57-P57)/P57</f>
        <v>-0.33326488706365509</v>
      </c>
      <c r="AB57" s="1">
        <f>A57</f>
        <v>44642</v>
      </c>
      <c r="AC57" s="2">
        <f>B57</f>
        <v>101.29</v>
      </c>
      <c r="AD57" s="2">
        <f>55</f>
        <v>55</v>
      </c>
      <c r="AE57" s="2">
        <f>INTERCEPT($AC$3:$AC$1136,$AD$3:$AD$1136)+SLOPE($AC$3:$AC$1136,$AD$3:$AD$1136)*AD57</f>
        <v>81.275410349407991</v>
      </c>
      <c r="AF57" s="2">
        <f t="shared" si="0"/>
        <v>83.927069949810686</v>
      </c>
      <c r="AG57" s="2">
        <f t="shared" si="1"/>
        <v>78.623750749005296</v>
      </c>
      <c r="AH57" s="22">
        <f>AC57-AE57</f>
        <v>20.014589650592015</v>
      </c>
    </row>
    <row r="58" spans="1:34" x14ac:dyDescent="0.25">
      <c r="A58" s="1">
        <f>DATEVALUE(Sheet1!A57)</f>
        <v>44643</v>
      </c>
      <c r="B58" s="2">
        <f>VALUE(Sheet1!B57)</f>
        <v>99.93</v>
      </c>
      <c r="C58" s="9">
        <f>(B58-B57)/B57</f>
        <v>-1.3426794352848251E-2</v>
      </c>
      <c r="D58" s="2">
        <f>MAX(D57,B58)</f>
        <v>103.9</v>
      </c>
      <c r="E58" s="9">
        <f>(B58-D58)/D58</f>
        <v>-3.8209817131857539E-2</v>
      </c>
      <c r="G58" t="s">
        <v>2360</v>
      </c>
      <c r="H58" s="2">
        <f>B268</f>
        <v>85.43</v>
      </c>
      <c r="I58" s="9">
        <f>(H58-H57)/H57</f>
        <v>-1.1112397268202266E-2</v>
      </c>
      <c r="J58" s="2">
        <f>MAX(J57,H58)</f>
        <v>103.9</v>
      </c>
      <c r="K58" s="9">
        <f>(H58-J58)/J58</f>
        <v>-0.17776708373435995</v>
      </c>
      <c r="AB58" s="1">
        <f>A58</f>
        <v>44643</v>
      </c>
      <c r="AC58" s="2">
        <f>B58</f>
        <v>99.93</v>
      </c>
      <c r="AD58" s="2">
        <f>56</f>
        <v>56</v>
      </c>
      <c r="AE58" s="2">
        <f>INTERCEPT($AC$3:$AC$1136,$AD$3:$AD$1136)+SLOPE($AC$3:$AC$1136,$AD$3:$AD$1136)*AD58</f>
        <v>81.256698385995549</v>
      </c>
      <c r="AF58" s="2">
        <f t="shared" si="0"/>
        <v>83.908357986398244</v>
      </c>
      <c r="AG58" s="2">
        <f t="shared" si="1"/>
        <v>78.605038785592853</v>
      </c>
      <c r="AH58" s="22">
        <f>AC58-AE58</f>
        <v>18.673301614004458</v>
      </c>
    </row>
    <row r="59" spans="1:34" x14ac:dyDescent="0.25">
      <c r="A59" s="1">
        <f>DATEVALUE(Sheet1!A58)</f>
        <v>44644</v>
      </c>
      <c r="B59" s="2">
        <f>VALUE(Sheet1!B58)</f>
        <v>99.2</v>
      </c>
      <c r="C59" s="9">
        <f>(B59-B58)/B58</f>
        <v>-7.3051135795056937E-3</v>
      </c>
      <c r="D59" s="2">
        <f>MAX(D58,B59)</f>
        <v>103.9</v>
      </c>
      <c r="E59" s="9">
        <f>(B59-D59)/D59</f>
        <v>-4.5235803657362871E-2</v>
      </c>
      <c r="G59" t="s">
        <v>2361</v>
      </c>
      <c r="H59" s="2">
        <f>B273</f>
        <v>84.95</v>
      </c>
      <c r="I59" s="9">
        <f>(H59-H58)/H58</f>
        <v>-5.6186351398806499E-3</v>
      </c>
      <c r="J59" s="2">
        <f>MAX(J58,H59)</f>
        <v>103.9</v>
      </c>
      <c r="K59" s="9">
        <f>(H59-J59)/J59</f>
        <v>-0.18238691049085662</v>
      </c>
      <c r="AB59" s="1">
        <f>A59</f>
        <v>44644</v>
      </c>
      <c r="AC59" s="2">
        <f>B59</f>
        <v>99.2</v>
      </c>
      <c r="AD59" s="2">
        <f>57</f>
        <v>57</v>
      </c>
      <c r="AE59" s="2">
        <f>INTERCEPT($AC$3:$AC$1136,$AD$3:$AD$1136)+SLOPE($AC$3:$AC$1136,$AD$3:$AD$1136)*AD59</f>
        <v>81.237986422583106</v>
      </c>
      <c r="AF59" s="2">
        <f t="shared" si="0"/>
        <v>83.889646022985801</v>
      </c>
      <c r="AG59" s="2">
        <f t="shared" si="1"/>
        <v>78.586326822180411</v>
      </c>
      <c r="AH59" s="22">
        <f>AC59-AE59</f>
        <v>17.962013577416897</v>
      </c>
    </row>
    <row r="60" spans="1:34" x14ac:dyDescent="0.25">
      <c r="A60" s="1">
        <f>DATEVALUE(Sheet1!A59)</f>
        <v>44645</v>
      </c>
      <c r="B60" s="2">
        <f>VALUE(Sheet1!B59)</f>
        <v>96.98</v>
      </c>
      <c r="C60" s="9">
        <f>(B60-B59)/B59</f>
        <v>-2.2379032258064504E-2</v>
      </c>
      <c r="D60" s="2">
        <f>MAX(D59,B60)</f>
        <v>103.9</v>
      </c>
      <c r="E60" s="9">
        <f>(B60-D60)/D60</f>
        <v>-6.660250240615978E-2</v>
      </c>
      <c r="G60" t="s">
        <v>2362</v>
      </c>
      <c r="H60" s="2">
        <f>B278</f>
        <v>85.12</v>
      </c>
      <c r="I60" s="9">
        <f>(H60-H59)/H59</f>
        <v>2.0011771630371006E-3</v>
      </c>
      <c r="J60" s="2">
        <f>MAX(J59,H60)</f>
        <v>103.9</v>
      </c>
      <c r="K60" s="9">
        <f>(H60-J60)/J60</f>
        <v>-0.1807507218479307</v>
      </c>
      <c r="AB60" s="1">
        <f>A60</f>
        <v>44645</v>
      </c>
      <c r="AC60" s="2">
        <f>B60</f>
        <v>96.98</v>
      </c>
      <c r="AD60" s="2">
        <f>58</f>
        <v>58</v>
      </c>
      <c r="AE60" s="2">
        <f>INTERCEPT($AC$3:$AC$1136,$AD$3:$AD$1136)+SLOPE($AC$3:$AC$1136,$AD$3:$AD$1136)*AD60</f>
        <v>81.219274459170649</v>
      </c>
      <c r="AF60" s="2">
        <f t="shared" si="0"/>
        <v>83.870934059573344</v>
      </c>
      <c r="AG60" s="2">
        <f t="shared" si="1"/>
        <v>78.567614858767953</v>
      </c>
      <c r="AH60" s="22">
        <f>AC60-AE60</f>
        <v>15.760725540829355</v>
      </c>
    </row>
    <row r="61" spans="1:34" x14ac:dyDescent="0.25">
      <c r="A61" s="1">
        <f>DATEVALUE(Sheet1!A60)</f>
        <v>44648</v>
      </c>
      <c r="B61" s="2">
        <f>VALUE(Sheet1!B60)</f>
        <v>96.16</v>
      </c>
      <c r="C61" s="9">
        <f>(B61-B60)/B60</f>
        <v>-8.4553516188905688E-3</v>
      </c>
      <c r="D61" s="2">
        <f>MAX(D60,B61)</f>
        <v>103.9</v>
      </c>
      <c r="E61" s="9">
        <f>(B61-D61)/D61</f>
        <v>-7.4494706448508266E-2</v>
      </c>
      <c r="G61" t="s">
        <v>2363</v>
      </c>
      <c r="H61" s="2">
        <f>B283</f>
        <v>85.86</v>
      </c>
      <c r="I61" s="9">
        <f>(H61-H60)/H60</f>
        <v>8.6936090225563298E-3</v>
      </c>
      <c r="J61" s="2">
        <f>MAX(J60,H61)</f>
        <v>103.9</v>
      </c>
      <c r="K61" s="9">
        <f>(H61-J61)/J61</f>
        <v>-0.1736284889316651</v>
      </c>
      <c r="AB61" s="1">
        <f>A61</f>
        <v>44648</v>
      </c>
      <c r="AC61" s="2">
        <f>B61</f>
        <v>96.16</v>
      </c>
      <c r="AD61" s="2">
        <f>59</f>
        <v>59</v>
      </c>
      <c r="AE61" s="2">
        <f>INTERCEPT($AC$3:$AC$1136,$AD$3:$AD$1136)+SLOPE($AC$3:$AC$1136,$AD$3:$AD$1136)*AD61</f>
        <v>81.200562495758206</v>
      </c>
      <c r="AF61" s="2">
        <f t="shared" si="0"/>
        <v>83.852222096160901</v>
      </c>
      <c r="AG61" s="2">
        <f t="shared" si="1"/>
        <v>78.548902895355511</v>
      </c>
      <c r="AH61" s="22">
        <f>AC61-AE61</f>
        <v>14.959437504241791</v>
      </c>
    </row>
    <row r="62" spans="1:34" x14ac:dyDescent="0.25">
      <c r="A62" s="1">
        <f>DATEVALUE(Sheet1!A61)</f>
        <v>44649</v>
      </c>
      <c r="B62" s="2">
        <f>VALUE(Sheet1!B61)</f>
        <v>92.77</v>
      </c>
      <c r="C62" s="9">
        <f>(B62-B61)/B61</f>
        <v>-3.5253743760399345E-2</v>
      </c>
      <c r="D62" s="2">
        <f>MAX(D61,B62)</f>
        <v>103.9</v>
      </c>
      <c r="E62" s="9">
        <f>(B62-D62)/D62</f>
        <v>-0.10712223291626573</v>
      </c>
      <c r="G62" t="s">
        <v>2364</v>
      </c>
      <c r="H62" s="2">
        <f>B287</f>
        <v>85.73</v>
      </c>
      <c r="I62" s="9">
        <f>(H62-H61)/H61</f>
        <v>-1.5140927090612096E-3</v>
      </c>
      <c r="J62" s="2">
        <f>MAX(J61,H62)</f>
        <v>103.9</v>
      </c>
      <c r="K62" s="9">
        <f>(H62-J62)/J62</f>
        <v>-0.17487969201154957</v>
      </c>
      <c r="AB62" s="1">
        <f>A62</f>
        <v>44649</v>
      </c>
      <c r="AC62" s="2">
        <f>B62</f>
        <v>92.77</v>
      </c>
      <c r="AD62" s="2">
        <f>60</f>
        <v>60</v>
      </c>
      <c r="AE62" s="2">
        <f>INTERCEPT($AC$3:$AC$1136,$AD$3:$AD$1136)+SLOPE($AC$3:$AC$1136,$AD$3:$AD$1136)*AD62</f>
        <v>81.181850532345763</v>
      </c>
      <c r="AF62" s="2">
        <f t="shared" si="0"/>
        <v>83.833510132748458</v>
      </c>
      <c r="AG62" s="2">
        <f t="shared" si="1"/>
        <v>78.530190931943068</v>
      </c>
      <c r="AH62" s="22">
        <f>AC62-AE62</f>
        <v>11.588149467654233</v>
      </c>
    </row>
    <row r="63" spans="1:34" x14ac:dyDescent="0.25">
      <c r="A63" s="1">
        <f>DATEVALUE(Sheet1!A62)</f>
        <v>44650</v>
      </c>
      <c r="B63" s="2">
        <f>VALUE(Sheet1!B62)</f>
        <v>92.7</v>
      </c>
      <c r="C63" s="9">
        <f>(B63-B62)/B62</f>
        <v>-7.5455427401092143E-4</v>
      </c>
      <c r="D63" s="2">
        <f>MAX(D62,B63)</f>
        <v>103.9</v>
      </c>
      <c r="E63" s="9">
        <f>(B63-D63)/D63</f>
        <v>-0.10779595765158809</v>
      </c>
      <c r="G63" t="s">
        <v>2365</v>
      </c>
      <c r="H63" s="2">
        <f>B291</f>
        <v>86.4</v>
      </c>
      <c r="I63" s="9">
        <f>(H63-H62)/H62</f>
        <v>7.8152338737898248E-3</v>
      </c>
      <c r="J63" s="2">
        <f>MAX(J62,H63)</f>
        <v>103.9</v>
      </c>
      <c r="K63" s="9">
        <f>(H63-J63)/J63</f>
        <v>-0.16843118383060635</v>
      </c>
      <c r="AB63" s="1">
        <f>A63</f>
        <v>44650</v>
      </c>
      <c r="AC63" s="2">
        <f>B63</f>
        <v>92.7</v>
      </c>
      <c r="AD63" s="2">
        <f>61</f>
        <v>61</v>
      </c>
      <c r="AE63" s="2">
        <f>INTERCEPT($AC$3:$AC$1136,$AD$3:$AD$1136)+SLOPE($AC$3:$AC$1136,$AD$3:$AD$1136)*AD63</f>
        <v>81.163138568933306</v>
      </c>
      <c r="AF63" s="2">
        <f t="shared" si="0"/>
        <v>83.814798169336001</v>
      </c>
      <c r="AG63" s="2">
        <f t="shared" si="1"/>
        <v>78.511478968530611</v>
      </c>
      <c r="AH63" s="22">
        <f>AC63-AE63</f>
        <v>11.536861431066697</v>
      </c>
    </row>
    <row r="64" spans="1:34" x14ac:dyDescent="0.25">
      <c r="A64" s="1">
        <f>DATEVALUE(Sheet1!A63)</f>
        <v>44651</v>
      </c>
      <c r="B64" s="2">
        <f>VALUE(Sheet1!B63)</f>
        <v>93.09</v>
      </c>
      <c r="C64" s="9">
        <f>(B64-B63)/B63</f>
        <v>4.20711974110033E-3</v>
      </c>
      <c r="D64" s="2">
        <f>MAX(D63,B64)</f>
        <v>103.9</v>
      </c>
      <c r="E64" s="9">
        <f>(B64-D64)/D64</f>
        <v>-0.10404234841193456</v>
      </c>
      <c r="G64" t="s">
        <v>2366</v>
      </c>
      <c r="H64" s="2">
        <f>B296</f>
        <v>86.15</v>
      </c>
      <c r="I64" s="9">
        <f>(H64-H63)/H63</f>
        <v>-2.8935185185185184E-3</v>
      </c>
      <c r="J64" s="2">
        <f>MAX(J63,H64)</f>
        <v>103.9</v>
      </c>
      <c r="K64" s="9">
        <f>(H64-J64)/J64</f>
        <v>-0.170837343599615</v>
      </c>
      <c r="AB64" s="1">
        <f>A64</f>
        <v>44651</v>
      </c>
      <c r="AC64" s="2">
        <f>B64</f>
        <v>93.09</v>
      </c>
      <c r="AD64" s="2">
        <f>62</f>
        <v>62</v>
      </c>
      <c r="AE64" s="2">
        <f>INTERCEPT($AC$3:$AC$1136,$AD$3:$AD$1136)+SLOPE($AC$3:$AC$1136,$AD$3:$AD$1136)*AD64</f>
        <v>81.144426605520863</v>
      </c>
      <c r="AF64" s="2">
        <f t="shared" si="0"/>
        <v>83.796086205923558</v>
      </c>
      <c r="AG64" s="2">
        <f t="shared" si="1"/>
        <v>78.492767005118168</v>
      </c>
      <c r="AH64" s="22">
        <f>AC64-AE64</f>
        <v>11.94557339447914</v>
      </c>
    </row>
    <row r="65" spans="1:34" x14ac:dyDescent="0.25">
      <c r="A65" s="1">
        <f>DATEVALUE(Sheet1!A64)</f>
        <v>44652</v>
      </c>
      <c r="B65" s="2">
        <f>VALUE(Sheet1!B64)</f>
        <v>92.04</v>
      </c>
      <c r="C65" s="9">
        <f>(B65-B64)/B64</f>
        <v>-1.1279407025459202E-2</v>
      </c>
      <c r="D65" s="2">
        <f>MAX(D64,B65)</f>
        <v>103.9</v>
      </c>
      <c r="E65" s="9">
        <f>(B65-D65)/D65</f>
        <v>-0.11414821944177092</v>
      </c>
      <c r="G65" t="s">
        <v>2367</v>
      </c>
      <c r="H65" s="2">
        <f>B301</f>
        <v>85.61</v>
      </c>
      <c r="I65" s="9">
        <f>(H65-H64)/H64</f>
        <v>-6.2681369704005365E-3</v>
      </c>
      <c r="J65" s="2">
        <f>MAX(J64,H65)</f>
        <v>103.9</v>
      </c>
      <c r="K65" s="9">
        <f>(H65-J65)/J65</f>
        <v>-0.17603464870067378</v>
      </c>
      <c r="AB65" s="1">
        <f>A65</f>
        <v>44652</v>
      </c>
      <c r="AC65" s="2">
        <f>B65</f>
        <v>92.04</v>
      </c>
      <c r="AD65" s="2">
        <f>63</f>
        <v>63</v>
      </c>
      <c r="AE65" s="2">
        <f>INTERCEPT($AC$3:$AC$1136,$AD$3:$AD$1136)+SLOPE($AC$3:$AC$1136,$AD$3:$AD$1136)*AD65</f>
        <v>81.12571464210842</v>
      </c>
      <c r="AF65" s="2">
        <f t="shared" si="0"/>
        <v>83.777374242511115</v>
      </c>
      <c r="AG65" s="2">
        <f t="shared" si="1"/>
        <v>78.474055041705725</v>
      </c>
      <c r="AH65" s="22">
        <f>AC65-AE65</f>
        <v>10.914285357891586</v>
      </c>
    </row>
    <row r="66" spans="1:34" x14ac:dyDescent="0.25">
      <c r="A66" s="1">
        <f>DATEVALUE(Sheet1!A65)</f>
        <v>44655</v>
      </c>
      <c r="B66" s="2">
        <f>VALUE(Sheet1!B65)</f>
        <v>91.55</v>
      </c>
      <c r="C66" s="9">
        <f>(B66-B65)/B65</f>
        <v>-5.3237722729249136E-3</v>
      </c>
      <c r="D66" s="2">
        <f>MAX(D65,B66)</f>
        <v>103.9</v>
      </c>
      <c r="E66" s="9">
        <f>(B66-D66)/D66</f>
        <v>-0.11886429258902799</v>
      </c>
      <c r="G66" t="s">
        <v>2368</v>
      </c>
      <c r="H66" s="2">
        <f>B306</f>
        <v>84.66</v>
      </c>
      <c r="I66" s="9">
        <f>(H66-H65)/H65</f>
        <v>-1.1096834481953076E-2</v>
      </c>
      <c r="J66" s="2">
        <f>MAX(J65,H66)</f>
        <v>103.9</v>
      </c>
      <c r="K66" s="9">
        <f>(H66-J66)/J66</f>
        <v>-0.18517805582290672</v>
      </c>
      <c r="AB66" s="1">
        <f>A66</f>
        <v>44655</v>
      </c>
      <c r="AC66" s="2">
        <f>B66</f>
        <v>91.55</v>
      </c>
      <c r="AD66" s="2">
        <f>64</f>
        <v>64</v>
      </c>
      <c r="AE66" s="2">
        <f>INTERCEPT($AC$3:$AC$1136,$AD$3:$AD$1136)+SLOPE($AC$3:$AC$1136,$AD$3:$AD$1136)*AD66</f>
        <v>81.107002678695977</v>
      </c>
      <c r="AF66" s="2">
        <f t="shared" si="0"/>
        <v>83.758662279098672</v>
      </c>
      <c r="AG66" s="2">
        <f t="shared" si="1"/>
        <v>78.455343078293282</v>
      </c>
      <c r="AH66" s="22">
        <f>AC66-AE66</f>
        <v>10.44299732130402</v>
      </c>
    </row>
    <row r="67" spans="1:34" x14ac:dyDescent="0.25">
      <c r="A67" s="1">
        <f>DATEVALUE(Sheet1!A66)</f>
        <v>44656</v>
      </c>
      <c r="B67" s="2">
        <f>VALUE(Sheet1!B66)</f>
        <v>90.19</v>
      </c>
      <c r="C67" s="9">
        <f>(B67-B66)/B66</f>
        <v>-1.4855270344074271E-2</v>
      </c>
      <c r="D67" s="2">
        <f>MAX(D66,B67)</f>
        <v>103.9</v>
      </c>
      <c r="E67" s="9">
        <f>(B67-D67)/D67</f>
        <v>-0.13195380173243509</v>
      </c>
      <c r="G67" t="s">
        <v>2369</v>
      </c>
      <c r="H67" s="2">
        <f>B311</f>
        <v>84</v>
      </c>
      <c r="I67" s="9">
        <f>(H67-H66)/H66</f>
        <v>-7.7958894401133549E-3</v>
      </c>
      <c r="J67" s="2">
        <f>MAX(J66,H67)</f>
        <v>103.9</v>
      </c>
      <c r="K67" s="9">
        <f>(H67-J67)/J67</f>
        <v>-0.19153031761308956</v>
      </c>
      <c r="AB67" s="1">
        <f>A67</f>
        <v>44656</v>
      </c>
      <c r="AC67" s="2">
        <f>B67</f>
        <v>90.19</v>
      </c>
      <c r="AD67" s="2">
        <f>65</f>
        <v>65</v>
      </c>
      <c r="AE67" s="2">
        <f>INTERCEPT($AC$3:$AC$1136,$AD$3:$AD$1136)+SLOPE($AC$3:$AC$1136,$AD$3:$AD$1136)*AD67</f>
        <v>81.08829071528352</v>
      </c>
      <c r="AF67" s="2">
        <f t="shared" si="0"/>
        <v>83.739950315686215</v>
      </c>
      <c r="AG67" s="2">
        <f t="shared" si="1"/>
        <v>78.436631114880825</v>
      </c>
      <c r="AH67" s="22">
        <f>AC67-AE67</f>
        <v>9.1017092847164776</v>
      </c>
    </row>
    <row r="68" spans="1:34" x14ac:dyDescent="0.25">
      <c r="A68" s="1">
        <f>DATEVALUE(Sheet1!A67)</f>
        <v>44657</v>
      </c>
      <c r="B68" s="2">
        <f>VALUE(Sheet1!B67)</f>
        <v>89.46</v>
      </c>
      <c r="C68" s="9">
        <f>(B68-B67)/B67</f>
        <v>-8.0940237276860404E-3</v>
      </c>
      <c r="D68" s="2">
        <f>MAX(D67,B68)</f>
        <v>103.9</v>
      </c>
      <c r="E68" s="9">
        <f>(B68-D68)/D68</f>
        <v>-0.13897978825794044</v>
      </c>
      <c r="G68" t="s">
        <v>2370</v>
      </c>
      <c r="H68" s="2">
        <f>B316</f>
        <v>82.4</v>
      </c>
      <c r="I68" s="9">
        <f>(H68-H67)/H67</f>
        <v>-1.904761904761898E-2</v>
      </c>
      <c r="J68" s="2">
        <f>MAX(J67,H68)</f>
        <v>103.9</v>
      </c>
      <c r="K68" s="9">
        <f>(H68-J68)/J68</f>
        <v>-0.20692974013474494</v>
      </c>
      <c r="AB68" s="1">
        <f>A68</f>
        <v>44657</v>
      </c>
      <c r="AC68" s="2">
        <f>B68</f>
        <v>89.46</v>
      </c>
      <c r="AD68" s="2">
        <f>66</f>
        <v>66</v>
      </c>
      <c r="AE68" s="2">
        <f>INTERCEPT($AC$3:$AC$1136,$AD$3:$AD$1136)+SLOPE($AC$3:$AC$1136,$AD$3:$AD$1136)*AD68</f>
        <v>81.069578751871077</v>
      </c>
      <c r="AF68" s="2">
        <f t="shared" ref="AF68:AF131" si="2">AE68+$AJ$5*$AJ$4</f>
        <v>83.721238352273772</v>
      </c>
      <c r="AG68" s="2">
        <f t="shared" ref="AG68:AG131" si="3">AE68-$AJ$5*$AJ$4</f>
        <v>78.417919151468382</v>
      </c>
      <c r="AH68" s="22">
        <f>AC68-AE68</f>
        <v>8.3904212481289164</v>
      </c>
    </row>
    <row r="69" spans="1:34" x14ac:dyDescent="0.25">
      <c r="A69" s="1">
        <f>DATEVALUE(Sheet1!A68)</f>
        <v>44658</v>
      </c>
      <c r="B69" s="2">
        <f>VALUE(Sheet1!B68)</f>
        <v>89.06</v>
      </c>
      <c r="C69" s="9">
        <f>(B69-B68)/B68</f>
        <v>-4.4712720769057848E-3</v>
      </c>
      <c r="D69" s="2">
        <f>MAX(D68,B69)</f>
        <v>103.9</v>
      </c>
      <c r="E69" s="9">
        <f>(B69-D69)/D69</f>
        <v>-0.1428296438883542</v>
      </c>
      <c r="G69" t="s">
        <v>2371</v>
      </c>
      <c r="H69" s="2">
        <f>B320</f>
        <v>79.39</v>
      </c>
      <c r="I69" s="9">
        <f>(H69-H68)/H68</f>
        <v>-3.6529126213592292E-2</v>
      </c>
      <c r="J69" s="2">
        <f>MAX(J68,H69)</f>
        <v>103.9</v>
      </c>
      <c r="K69" s="9">
        <f>(H69-J69)/J69</f>
        <v>-0.23589990375360928</v>
      </c>
      <c r="AB69" s="1">
        <f>A69</f>
        <v>44658</v>
      </c>
      <c r="AC69" s="2">
        <f>B69</f>
        <v>89.06</v>
      </c>
      <c r="AD69" s="2">
        <f>67</f>
        <v>67</v>
      </c>
      <c r="AE69" s="2">
        <f>INTERCEPT($AC$3:$AC$1136,$AD$3:$AD$1136)+SLOPE($AC$3:$AC$1136,$AD$3:$AD$1136)*AD69</f>
        <v>81.050866788458634</v>
      </c>
      <c r="AF69" s="2">
        <f t="shared" si="2"/>
        <v>83.70252638886133</v>
      </c>
      <c r="AG69" s="2">
        <f t="shared" si="3"/>
        <v>78.399207188055939</v>
      </c>
      <c r="AH69" s="22">
        <f>AC69-AE69</f>
        <v>8.0091332115413678</v>
      </c>
    </row>
    <row r="70" spans="1:34" x14ac:dyDescent="0.25">
      <c r="A70" s="1">
        <f>DATEVALUE(Sheet1!A69)</f>
        <v>44659</v>
      </c>
      <c r="B70" s="2">
        <f>VALUE(Sheet1!B69)</f>
        <v>89.02</v>
      </c>
      <c r="C70" s="9">
        <f>(B70-B69)/B69</f>
        <v>-4.4913541432748994E-4</v>
      </c>
      <c r="D70" s="2">
        <f>MAX(D69,B70)</f>
        <v>103.9</v>
      </c>
      <c r="E70" s="9">
        <f>(B70-D70)/D70</f>
        <v>-0.14321462945139565</v>
      </c>
      <c r="G70" t="s">
        <v>2372</v>
      </c>
      <c r="H70" s="2">
        <f>B325</f>
        <v>75.290000000000006</v>
      </c>
      <c r="I70" s="9">
        <f>(H70-H69)/H69</f>
        <v>-5.1643783851870441E-2</v>
      </c>
      <c r="J70" s="2">
        <f>MAX(J69,H70)</f>
        <v>103.9</v>
      </c>
      <c r="K70" s="9">
        <f>(H70-J70)/J70</f>
        <v>-0.27536092396535128</v>
      </c>
      <c r="AB70" s="1">
        <f>A70</f>
        <v>44659</v>
      </c>
      <c r="AC70" s="2">
        <f>B70</f>
        <v>89.02</v>
      </c>
      <c r="AD70" s="2">
        <f>68</f>
        <v>68</v>
      </c>
      <c r="AE70" s="2">
        <f>INTERCEPT($AC$3:$AC$1136,$AD$3:$AD$1136)+SLOPE($AC$3:$AC$1136,$AD$3:$AD$1136)*AD70</f>
        <v>81.032154825046192</v>
      </c>
      <c r="AF70" s="2">
        <f t="shared" si="2"/>
        <v>83.683814425448887</v>
      </c>
      <c r="AG70" s="2">
        <f t="shared" si="3"/>
        <v>78.380495224643496</v>
      </c>
      <c r="AH70" s="22">
        <f>AC70-AE70</f>
        <v>7.9878451749538044</v>
      </c>
    </row>
    <row r="71" spans="1:34" x14ac:dyDescent="0.25">
      <c r="A71" s="1">
        <f>DATEVALUE(Sheet1!A70)</f>
        <v>44662</v>
      </c>
      <c r="B71" s="2">
        <f>VALUE(Sheet1!B70)</f>
        <v>88.9</v>
      </c>
      <c r="C71" s="9">
        <f>(B71-B70)/B70</f>
        <v>-1.3480116827678087E-3</v>
      </c>
      <c r="D71" s="2">
        <f>MAX(D70,B71)</f>
        <v>103.9</v>
      </c>
      <c r="E71" s="9">
        <f>(B71-D71)/D71</f>
        <v>-0.14436958614051973</v>
      </c>
      <c r="G71" t="s">
        <v>2373</v>
      </c>
      <c r="H71" s="2">
        <f>B329</f>
        <v>70.11</v>
      </c>
      <c r="I71" s="9">
        <f>(H71-H70)/H70</f>
        <v>-6.8800637534865275E-2</v>
      </c>
      <c r="J71" s="2">
        <f>MAX(J70,H71)</f>
        <v>103.9</v>
      </c>
      <c r="K71" s="9">
        <f>(H71-J71)/J71</f>
        <v>-0.32521655437921082</v>
      </c>
      <c r="AB71" s="1">
        <f>A71</f>
        <v>44662</v>
      </c>
      <c r="AC71" s="2">
        <f>B71</f>
        <v>88.9</v>
      </c>
      <c r="AD71" s="2">
        <f>69</f>
        <v>69</v>
      </c>
      <c r="AE71" s="2">
        <f>INTERCEPT($AC$3:$AC$1136,$AD$3:$AD$1136)+SLOPE($AC$3:$AC$1136,$AD$3:$AD$1136)*AD71</f>
        <v>81.013442861633735</v>
      </c>
      <c r="AF71" s="2">
        <f t="shared" si="2"/>
        <v>83.66510246203643</v>
      </c>
      <c r="AG71" s="2">
        <f t="shared" si="3"/>
        <v>78.361783261231039</v>
      </c>
      <c r="AH71" s="22">
        <f>AC71-AE71</f>
        <v>7.8865571383662711</v>
      </c>
    </row>
    <row r="72" spans="1:34" x14ac:dyDescent="0.25">
      <c r="A72" s="1">
        <f>DATEVALUE(Sheet1!A71)</f>
        <v>44663</v>
      </c>
      <c r="B72" s="2">
        <f>VALUE(Sheet1!B71)</f>
        <v>88.17</v>
      </c>
      <c r="C72" s="9">
        <f>(B72-B71)/B71</f>
        <v>-8.2114735658043187E-3</v>
      </c>
      <c r="D72" s="2">
        <f>MAX(D71,B72)</f>
        <v>103.9</v>
      </c>
      <c r="E72" s="9">
        <f>(B72-D72)/D72</f>
        <v>-0.15139557266602505</v>
      </c>
      <c r="G72" t="s">
        <v>2374</v>
      </c>
      <c r="H72" s="2">
        <f>B333</f>
        <v>65.61</v>
      </c>
      <c r="I72" s="9">
        <f>(H72-H71)/H71</f>
        <v>-6.4184852374839535E-2</v>
      </c>
      <c r="J72" s="2">
        <f>MAX(J71,H72)</f>
        <v>103.9</v>
      </c>
      <c r="K72" s="9">
        <f>(H72-J72)/J72</f>
        <v>-0.36852743022136675</v>
      </c>
      <c r="AB72" s="1">
        <f>A72</f>
        <v>44663</v>
      </c>
      <c r="AC72" s="2">
        <f>B72</f>
        <v>88.17</v>
      </c>
      <c r="AD72" s="2">
        <f>70</f>
        <v>70</v>
      </c>
      <c r="AE72" s="2">
        <f>INTERCEPT($AC$3:$AC$1136,$AD$3:$AD$1136)+SLOPE($AC$3:$AC$1136,$AD$3:$AD$1136)*AD72</f>
        <v>80.994730898221292</v>
      </c>
      <c r="AF72" s="2">
        <f t="shared" si="2"/>
        <v>83.646390498623987</v>
      </c>
      <c r="AG72" s="2">
        <f t="shared" si="3"/>
        <v>78.343071297818597</v>
      </c>
      <c r="AH72" s="22">
        <f>AC72-AE72</f>
        <v>7.17526910177871</v>
      </c>
    </row>
    <row r="73" spans="1:34" x14ac:dyDescent="0.25">
      <c r="A73" s="1">
        <f>DATEVALUE(Sheet1!A72)</f>
        <v>44664</v>
      </c>
      <c r="B73" s="2">
        <f>VALUE(Sheet1!B72)</f>
        <v>87.56</v>
      </c>
      <c r="C73" s="9">
        <f>(B73-B72)/B72</f>
        <v>-6.9184529885448496E-3</v>
      </c>
      <c r="D73" s="2">
        <f>MAX(D72,B73)</f>
        <v>103.9</v>
      </c>
      <c r="E73" s="9">
        <f>(B73-D73)/D73</f>
        <v>-0.15726660250240618</v>
      </c>
      <c r="G73" t="s">
        <v>2375</v>
      </c>
      <c r="H73" s="2">
        <f>B338</f>
        <v>61.75</v>
      </c>
      <c r="I73" s="9">
        <f>(H73-H72)/H72</f>
        <v>-5.8832495046486806E-2</v>
      </c>
      <c r="J73" s="2">
        <f>MAX(J72,H73)</f>
        <v>103.9</v>
      </c>
      <c r="K73" s="9">
        <f>(H73-J73)/J73</f>
        <v>-0.40567853705486046</v>
      </c>
      <c r="AB73" s="1">
        <f>A73</f>
        <v>44664</v>
      </c>
      <c r="AC73" s="2">
        <f>B73</f>
        <v>87.56</v>
      </c>
      <c r="AD73" s="2">
        <f>71</f>
        <v>71</v>
      </c>
      <c r="AE73" s="2">
        <f>INTERCEPT($AC$3:$AC$1136,$AD$3:$AD$1136)+SLOPE($AC$3:$AC$1136,$AD$3:$AD$1136)*AD73</f>
        <v>80.976018934808849</v>
      </c>
      <c r="AF73" s="2">
        <f t="shared" si="2"/>
        <v>83.627678535211544</v>
      </c>
      <c r="AG73" s="2">
        <f t="shared" si="3"/>
        <v>78.324359334406154</v>
      </c>
      <c r="AH73" s="22">
        <f>AC73-AE73</f>
        <v>6.5839810651911534</v>
      </c>
    </row>
    <row r="74" spans="1:34" x14ac:dyDescent="0.25">
      <c r="A74" s="1">
        <f>DATEVALUE(Sheet1!A73)</f>
        <v>44665</v>
      </c>
      <c r="B74" s="2">
        <f>VALUE(Sheet1!B73)</f>
        <v>87.3</v>
      </c>
      <c r="C74" s="9">
        <f>(B74-B73)/B73</f>
        <v>-2.969392416628656E-3</v>
      </c>
      <c r="D74" s="2">
        <f>MAX(D73,B74)</f>
        <v>103.9</v>
      </c>
      <c r="E74" s="9">
        <f>(B74-D74)/D74</f>
        <v>-0.15976900866217525</v>
      </c>
      <c r="G74" t="s">
        <v>2376</v>
      </c>
      <c r="H74" s="2">
        <f>B343</f>
        <v>58.83</v>
      </c>
      <c r="I74" s="9">
        <f>(H74-H73)/H73</f>
        <v>-4.728744939271258E-2</v>
      </c>
      <c r="J74" s="2">
        <f>MAX(J73,H74)</f>
        <v>103.9</v>
      </c>
      <c r="K74" s="9">
        <f>(H74-J74)/J74</f>
        <v>-0.43378248315688167</v>
      </c>
      <c r="AB74" s="1">
        <f>A74</f>
        <v>44665</v>
      </c>
      <c r="AC74" s="2">
        <f>B74</f>
        <v>87.3</v>
      </c>
      <c r="AD74" s="2">
        <f>72</f>
        <v>72</v>
      </c>
      <c r="AE74" s="2">
        <f>INTERCEPT($AC$3:$AC$1136,$AD$3:$AD$1136)+SLOPE($AC$3:$AC$1136,$AD$3:$AD$1136)*AD74</f>
        <v>80.957306971396392</v>
      </c>
      <c r="AF74" s="2">
        <f t="shared" si="2"/>
        <v>83.608966571799087</v>
      </c>
      <c r="AG74" s="2">
        <f t="shared" si="3"/>
        <v>78.305647370993697</v>
      </c>
      <c r="AH74" s="22">
        <f>AC74-AE74</f>
        <v>6.3426930286036054</v>
      </c>
    </row>
    <row r="75" spans="1:34" x14ac:dyDescent="0.25">
      <c r="A75" s="1">
        <f>DATEVALUE(Sheet1!A74)</f>
        <v>44669</v>
      </c>
      <c r="B75" s="2">
        <f>VALUE(Sheet1!B74)</f>
        <v>87.63</v>
      </c>
      <c r="C75" s="9">
        <f>(B75-B74)/B74</f>
        <v>3.7800687285223173E-3</v>
      </c>
      <c r="D75" s="2">
        <f>MAX(D74,B75)</f>
        <v>103.9</v>
      </c>
      <c r="E75" s="9">
        <f>(B75-D75)/D75</f>
        <v>-0.15659287776708383</v>
      </c>
      <c r="G75" t="s">
        <v>2377</v>
      </c>
      <c r="H75" s="2">
        <f>B348</f>
        <v>55.83</v>
      </c>
      <c r="I75" s="9">
        <f>(H75-H74)/H74</f>
        <v>-5.0994390617032127E-2</v>
      </c>
      <c r="J75" s="2">
        <f>MAX(J74,H75)</f>
        <v>103.9</v>
      </c>
      <c r="K75" s="9">
        <f>(H75-J75)/J75</f>
        <v>-0.46265640038498562</v>
      </c>
      <c r="AB75" s="1">
        <f>A75</f>
        <v>44669</v>
      </c>
      <c r="AC75" s="2">
        <f>B75</f>
        <v>87.63</v>
      </c>
      <c r="AD75" s="2">
        <f>73</f>
        <v>73</v>
      </c>
      <c r="AE75" s="2">
        <f>INTERCEPT($AC$3:$AC$1136,$AD$3:$AD$1136)+SLOPE($AC$3:$AC$1136,$AD$3:$AD$1136)*AD75</f>
        <v>80.938595007983949</v>
      </c>
      <c r="AF75" s="2">
        <f t="shared" si="2"/>
        <v>83.590254608386644</v>
      </c>
      <c r="AG75" s="2">
        <f t="shared" si="3"/>
        <v>78.286935407581254</v>
      </c>
      <c r="AH75" s="22">
        <f>AC75-AE75</f>
        <v>6.6914049920160465</v>
      </c>
    </row>
    <row r="76" spans="1:34" x14ac:dyDescent="0.25">
      <c r="A76" s="1">
        <f>DATEVALUE(Sheet1!A75)</f>
        <v>44670</v>
      </c>
      <c r="B76" s="2">
        <f>VALUE(Sheet1!B75)</f>
        <v>88.03</v>
      </c>
      <c r="C76" s="9">
        <f>(B76-B75)/B75</f>
        <v>4.564646810453106E-3</v>
      </c>
      <c r="D76" s="2">
        <f>MAX(D75,B76)</f>
        <v>103.9</v>
      </c>
      <c r="E76" s="9">
        <f>(B76-D76)/D76</f>
        <v>-0.1527430221366699</v>
      </c>
      <c r="G76" t="s">
        <v>2378</v>
      </c>
      <c r="H76" s="2">
        <f>B353</f>
        <v>54.83</v>
      </c>
      <c r="I76" s="9">
        <f>(H76-H75)/H75</f>
        <v>-1.7911517105498837E-2</v>
      </c>
      <c r="J76" s="2">
        <f>MAX(J75,H76)</f>
        <v>103.9</v>
      </c>
      <c r="K76" s="9">
        <f>(H76-J76)/J76</f>
        <v>-0.47228103946102024</v>
      </c>
      <c r="AB76" s="1">
        <f>A76</f>
        <v>44670</v>
      </c>
      <c r="AC76" s="2">
        <f>B76</f>
        <v>88.03</v>
      </c>
      <c r="AD76" s="2">
        <f>74</f>
        <v>74</v>
      </c>
      <c r="AE76" s="2">
        <f>INTERCEPT($AC$3:$AC$1136,$AD$3:$AD$1136)+SLOPE($AC$3:$AC$1136,$AD$3:$AD$1136)*AD76</f>
        <v>80.919883044571506</v>
      </c>
      <c r="AF76" s="2">
        <f t="shared" si="2"/>
        <v>83.571542644974201</v>
      </c>
      <c r="AG76" s="2">
        <f t="shared" si="3"/>
        <v>78.268223444168811</v>
      </c>
      <c r="AH76" s="22">
        <f>AC76-AE76</f>
        <v>7.1101169554284951</v>
      </c>
    </row>
    <row r="77" spans="1:34" x14ac:dyDescent="0.25">
      <c r="A77" s="1">
        <f>DATEVALUE(Sheet1!A76)</f>
        <v>44671</v>
      </c>
      <c r="B77" s="2">
        <f>VALUE(Sheet1!B76)</f>
        <v>87.87</v>
      </c>
      <c r="C77" s="9">
        <f>(B77-B76)/B76</f>
        <v>-1.8175621947063114E-3</v>
      </c>
      <c r="D77" s="2">
        <f>MAX(D76,B77)</f>
        <v>103.9</v>
      </c>
      <c r="E77" s="9">
        <f>(B77-D77)/D77</f>
        <v>-0.15428296438883543</v>
      </c>
      <c r="G77" t="s">
        <v>2379</v>
      </c>
      <c r="H77" s="2">
        <f>B358</f>
        <v>53.63</v>
      </c>
      <c r="I77" s="9">
        <f>(H77-H76)/H76</f>
        <v>-2.1885828925770488E-2</v>
      </c>
      <c r="J77" s="2">
        <f>MAX(J76,H77)</f>
        <v>103.9</v>
      </c>
      <c r="K77" s="9">
        <f>(H77-J77)/J77</f>
        <v>-0.48383060635226177</v>
      </c>
      <c r="AB77" s="1">
        <f>A77</f>
        <v>44671</v>
      </c>
      <c r="AC77" s="2">
        <f>B77</f>
        <v>87.87</v>
      </c>
      <c r="AD77" s="2">
        <f>75</f>
        <v>75</v>
      </c>
      <c r="AE77" s="2">
        <f>INTERCEPT($AC$3:$AC$1136,$AD$3:$AD$1136)+SLOPE($AC$3:$AC$1136,$AD$3:$AD$1136)*AD77</f>
        <v>80.901171081159063</v>
      </c>
      <c r="AF77" s="2">
        <f t="shared" si="2"/>
        <v>83.552830681561758</v>
      </c>
      <c r="AG77" s="2">
        <f t="shared" si="3"/>
        <v>78.249511480756368</v>
      </c>
      <c r="AH77" s="22">
        <f>AC77-AE77</f>
        <v>6.9688289188409414</v>
      </c>
    </row>
    <row r="78" spans="1:34" x14ac:dyDescent="0.25">
      <c r="A78" s="1">
        <f>DATEVALUE(Sheet1!A77)</f>
        <v>44673</v>
      </c>
      <c r="B78" s="2">
        <f>VALUE(Sheet1!B77)</f>
        <v>87.93</v>
      </c>
      <c r="C78" s="9">
        <f>(B78-B77)/B77</f>
        <v>6.82826903380019E-4</v>
      </c>
      <c r="D78" s="2">
        <f>MAX(D77,B78)</f>
        <v>103.9</v>
      </c>
      <c r="E78" s="9">
        <f>(B78-D78)/D78</f>
        <v>-0.15370548604427331</v>
      </c>
      <c r="G78" t="s">
        <v>2380</v>
      </c>
      <c r="H78" s="2">
        <f>B362</f>
        <v>53.77</v>
      </c>
      <c r="I78" s="9">
        <f>(H78-H77)/H77</f>
        <v>2.6104792093977354E-3</v>
      </c>
      <c r="J78" s="2">
        <f>MAX(J77,H78)</f>
        <v>103.9</v>
      </c>
      <c r="K78" s="9">
        <f>(H78-J78)/J78</f>
        <v>-0.48248315688161691</v>
      </c>
      <c r="AB78" s="1">
        <f>A78</f>
        <v>44673</v>
      </c>
      <c r="AC78" s="2">
        <f>B78</f>
        <v>87.93</v>
      </c>
      <c r="AD78" s="2">
        <f>76</f>
        <v>76</v>
      </c>
      <c r="AE78" s="2">
        <f>INTERCEPT($AC$3:$AC$1136,$AD$3:$AD$1136)+SLOPE($AC$3:$AC$1136,$AD$3:$AD$1136)*AD78</f>
        <v>80.882459117746606</v>
      </c>
      <c r="AF78" s="2">
        <f t="shared" si="2"/>
        <v>83.534118718149301</v>
      </c>
      <c r="AG78" s="2">
        <f t="shared" si="3"/>
        <v>78.230799517343911</v>
      </c>
      <c r="AH78" s="22">
        <f>AC78-AE78</f>
        <v>7.0475408822534007</v>
      </c>
    </row>
    <row r="79" spans="1:34" x14ac:dyDescent="0.25">
      <c r="A79" s="1">
        <f>DATEVALUE(Sheet1!A78)</f>
        <v>44676</v>
      </c>
      <c r="B79" s="2">
        <f>VALUE(Sheet1!B78)</f>
        <v>88.71</v>
      </c>
      <c r="C79" s="9">
        <f>(B79-B78)/B78</f>
        <v>8.870692596383338E-3</v>
      </c>
      <c r="D79" s="2">
        <f>MAX(D78,B79)</f>
        <v>103.9</v>
      </c>
      <c r="E79" s="9">
        <f>(B79-D79)/D79</f>
        <v>-0.14619826756496643</v>
      </c>
      <c r="G79" t="s">
        <v>2381</v>
      </c>
      <c r="H79" s="2">
        <f>B367</f>
        <v>54.47</v>
      </c>
      <c r="I79" s="9">
        <f>(H79-H78)/H78</f>
        <v>1.301841175376596E-2</v>
      </c>
      <c r="J79" s="2">
        <f>MAX(J78,H79)</f>
        <v>103.9</v>
      </c>
      <c r="K79" s="9">
        <f>(H79-J79)/J79</f>
        <v>-0.47574590952839274</v>
      </c>
      <c r="AB79" s="1">
        <f>A79</f>
        <v>44676</v>
      </c>
      <c r="AC79" s="2">
        <f>B79</f>
        <v>88.71</v>
      </c>
      <c r="AD79" s="2">
        <f>77</f>
        <v>77</v>
      </c>
      <c r="AE79" s="2">
        <f>INTERCEPT($AC$3:$AC$1136,$AD$3:$AD$1136)+SLOPE($AC$3:$AC$1136,$AD$3:$AD$1136)*AD79</f>
        <v>80.863747154334163</v>
      </c>
      <c r="AF79" s="2">
        <f t="shared" si="2"/>
        <v>83.515406754736858</v>
      </c>
      <c r="AG79" s="2">
        <f t="shared" si="3"/>
        <v>78.212087553931468</v>
      </c>
      <c r="AH79" s="22">
        <f>AC79-AE79</f>
        <v>7.8462528456658305</v>
      </c>
    </row>
    <row r="80" spans="1:34" x14ac:dyDescent="0.25">
      <c r="A80" s="1">
        <f>DATEVALUE(Sheet1!A79)</f>
        <v>44677</v>
      </c>
      <c r="B80" s="2">
        <f>VALUE(Sheet1!B79)</f>
        <v>88.51</v>
      </c>
      <c r="C80" s="9">
        <f>(B80-B79)/B79</f>
        <v>-2.254537256228031E-3</v>
      </c>
      <c r="D80" s="2">
        <f>MAX(D79,B80)</f>
        <v>103.9</v>
      </c>
      <c r="E80" s="9">
        <f>(B80-D80)/D80</f>
        <v>-0.14812319538017324</v>
      </c>
      <c r="G80" t="s">
        <v>2382</v>
      </c>
      <c r="H80" s="2">
        <f>B372</f>
        <v>57.41</v>
      </c>
      <c r="I80" s="9">
        <f>(H80-H79)/H79</f>
        <v>5.3974664953185196E-2</v>
      </c>
      <c r="J80" s="2">
        <f>MAX(J79,H80)</f>
        <v>103.9</v>
      </c>
      <c r="K80" s="9">
        <f>(H80-J80)/J80</f>
        <v>-0.44744947064485086</v>
      </c>
      <c r="AB80" s="1">
        <f>A80</f>
        <v>44677</v>
      </c>
      <c r="AC80" s="2">
        <f>B80</f>
        <v>88.51</v>
      </c>
      <c r="AD80" s="2">
        <f>78</f>
        <v>78</v>
      </c>
      <c r="AE80" s="2">
        <f>INTERCEPT($AC$3:$AC$1136,$AD$3:$AD$1136)+SLOPE($AC$3:$AC$1136,$AD$3:$AD$1136)*AD80</f>
        <v>80.84503519092172</v>
      </c>
      <c r="AF80" s="2">
        <f t="shared" si="2"/>
        <v>83.496694791324416</v>
      </c>
      <c r="AG80" s="2">
        <f t="shared" si="3"/>
        <v>78.193375590519025</v>
      </c>
      <c r="AH80" s="22">
        <f>AC80-AE80</f>
        <v>7.6649648090782847</v>
      </c>
    </row>
    <row r="81" spans="1:34" x14ac:dyDescent="0.25">
      <c r="A81" s="1">
        <f>DATEVALUE(Sheet1!A80)</f>
        <v>44678</v>
      </c>
      <c r="B81" s="2">
        <f>VALUE(Sheet1!B80)</f>
        <v>88.21</v>
      </c>
      <c r="C81" s="9">
        <f>(B81-B80)/B80</f>
        <v>-3.3894475200543592E-3</v>
      </c>
      <c r="D81" s="2">
        <f>MAX(D80,B81)</f>
        <v>103.9</v>
      </c>
      <c r="E81" s="9">
        <f>(B81-D81)/D81</f>
        <v>-0.15101058710298373</v>
      </c>
      <c r="G81" t="s">
        <v>2383</v>
      </c>
      <c r="H81" s="2">
        <f>B377</f>
        <v>55.53</v>
      </c>
      <c r="I81" s="9">
        <f>(H81-H80)/H80</f>
        <v>-3.2746908204145539E-2</v>
      </c>
      <c r="J81" s="2">
        <f>MAX(J80,H81)</f>
        <v>103.9</v>
      </c>
      <c r="K81" s="9">
        <f>(H81-J81)/J81</f>
        <v>-0.46554379210779595</v>
      </c>
      <c r="AB81" s="1">
        <f>A81</f>
        <v>44678</v>
      </c>
      <c r="AC81" s="2">
        <f>B81</f>
        <v>88.21</v>
      </c>
      <c r="AD81" s="2">
        <f>79</f>
        <v>79</v>
      </c>
      <c r="AE81" s="2">
        <f>INTERCEPT($AC$3:$AC$1136,$AD$3:$AD$1136)+SLOPE($AC$3:$AC$1136,$AD$3:$AD$1136)*AD81</f>
        <v>80.826323227509278</v>
      </c>
      <c r="AF81" s="2">
        <f t="shared" si="2"/>
        <v>83.477982827911973</v>
      </c>
      <c r="AG81" s="2">
        <f t="shared" si="3"/>
        <v>78.174663627106582</v>
      </c>
      <c r="AH81" s="22">
        <f>AC81-AE81</f>
        <v>7.3836767724907162</v>
      </c>
    </row>
    <row r="82" spans="1:34" x14ac:dyDescent="0.25">
      <c r="A82" s="1">
        <f>DATEVALUE(Sheet1!A81)</f>
        <v>44679</v>
      </c>
      <c r="B82" s="2">
        <f>VALUE(Sheet1!B81)</f>
        <v>88.38</v>
      </c>
      <c r="C82" s="9">
        <f>(B82-B81)/B81</f>
        <v>1.9272191361523832E-3</v>
      </c>
      <c r="D82" s="2">
        <f>MAX(D81,B82)</f>
        <v>103.9</v>
      </c>
      <c r="E82" s="9">
        <f>(B82-D82)/D82</f>
        <v>-0.14937439846005784</v>
      </c>
      <c r="G82" t="s">
        <v>2384</v>
      </c>
      <c r="H82" s="2">
        <f>B382</f>
        <v>55.79</v>
      </c>
      <c r="I82" s="9">
        <f>(H82-H81)/H81</f>
        <v>4.6821537907437063E-3</v>
      </c>
      <c r="J82" s="2">
        <f>MAX(J81,H82)</f>
        <v>103.9</v>
      </c>
      <c r="K82" s="9">
        <f>(H82-J82)/J82</f>
        <v>-0.46304138594802696</v>
      </c>
      <c r="AB82" s="1">
        <f>A82</f>
        <v>44679</v>
      </c>
      <c r="AC82" s="2">
        <f>B82</f>
        <v>88.38</v>
      </c>
      <c r="AD82" s="2">
        <f>80</f>
        <v>80</v>
      </c>
      <c r="AE82" s="2">
        <f>INTERCEPT($AC$3:$AC$1136,$AD$3:$AD$1136)+SLOPE($AC$3:$AC$1136,$AD$3:$AD$1136)*AD82</f>
        <v>80.80761126409682</v>
      </c>
      <c r="AF82" s="2">
        <f t="shared" si="2"/>
        <v>83.459270864499516</v>
      </c>
      <c r="AG82" s="2">
        <f t="shared" si="3"/>
        <v>78.155951663694125</v>
      </c>
      <c r="AH82" s="22">
        <f>AC82-AE82</f>
        <v>7.572388735903175</v>
      </c>
    </row>
    <row r="83" spans="1:34" x14ac:dyDescent="0.25">
      <c r="A83" s="1">
        <f>DATEVALUE(Sheet1!A82)</f>
        <v>44680</v>
      </c>
      <c r="B83" s="2">
        <f>VALUE(Sheet1!B82)</f>
        <v>88.25</v>
      </c>
      <c r="C83" s="9">
        <f>(B83-B82)/B82</f>
        <v>-1.4709210228557985E-3</v>
      </c>
      <c r="D83" s="2">
        <f>MAX(D82,B83)</f>
        <v>103.9</v>
      </c>
      <c r="E83" s="9">
        <f>(B83-D83)/D83</f>
        <v>-0.15062560153994231</v>
      </c>
      <c r="G83" t="s">
        <v>2385</v>
      </c>
      <c r="H83" s="2">
        <f>B387</f>
        <v>54.52</v>
      </c>
      <c r="I83" s="9">
        <f>(H83-H82)/H82</f>
        <v>-2.2763936189281162E-2</v>
      </c>
      <c r="J83" s="2">
        <f>MAX(J82,H83)</f>
        <v>103.9</v>
      </c>
      <c r="K83" s="9">
        <f>(H83-J83)/J83</f>
        <v>-0.47526467757459095</v>
      </c>
      <c r="AB83" s="1">
        <f>A83</f>
        <v>44680</v>
      </c>
      <c r="AC83" s="2">
        <f>B83</f>
        <v>88.25</v>
      </c>
      <c r="AD83" s="2">
        <f>81</f>
        <v>81</v>
      </c>
      <c r="AE83" s="2">
        <f>INTERCEPT($AC$3:$AC$1136,$AD$3:$AD$1136)+SLOPE($AC$3:$AC$1136,$AD$3:$AD$1136)*AD83</f>
        <v>80.788899300684378</v>
      </c>
      <c r="AF83" s="2">
        <f t="shared" si="2"/>
        <v>83.440558901087073</v>
      </c>
      <c r="AG83" s="2">
        <f t="shared" si="3"/>
        <v>78.137239700281683</v>
      </c>
      <c r="AH83" s="22">
        <f>AC83-AE83</f>
        <v>7.4611006993156224</v>
      </c>
    </row>
    <row r="84" spans="1:34" x14ac:dyDescent="0.25">
      <c r="A84" s="1">
        <f>DATEVALUE(Sheet1!A83)</f>
        <v>44683</v>
      </c>
      <c r="B84" s="2">
        <f>VALUE(Sheet1!B83)</f>
        <v>87.87</v>
      </c>
      <c r="C84" s="9">
        <f>(B84-B83)/B83</f>
        <v>-4.3059490084985316E-3</v>
      </c>
      <c r="D84" s="2">
        <f>MAX(D83,B84)</f>
        <v>103.9</v>
      </c>
      <c r="E84" s="9">
        <f>(B84-D84)/D84</f>
        <v>-0.15428296438883543</v>
      </c>
      <c r="G84" t="s">
        <v>2386</v>
      </c>
      <c r="H84" s="2">
        <f>B392</f>
        <v>55.06</v>
      </c>
      <c r="I84" s="9">
        <f>(H84-H83)/H83</f>
        <v>9.9046221570065866E-3</v>
      </c>
      <c r="J84" s="2">
        <f>MAX(J83,H84)</f>
        <v>103.9</v>
      </c>
      <c r="K84" s="9">
        <f>(H84-J84)/J84</f>
        <v>-0.47006737247353225</v>
      </c>
      <c r="AB84" s="1">
        <f>A84</f>
        <v>44683</v>
      </c>
      <c r="AC84" s="2">
        <f>B84</f>
        <v>87.87</v>
      </c>
      <c r="AD84" s="2">
        <f>82</f>
        <v>82</v>
      </c>
      <c r="AE84" s="2">
        <f>INTERCEPT($AC$3:$AC$1136,$AD$3:$AD$1136)+SLOPE($AC$3:$AC$1136,$AD$3:$AD$1136)*AD84</f>
        <v>80.770187337271935</v>
      </c>
      <c r="AF84" s="2">
        <f t="shared" si="2"/>
        <v>83.42184693767463</v>
      </c>
      <c r="AG84" s="2">
        <f t="shared" si="3"/>
        <v>78.11852773686924</v>
      </c>
      <c r="AH84" s="22">
        <f>AC84-AE84</f>
        <v>7.0998126627280698</v>
      </c>
    </row>
    <row r="85" spans="1:34" x14ac:dyDescent="0.25">
      <c r="A85" s="1">
        <f>DATEVALUE(Sheet1!A84)</f>
        <v>44684</v>
      </c>
      <c r="B85" s="2">
        <f>VALUE(Sheet1!B84)</f>
        <v>87.6</v>
      </c>
      <c r="C85" s="9">
        <f>(B85-B84)/B84</f>
        <v>-3.0727210652100856E-3</v>
      </c>
      <c r="D85" s="2">
        <f>MAX(D84,B85)</f>
        <v>103.9</v>
      </c>
      <c r="E85" s="9">
        <f>(B85-D85)/D85</f>
        <v>-0.15688161693936487</v>
      </c>
      <c r="G85" t="s">
        <v>2387</v>
      </c>
      <c r="H85" s="2">
        <f>B397</f>
        <v>53.62</v>
      </c>
      <c r="I85" s="9">
        <f>(H85-H84)/H84</f>
        <v>-2.6153287322920538E-2</v>
      </c>
      <c r="J85" s="2">
        <f>MAX(J84,H85)</f>
        <v>103.9</v>
      </c>
      <c r="K85" s="9">
        <f>(H85-J85)/J85</f>
        <v>-0.48392685274302216</v>
      </c>
      <c r="AB85" s="1">
        <f>A85</f>
        <v>44684</v>
      </c>
      <c r="AC85" s="2">
        <f>B85</f>
        <v>87.6</v>
      </c>
      <c r="AD85" s="2">
        <f>83</f>
        <v>83</v>
      </c>
      <c r="AE85" s="2">
        <f>INTERCEPT($AC$3:$AC$1136,$AD$3:$AD$1136)+SLOPE($AC$3:$AC$1136,$AD$3:$AD$1136)*AD85</f>
        <v>80.751475373859478</v>
      </c>
      <c r="AF85" s="2">
        <f t="shared" si="2"/>
        <v>83.403134974262173</v>
      </c>
      <c r="AG85" s="2">
        <f t="shared" si="3"/>
        <v>78.099815773456783</v>
      </c>
      <c r="AH85" s="22">
        <f>AC85-AE85</f>
        <v>6.8485246261405166</v>
      </c>
    </row>
    <row r="86" spans="1:34" x14ac:dyDescent="0.25">
      <c r="A86" s="1">
        <f>DATEVALUE(Sheet1!A85)</f>
        <v>44685</v>
      </c>
      <c r="B86" s="2">
        <f>VALUE(Sheet1!B85)</f>
        <v>87.55</v>
      </c>
      <c r="C86" s="9">
        <f>(B86-B85)/B85</f>
        <v>-5.7077625570773011E-4</v>
      </c>
      <c r="D86" s="2">
        <f>MAX(D85,B86)</f>
        <v>103.9</v>
      </c>
      <c r="E86" s="9">
        <f>(B86-D86)/D86</f>
        <v>-0.15736284889316657</v>
      </c>
      <c r="G86" t="s">
        <v>2388</v>
      </c>
      <c r="H86" s="2">
        <f>B402</f>
        <v>53.13</v>
      </c>
      <c r="I86" s="9">
        <f>(H86-H85)/H85</f>
        <v>-9.1383812010442916E-3</v>
      </c>
      <c r="J86" s="2">
        <f>MAX(J85,H86)</f>
        <v>103.9</v>
      </c>
      <c r="K86" s="9">
        <f>(H86-J86)/J86</f>
        <v>-0.48864292589027913</v>
      </c>
      <c r="AB86" s="1">
        <f>A86</f>
        <v>44685</v>
      </c>
      <c r="AC86" s="2">
        <f>B86</f>
        <v>87.55</v>
      </c>
      <c r="AD86" s="2">
        <f>84</f>
        <v>84</v>
      </c>
      <c r="AE86" s="2">
        <f>INTERCEPT($AC$3:$AC$1136,$AD$3:$AD$1136)+SLOPE($AC$3:$AC$1136,$AD$3:$AD$1136)*AD86</f>
        <v>80.732763410447035</v>
      </c>
      <c r="AF86" s="2">
        <f t="shared" si="2"/>
        <v>83.38442301084973</v>
      </c>
      <c r="AG86" s="2">
        <f t="shared" si="3"/>
        <v>78.08110381004434</v>
      </c>
      <c r="AH86" s="22">
        <f>AC86-AE86</f>
        <v>6.8172365895529623</v>
      </c>
    </row>
    <row r="87" spans="1:34" x14ac:dyDescent="0.25">
      <c r="A87" s="1">
        <f>DATEVALUE(Sheet1!A86)</f>
        <v>44686</v>
      </c>
      <c r="B87" s="2">
        <f>VALUE(Sheet1!B86)</f>
        <v>87.41</v>
      </c>
      <c r="C87" s="9">
        <f>(B87-B86)/B86</f>
        <v>-1.5990862364363286E-3</v>
      </c>
      <c r="D87" s="2">
        <f>MAX(D86,B87)</f>
        <v>103.9</v>
      </c>
      <c r="E87" s="9">
        <f>(B87-D87)/D87</f>
        <v>-0.15871029836381143</v>
      </c>
      <c r="G87" t="s">
        <v>2389</v>
      </c>
      <c r="H87" s="2">
        <f>B407</f>
        <v>53.26</v>
      </c>
      <c r="I87" s="9">
        <f>(H87-H86)/H86</f>
        <v>2.4468285337849696E-3</v>
      </c>
      <c r="J87" s="2">
        <f>MAX(J86,H87)</f>
        <v>103.9</v>
      </c>
      <c r="K87" s="9">
        <f>(H87-J87)/J87</f>
        <v>-0.48739172281039467</v>
      </c>
      <c r="AB87" s="1">
        <f>A87</f>
        <v>44686</v>
      </c>
      <c r="AC87" s="2">
        <f>B87</f>
        <v>87.41</v>
      </c>
      <c r="AD87" s="2">
        <f>85</f>
        <v>85</v>
      </c>
      <c r="AE87" s="2">
        <f>INTERCEPT($AC$3:$AC$1136,$AD$3:$AD$1136)+SLOPE($AC$3:$AC$1136,$AD$3:$AD$1136)*AD87</f>
        <v>80.714051447034592</v>
      </c>
      <c r="AF87" s="2">
        <f t="shared" si="2"/>
        <v>83.365711047437287</v>
      </c>
      <c r="AG87" s="2">
        <f t="shared" si="3"/>
        <v>78.062391846631897</v>
      </c>
      <c r="AH87" s="22">
        <f>AC87-AE87</f>
        <v>6.6959485529654046</v>
      </c>
    </row>
    <row r="88" spans="1:34" x14ac:dyDescent="0.25">
      <c r="A88" s="1">
        <f>DATEVALUE(Sheet1!A87)</f>
        <v>44687</v>
      </c>
      <c r="B88" s="2">
        <f>VALUE(Sheet1!B87)</f>
        <v>86.63</v>
      </c>
      <c r="C88" s="9">
        <f>(B88-B87)/B87</f>
        <v>-8.9234641345383951E-3</v>
      </c>
      <c r="D88" s="2">
        <f>MAX(D87,B88)</f>
        <v>103.9</v>
      </c>
      <c r="E88" s="9">
        <f>(B88-D88)/D88</f>
        <v>-0.16621751684311847</v>
      </c>
      <c r="G88" t="s">
        <v>2390</v>
      </c>
      <c r="H88" s="2">
        <f>B412</f>
        <v>53.65</v>
      </c>
      <c r="I88" s="9">
        <f>(H88-H87)/H87</f>
        <v>7.3225685317311415E-3</v>
      </c>
      <c r="J88" s="2">
        <f>MAX(J87,H88)</f>
        <v>103.9</v>
      </c>
      <c r="K88" s="9">
        <f>(H88-J88)/J88</f>
        <v>-0.48363811357074116</v>
      </c>
      <c r="AB88" s="1">
        <f>A88</f>
        <v>44687</v>
      </c>
      <c r="AC88" s="2">
        <f>B88</f>
        <v>86.63</v>
      </c>
      <c r="AD88" s="2">
        <f>86</f>
        <v>86</v>
      </c>
      <c r="AE88" s="2">
        <f>INTERCEPT($AC$3:$AC$1136,$AD$3:$AD$1136)+SLOPE($AC$3:$AC$1136,$AD$3:$AD$1136)*AD88</f>
        <v>80.695339483622149</v>
      </c>
      <c r="AF88" s="2">
        <f t="shared" si="2"/>
        <v>83.346999084024844</v>
      </c>
      <c r="AG88" s="2">
        <f t="shared" si="3"/>
        <v>78.043679883219454</v>
      </c>
      <c r="AH88" s="22">
        <f>AC88-AE88</f>
        <v>5.9346605163778463</v>
      </c>
    </row>
    <row r="89" spans="1:34" x14ac:dyDescent="0.25">
      <c r="A89" s="1">
        <f>DATEVALUE(Sheet1!A88)</f>
        <v>44690</v>
      </c>
      <c r="B89" s="2">
        <f>VALUE(Sheet1!B88)</f>
        <v>86.15</v>
      </c>
      <c r="C89" s="9">
        <f>(B89-B88)/B88</f>
        <v>-5.5408057254991315E-3</v>
      </c>
      <c r="D89" s="2">
        <f>MAX(D88,B89)</f>
        <v>103.9</v>
      </c>
      <c r="E89" s="9">
        <f>(B89-D89)/D89</f>
        <v>-0.170837343599615</v>
      </c>
      <c r="G89" t="s">
        <v>2391</v>
      </c>
      <c r="H89" s="2">
        <f>B417</f>
        <v>53.44</v>
      </c>
      <c r="I89" s="9">
        <f>(H89-H88)/H88</f>
        <v>-3.9142590866728961E-3</v>
      </c>
      <c r="J89" s="2">
        <f>MAX(J88,H89)</f>
        <v>103.9</v>
      </c>
      <c r="K89" s="9">
        <f>(H89-J89)/J89</f>
        <v>-0.48565928777670841</v>
      </c>
      <c r="AB89" s="1">
        <f>A89</f>
        <v>44690</v>
      </c>
      <c r="AC89" s="2">
        <f>B89</f>
        <v>86.15</v>
      </c>
      <c r="AD89" s="2">
        <f>87</f>
        <v>87</v>
      </c>
      <c r="AE89" s="2">
        <f>INTERCEPT($AC$3:$AC$1136,$AD$3:$AD$1136)+SLOPE($AC$3:$AC$1136,$AD$3:$AD$1136)*AD89</f>
        <v>80.676627520209692</v>
      </c>
      <c r="AF89" s="2">
        <f t="shared" si="2"/>
        <v>83.328287120612387</v>
      </c>
      <c r="AG89" s="2">
        <f t="shared" si="3"/>
        <v>78.024967919806997</v>
      </c>
      <c r="AH89" s="22">
        <f>AC89-AE89</f>
        <v>5.4733724797903136</v>
      </c>
    </row>
    <row r="90" spans="1:34" x14ac:dyDescent="0.25">
      <c r="A90" s="1">
        <f>DATEVALUE(Sheet1!A89)</f>
        <v>44691</v>
      </c>
      <c r="B90" s="2">
        <f>VALUE(Sheet1!B89)</f>
        <v>85.83</v>
      </c>
      <c r="C90" s="9">
        <f>(B90-B89)/B89</f>
        <v>-3.7144515380151755E-3</v>
      </c>
      <c r="D90" s="2">
        <f>MAX(D89,B90)</f>
        <v>103.9</v>
      </c>
      <c r="E90" s="9">
        <f>(B90-D90)/D90</f>
        <v>-0.17391722810394616</v>
      </c>
      <c r="G90" t="s">
        <v>2392</v>
      </c>
      <c r="H90" s="2">
        <f>B422</f>
        <v>53.82</v>
      </c>
      <c r="I90" s="9">
        <f>(H90-H89)/H89</f>
        <v>7.1107784431138207E-3</v>
      </c>
      <c r="J90" s="2">
        <f>MAX(J89,H90)</f>
        <v>103.9</v>
      </c>
      <c r="K90" s="9">
        <f>(H90-J90)/J90</f>
        <v>-0.48200192492781524</v>
      </c>
      <c r="AB90" s="1">
        <f>A90</f>
        <v>44691</v>
      </c>
      <c r="AC90" s="2">
        <f>B90</f>
        <v>85.83</v>
      </c>
      <c r="AD90" s="2">
        <f>88</f>
        <v>88</v>
      </c>
      <c r="AE90" s="2">
        <f>INTERCEPT($AC$3:$AC$1136,$AD$3:$AD$1136)+SLOPE($AC$3:$AC$1136,$AD$3:$AD$1136)*AD90</f>
        <v>80.657915556797249</v>
      </c>
      <c r="AF90" s="2">
        <f t="shared" si="2"/>
        <v>83.309575157199944</v>
      </c>
      <c r="AG90" s="2">
        <f t="shared" si="3"/>
        <v>78.006255956394554</v>
      </c>
      <c r="AH90" s="22">
        <f>AC90-AE90</f>
        <v>5.1720844432027491</v>
      </c>
    </row>
    <row r="91" spans="1:34" x14ac:dyDescent="0.25">
      <c r="A91" s="1">
        <f>DATEVALUE(Sheet1!A90)</f>
        <v>44692</v>
      </c>
      <c r="B91" s="2">
        <f>VALUE(Sheet1!B90)</f>
        <v>86.08</v>
      </c>
      <c r="C91" s="9">
        <f>(B91-B90)/B90</f>
        <v>2.9127344751252475E-3</v>
      </c>
      <c r="D91" s="2">
        <f>MAX(D90,B91)</f>
        <v>103.9</v>
      </c>
      <c r="E91" s="9">
        <f>(B91-D91)/D91</f>
        <v>-0.17151106833493751</v>
      </c>
      <c r="G91" t="s">
        <v>2393</v>
      </c>
      <c r="H91" s="2">
        <f>B426</f>
        <v>53.82</v>
      </c>
      <c r="I91" s="9">
        <f>(H91-H90)/H90</f>
        <v>0</v>
      </c>
      <c r="J91" s="2">
        <f>MAX(J90,H91)</f>
        <v>103.9</v>
      </c>
      <c r="K91" s="9">
        <f>(H91-J91)/J91</f>
        <v>-0.48200192492781524</v>
      </c>
      <c r="AB91" s="1">
        <f>A91</f>
        <v>44692</v>
      </c>
      <c r="AC91" s="2">
        <f>B91</f>
        <v>86.08</v>
      </c>
      <c r="AD91" s="2">
        <f>89</f>
        <v>89</v>
      </c>
      <c r="AE91" s="2">
        <f>INTERCEPT($AC$3:$AC$1136,$AD$3:$AD$1136)+SLOPE($AC$3:$AC$1136,$AD$3:$AD$1136)*AD91</f>
        <v>80.639203593384806</v>
      </c>
      <c r="AF91" s="2">
        <f t="shared" si="2"/>
        <v>83.290863193787501</v>
      </c>
      <c r="AG91" s="2">
        <f t="shared" si="3"/>
        <v>77.987543992982111</v>
      </c>
      <c r="AH91" s="22">
        <f>AC91-AE91</f>
        <v>5.4407964066151919</v>
      </c>
    </row>
    <row r="92" spans="1:34" x14ac:dyDescent="0.25">
      <c r="A92" s="1">
        <f>DATEVALUE(Sheet1!A91)</f>
        <v>44693</v>
      </c>
      <c r="B92" s="2">
        <f>VALUE(Sheet1!B91)</f>
        <v>86.4</v>
      </c>
      <c r="C92" s="9">
        <f>(B92-B91)/B91</f>
        <v>3.7174721189591939E-3</v>
      </c>
      <c r="D92" s="2">
        <f>MAX(D91,B92)</f>
        <v>103.9</v>
      </c>
      <c r="E92" s="9">
        <f>(B92-D92)/D92</f>
        <v>-0.16843118383060635</v>
      </c>
      <c r="G92" t="s">
        <v>2394</v>
      </c>
      <c r="H92" s="2">
        <f>B431</f>
        <v>53.82</v>
      </c>
      <c r="I92" s="9">
        <f>(H92-H91)/H91</f>
        <v>0</v>
      </c>
      <c r="J92" s="2">
        <f>MAX(J91,H92)</f>
        <v>103.9</v>
      </c>
      <c r="K92" s="9">
        <f>(H92-J92)/J92</f>
        <v>-0.48200192492781524</v>
      </c>
      <c r="AB92" s="1">
        <f>A92</f>
        <v>44693</v>
      </c>
      <c r="AC92" s="2">
        <f>B92</f>
        <v>86.4</v>
      </c>
      <c r="AD92" s="2">
        <f>90</f>
        <v>90</v>
      </c>
      <c r="AE92" s="2">
        <f>INTERCEPT($AC$3:$AC$1136,$AD$3:$AD$1136)+SLOPE($AC$3:$AC$1136,$AD$3:$AD$1136)*AD92</f>
        <v>80.620491629972364</v>
      </c>
      <c r="AF92" s="2">
        <f t="shared" si="2"/>
        <v>83.272151230375059</v>
      </c>
      <c r="AG92" s="2">
        <f t="shared" si="3"/>
        <v>77.968832029569668</v>
      </c>
      <c r="AH92" s="22">
        <f>AC92-AE92</f>
        <v>5.7795083700276422</v>
      </c>
    </row>
    <row r="93" spans="1:34" x14ac:dyDescent="0.25">
      <c r="A93" s="1">
        <f>DATEVALUE(Sheet1!A92)</f>
        <v>44694</v>
      </c>
      <c r="B93" s="2">
        <f>VALUE(Sheet1!B92)</f>
        <v>86.54</v>
      </c>
      <c r="C93" s="9">
        <f>(B93-B92)/B92</f>
        <v>1.6203703703703768E-3</v>
      </c>
      <c r="D93" s="2">
        <f>MAX(D92,B93)</f>
        <v>103.9</v>
      </c>
      <c r="E93" s="9">
        <f>(B93-D93)/D93</f>
        <v>-0.16708373435996149</v>
      </c>
      <c r="G93" t="s">
        <v>2395</v>
      </c>
      <c r="H93" s="2">
        <f>B436</f>
        <v>55.73</v>
      </c>
      <c r="I93" s="9">
        <f>(H93-H92)/H92</f>
        <v>3.5488665923448466E-2</v>
      </c>
      <c r="J93" s="2">
        <f>MAX(J92,H93)</f>
        <v>103.9</v>
      </c>
      <c r="K93" s="9">
        <f>(H93-J93)/J93</f>
        <v>-0.46361886429258908</v>
      </c>
      <c r="AB93" s="1">
        <f>A93</f>
        <v>44694</v>
      </c>
      <c r="AC93" s="2">
        <f>B93</f>
        <v>86.54</v>
      </c>
      <c r="AD93" s="2">
        <f>91</f>
        <v>91</v>
      </c>
      <c r="AE93" s="2">
        <f>INTERCEPT($AC$3:$AC$1136,$AD$3:$AD$1136)+SLOPE($AC$3:$AC$1136,$AD$3:$AD$1136)*AD93</f>
        <v>80.601779666559906</v>
      </c>
      <c r="AF93" s="2">
        <f t="shared" si="2"/>
        <v>83.253439266962602</v>
      </c>
      <c r="AG93" s="2">
        <f t="shared" si="3"/>
        <v>77.950120066157211</v>
      </c>
      <c r="AH93" s="22">
        <f>AC93-AE93</f>
        <v>5.9382203334400998</v>
      </c>
    </row>
    <row r="94" spans="1:34" x14ac:dyDescent="0.25">
      <c r="A94" s="1">
        <f>DATEVALUE(Sheet1!A93)</f>
        <v>44697</v>
      </c>
      <c r="B94" s="2">
        <f>VALUE(Sheet1!B93)</f>
        <v>87.97</v>
      </c>
      <c r="C94" s="9">
        <f>(B94-B93)/B93</f>
        <v>1.6524150681765572E-2</v>
      </c>
      <c r="D94" s="2">
        <f>MAX(D93,B94)</f>
        <v>103.9</v>
      </c>
      <c r="E94" s="9">
        <f>(B94-D94)/D94</f>
        <v>-0.15332050048123202</v>
      </c>
      <c r="G94" t="s">
        <v>2396</v>
      </c>
      <c r="H94" s="2">
        <f>B441</f>
        <v>58.08</v>
      </c>
      <c r="I94" s="9">
        <f>(H94-H93)/H93</f>
        <v>4.216759375560742E-2</v>
      </c>
      <c r="J94" s="2">
        <f>MAX(J93,H94)</f>
        <v>103.9</v>
      </c>
      <c r="K94" s="9">
        <f>(H94-J94)/J94</f>
        <v>-0.44100096246390763</v>
      </c>
      <c r="AB94" s="1">
        <f>A94</f>
        <v>44697</v>
      </c>
      <c r="AC94" s="2">
        <f>B94</f>
        <v>87.97</v>
      </c>
      <c r="AD94" s="2">
        <f>92</f>
        <v>92</v>
      </c>
      <c r="AE94" s="2">
        <f>INTERCEPT($AC$3:$AC$1136,$AD$3:$AD$1136)+SLOPE($AC$3:$AC$1136,$AD$3:$AD$1136)*AD94</f>
        <v>80.583067703147464</v>
      </c>
      <c r="AF94" s="2">
        <f t="shared" si="2"/>
        <v>83.234727303550159</v>
      </c>
      <c r="AG94" s="2">
        <f t="shared" si="3"/>
        <v>77.931408102744768</v>
      </c>
      <c r="AH94" s="22">
        <f>AC94-AE94</f>
        <v>7.3869322968525353</v>
      </c>
    </row>
    <row r="95" spans="1:34" x14ac:dyDescent="0.25">
      <c r="A95" s="1">
        <f>DATEVALUE(Sheet1!A94)</f>
        <v>44698</v>
      </c>
      <c r="B95" s="2">
        <f>VALUE(Sheet1!B94)</f>
        <v>89.09</v>
      </c>
      <c r="C95" s="9">
        <f>(B95-B94)/B94</f>
        <v>1.2731613049903428E-2</v>
      </c>
      <c r="D95" s="2">
        <f>MAX(D94,B95)</f>
        <v>103.9</v>
      </c>
      <c r="E95" s="9">
        <f>(B95-D95)/D95</f>
        <v>-0.14254090471607317</v>
      </c>
      <c r="G95" t="s">
        <v>2397</v>
      </c>
      <c r="H95" s="2">
        <f>B446</f>
        <v>59.96</v>
      </c>
      <c r="I95" s="9">
        <f>(H95-H94)/H94</f>
        <v>3.2369146005509684E-2</v>
      </c>
      <c r="J95" s="2">
        <f>MAX(J94,H95)</f>
        <v>103.9</v>
      </c>
      <c r="K95" s="9">
        <f>(H95-J95)/J95</f>
        <v>-0.42290664100096248</v>
      </c>
      <c r="AB95" s="1">
        <f>A95</f>
        <v>44698</v>
      </c>
      <c r="AC95" s="2">
        <f>B95</f>
        <v>89.09</v>
      </c>
      <c r="AD95" s="2">
        <f>93</f>
        <v>93</v>
      </c>
      <c r="AE95" s="2">
        <f>INTERCEPT($AC$3:$AC$1136,$AD$3:$AD$1136)+SLOPE($AC$3:$AC$1136,$AD$3:$AD$1136)*AD95</f>
        <v>80.564355739735021</v>
      </c>
      <c r="AF95" s="2">
        <f t="shared" si="2"/>
        <v>83.216015340137716</v>
      </c>
      <c r="AG95" s="2">
        <f t="shared" si="3"/>
        <v>77.912696139332326</v>
      </c>
      <c r="AH95" s="22">
        <f>AC95-AE95</f>
        <v>8.5256442602649827</v>
      </c>
    </row>
    <row r="96" spans="1:34" x14ac:dyDescent="0.25">
      <c r="A96" s="1">
        <f>DATEVALUE(Sheet1!A95)</f>
        <v>44699</v>
      </c>
      <c r="B96" s="2">
        <f>VALUE(Sheet1!B95)</f>
        <v>89.28</v>
      </c>
      <c r="C96" s="9">
        <f>(B96-B95)/B95</f>
        <v>2.1326748232124563E-3</v>
      </c>
      <c r="D96" s="2">
        <f>MAX(D95,B96)</f>
        <v>103.9</v>
      </c>
      <c r="E96" s="9">
        <f>(B96-D96)/D96</f>
        <v>-0.14071222329162661</v>
      </c>
      <c r="G96" t="s">
        <v>2398</v>
      </c>
      <c r="H96" s="2">
        <f>B450</f>
        <v>59.42</v>
      </c>
      <c r="I96" s="9">
        <f>(H96-H95)/H95</f>
        <v>-9.0060040026684312E-3</v>
      </c>
      <c r="J96" s="2">
        <f>MAX(J95,H96)</f>
        <v>103.9</v>
      </c>
      <c r="K96" s="9">
        <f>(H96-J96)/J96</f>
        <v>-0.42810394610202118</v>
      </c>
      <c r="AB96" s="1">
        <f>A96</f>
        <v>44699</v>
      </c>
      <c r="AC96" s="2">
        <f>B96</f>
        <v>89.28</v>
      </c>
      <c r="AD96" s="2">
        <f>94</f>
        <v>94</v>
      </c>
      <c r="AE96" s="2">
        <f>INTERCEPT($AC$3:$AC$1136,$AD$3:$AD$1136)+SLOPE($AC$3:$AC$1136,$AD$3:$AD$1136)*AD96</f>
        <v>80.545643776322564</v>
      </c>
      <c r="AF96" s="2">
        <f t="shared" si="2"/>
        <v>83.197303376725259</v>
      </c>
      <c r="AG96" s="2">
        <f t="shared" si="3"/>
        <v>77.893984175919869</v>
      </c>
      <c r="AH96" s="22">
        <f>AC96-AE96</f>
        <v>8.7343562236774375</v>
      </c>
    </row>
    <row r="97" spans="1:34" x14ac:dyDescent="0.25">
      <c r="A97" s="1">
        <f>DATEVALUE(Sheet1!A96)</f>
        <v>44700</v>
      </c>
      <c r="B97" s="2">
        <f>VALUE(Sheet1!B96)</f>
        <v>89.23</v>
      </c>
      <c r="C97" s="9">
        <f>(B97-B96)/B96</f>
        <v>-5.6003584229387502E-4</v>
      </c>
      <c r="D97" s="2">
        <f>MAX(D96,B97)</f>
        <v>103.9</v>
      </c>
      <c r="E97" s="9">
        <f>(B97-D97)/D97</f>
        <v>-0.14119345524542831</v>
      </c>
      <c r="G97" t="s">
        <v>2399</v>
      </c>
      <c r="H97" s="2">
        <f>B455</f>
        <v>59</v>
      </c>
      <c r="I97" s="9">
        <f>(H97-H96)/H96</f>
        <v>-7.0683271625715536E-3</v>
      </c>
      <c r="J97" s="2">
        <f>MAX(J96,H97)</f>
        <v>103.9</v>
      </c>
      <c r="K97" s="9">
        <f>(H97-J97)/J97</f>
        <v>-0.43214629451395575</v>
      </c>
      <c r="AB97" s="1">
        <f>A97</f>
        <v>44700</v>
      </c>
      <c r="AC97" s="2">
        <f>B97</f>
        <v>89.23</v>
      </c>
      <c r="AD97" s="2">
        <f>95</f>
        <v>95</v>
      </c>
      <c r="AE97" s="2">
        <f>INTERCEPT($AC$3:$AC$1136,$AD$3:$AD$1136)+SLOPE($AC$3:$AC$1136,$AD$3:$AD$1136)*AD97</f>
        <v>80.526931812910121</v>
      </c>
      <c r="AF97" s="2">
        <f t="shared" si="2"/>
        <v>83.178591413312816</v>
      </c>
      <c r="AG97" s="2">
        <f t="shared" si="3"/>
        <v>77.875272212507426</v>
      </c>
      <c r="AH97" s="22">
        <f>AC97-AE97</f>
        <v>8.7030681870898832</v>
      </c>
    </row>
    <row r="98" spans="1:34" x14ac:dyDescent="0.25">
      <c r="A98" s="1">
        <f>DATEVALUE(Sheet1!A97)</f>
        <v>44701</v>
      </c>
      <c r="B98" s="2">
        <f>VALUE(Sheet1!B97)</f>
        <v>88.48</v>
      </c>
      <c r="C98" s="9">
        <f>(B98-B97)/B97</f>
        <v>-8.4052448728006279E-3</v>
      </c>
      <c r="D98" s="2">
        <f>MAX(D97,B98)</f>
        <v>103.9</v>
      </c>
      <c r="E98" s="9">
        <f>(B98-D98)/D98</f>
        <v>-0.1484119345524543</v>
      </c>
      <c r="G98" t="s">
        <v>2400</v>
      </c>
      <c r="H98" s="2">
        <f>B460</f>
        <v>59.25</v>
      </c>
      <c r="I98" s="9">
        <f>(H98-H97)/H97</f>
        <v>4.2372881355932203E-3</v>
      </c>
      <c r="J98" s="2">
        <f>MAX(J97,H98)</f>
        <v>103.9</v>
      </c>
      <c r="K98" s="9">
        <f>(H98-J98)/J98</f>
        <v>-0.4297401347449471</v>
      </c>
      <c r="AB98" s="1">
        <f>A98</f>
        <v>44701</v>
      </c>
      <c r="AC98" s="2">
        <f>B98</f>
        <v>88.48</v>
      </c>
      <c r="AD98" s="2">
        <f>96</f>
        <v>96</v>
      </c>
      <c r="AE98" s="2">
        <f>INTERCEPT($AC$3:$AC$1136,$AD$3:$AD$1136)+SLOPE($AC$3:$AC$1136,$AD$3:$AD$1136)*AD98</f>
        <v>80.508219849497678</v>
      </c>
      <c r="AF98" s="2">
        <f t="shared" si="2"/>
        <v>83.159879449900373</v>
      </c>
      <c r="AG98" s="2">
        <f t="shared" si="3"/>
        <v>77.856560249094983</v>
      </c>
      <c r="AH98" s="22">
        <f>AC98-AE98</f>
        <v>7.971780150502326</v>
      </c>
    </row>
    <row r="99" spans="1:34" x14ac:dyDescent="0.25">
      <c r="A99" s="1">
        <f>DATEVALUE(Sheet1!A98)</f>
        <v>44704</v>
      </c>
      <c r="B99" s="2">
        <f>VALUE(Sheet1!B98)</f>
        <v>88.03</v>
      </c>
      <c r="C99" s="9">
        <f>(B99-B98)/B98</f>
        <v>-5.0858951175407193E-3</v>
      </c>
      <c r="D99" s="2">
        <f>MAX(D98,B99)</f>
        <v>103.9</v>
      </c>
      <c r="E99" s="9">
        <f>(B99-D99)/D99</f>
        <v>-0.1527430221366699</v>
      </c>
      <c r="G99" t="s">
        <v>2401</v>
      </c>
      <c r="H99" s="2">
        <f>B464</f>
        <v>60.05</v>
      </c>
      <c r="I99" s="9">
        <f>(H99-H98)/H98</f>
        <v>1.3502109704641302E-2</v>
      </c>
      <c r="J99" s="2">
        <f>MAX(J98,H99)</f>
        <v>103.9</v>
      </c>
      <c r="K99" s="9">
        <f>(H99-J99)/J99</f>
        <v>-0.42204042348411941</v>
      </c>
      <c r="AB99" s="1">
        <f>A99</f>
        <v>44704</v>
      </c>
      <c r="AC99" s="2">
        <f>B99</f>
        <v>88.03</v>
      </c>
      <c r="AD99" s="2">
        <f>97</f>
        <v>97</v>
      </c>
      <c r="AE99" s="2">
        <f>INTERCEPT($AC$3:$AC$1136,$AD$3:$AD$1136)+SLOPE($AC$3:$AC$1136,$AD$3:$AD$1136)*AD99</f>
        <v>80.489507886085235</v>
      </c>
      <c r="AF99" s="2">
        <f t="shared" si="2"/>
        <v>83.14116748648793</v>
      </c>
      <c r="AG99" s="2">
        <f t="shared" si="3"/>
        <v>77.83784828568254</v>
      </c>
      <c r="AH99" s="22">
        <f>AC99-AE99</f>
        <v>7.540492113914766</v>
      </c>
    </row>
    <row r="100" spans="1:34" x14ac:dyDescent="0.25">
      <c r="A100" s="1">
        <f>DATEVALUE(Sheet1!A99)</f>
        <v>44705</v>
      </c>
      <c r="B100" s="2">
        <f>VALUE(Sheet1!B99)</f>
        <v>87.43</v>
      </c>
      <c r="C100" s="9">
        <f>(B100-B99)/B99</f>
        <v>-6.8158582301487483E-3</v>
      </c>
      <c r="D100" s="2">
        <f>MAX(D99,B100)</f>
        <v>103.9</v>
      </c>
      <c r="E100" s="9">
        <f>(B100-D100)/D100</f>
        <v>-0.15851780558229064</v>
      </c>
      <c r="G100" t="s">
        <v>2402</v>
      </c>
      <c r="H100" s="2">
        <f>B469</f>
        <v>59.67</v>
      </c>
      <c r="I100" s="9">
        <f>(H100-H99)/H99</f>
        <v>-6.3280599500415563E-3</v>
      </c>
      <c r="J100" s="2">
        <f>MAX(J99,H100)</f>
        <v>103.9</v>
      </c>
      <c r="K100" s="9">
        <f>(H100-J100)/J100</f>
        <v>-0.42569778633301253</v>
      </c>
      <c r="AB100" s="1">
        <f>A100</f>
        <v>44705</v>
      </c>
      <c r="AC100" s="2">
        <f>B100</f>
        <v>87.43</v>
      </c>
      <c r="AD100" s="2">
        <f>98</f>
        <v>98</v>
      </c>
      <c r="AE100" s="2">
        <f>INTERCEPT($AC$3:$AC$1136,$AD$3:$AD$1136)+SLOPE($AC$3:$AC$1136,$AD$3:$AD$1136)*AD100</f>
        <v>80.470795922672778</v>
      </c>
      <c r="AF100" s="2">
        <f t="shared" si="2"/>
        <v>83.122455523075473</v>
      </c>
      <c r="AG100" s="2">
        <f t="shared" si="3"/>
        <v>77.819136322270083</v>
      </c>
      <c r="AH100" s="22">
        <f>AC100-AE100</f>
        <v>6.9592040773272288</v>
      </c>
    </row>
    <row r="101" spans="1:34" x14ac:dyDescent="0.25">
      <c r="A101" s="1">
        <f>DATEVALUE(Sheet1!A100)</f>
        <v>44706</v>
      </c>
      <c r="B101" s="2">
        <f>VALUE(Sheet1!B100)</f>
        <v>87.33</v>
      </c>
      <c r="C101" s="9">
        <f>(B101-B100)/B100</f>
        <v>-1.1437721605857087E-3</v>
      </c>
      <c r="D101" s="2">
        <f>MAX(D100,B101)</f>
        <v>103.9</v>
      </c>
      <c r="E101" s="9">
        <f>(B101-D101)/D101</f>
        <v>-0.15948026948989419</v>
      </c>
      <c r="G101" t="s">
        <v>2403</v>
      </c>
      <c r="H101" s="2">
        <f>B473</f>
        <v>60.76</v>
      </c>
      <c r="I101" s="9">
        <f>(H101-H100)/H100</f>
        <v>1.8267135914194675E-2</v>
      </c>
      <c r="J101" s="2">
        <f>MAX(J100,H101)</f>
        <v>103.9</v>
      </c>
      <c r="K101" s="9">
        <f>(H101-J101)/J101</f>
        <v>-0.41520692974013479</v>
      </c>
      <c r="AB101" s="1">
        <f>A101</f>
        <v>44706</v>
      </c>
      <c r="AC101" s="2">
        <f>B101</f>
        <v>87.33</v>
      </c>
      <c r="AD101" s="2">
        <f>99</f>
        <v>99</v>
      </c>
      <c r="AE101" s="2">
        <f>INTERCEPT($AC$3:$AC$1136,$AD$3:$AD$1136)+SLOPE($AC$3:$AC$1136,$AD$3:$AD$1136)*AD101</f>
        <v>80.452083959260335</v>
      </c>
      <c r="AF101" s="2">
        <f t="shared" si="2"/>
        <v>83.10374355966303</v>
      </c>
      <c r="AG101" s="2">
        <f t="shared" si="3"/>
        <v>77.80042435885764</v>
      </c>
      <c r="AH101" s="22">
        <f>AC101-AE101</f>
        <v>6.8779160407396631</v>
      </c>
    </row>
    <row r="102" spans="1:34" x14ac:dyDescent="0.25">
      <c r="A102" s="1">
        <f>DATEVALUE(Sheet1!A101)</f>
        <v>44707</v>
      </c>
      <c r="B102" s="2">
        <f>VALUE(Sheet1!B101)</f>
        <v>86.99</v>
      </c>
      <c r="C102" s="9">
        <f>(B102-B101)/B101</f>
        <v>-3.8932783694034514E-3</v>
      </c>
      <c r="D102" s="2">
        <f>MAX(D101,B102)</f>
        <v>103.9</v>
      </c>
      <c r="E102" s="9">
        <f>(B102-D102)/D102</f>
        <v>-0.162752646775746</v>
      </c>
      <c r="G102" t="s">
        <v>2404</v>
      </c>
      <c r="H102" s="2">
        <f>B478</f>
        <v>61.51</v>
      </c>
      <c r="I102" s="9">
        <f>(H102-H101)/H101</f>
        <v>1.2343647136273865E-2</v>
      </c>
      <c r="J102" s="2">
        <f>MAX(J101,H102)</f>
        <v>103.9</v>
      </c>
      <c r="K102" s="9">
        <f>(H102-J102)/J102</f>
        <v>-0.40798845043310883</v>
      </c>
      <c r="AB102" s="1">
        <f>A102</f>
        <v>44707</v>
      </c>
      <c r="AC102" s="2">
        <f>B102</f>
        <v>86.99</v>
      </c>
      <c r="AD102" s="2">
        <f>100</f>
        <v>100</v>
      </c>
      <c r="AE102" s="2">
        <f>INTERCEPT($AC$3:$AC$1136,$AD$3:$AD$1136)+SLOPE($AC$3:$AC$1136,$AD$3:$AD$1136)*AD102</f>
        <v>80.433371995847892</v>
      </c>
      <c r="AF102" s="2">
        <f t="shared" si="2"/>
        <v>83.085031596250587</v>
      </c>
      <c r="AG102" s="2">
        <f t="shared" si="3"/>
        <v>77.781712395445197</v>
      </c>
      <c r="AH102" s="22">
        <f>AC102-AE102</f>
        <v>6.5566280041521026</v>
      </c>
    </row>
    <row r="103" spans="1:34" x14ac:dyDescent="0.25">
      <c r="A103" s="1">
        <f>DATEVALUE(Sheet1!A102)</f>
        <v>44708</v>
      </c>
      <c r="B103" s="2">
        <f>VALUE(Sheet1!B102)</f>
        <v>86.9</v>
      </c>
      <c r="C103" s="9">
        <f>(B103-B102)/B102</f>
        <v>-1.0346016783537096E-3</v>
      </c>
      <c r="D103" s="2">
        <f>MAX(D102,B103)</f>
        <v>103.9</v>
      </c>
      <c r="E103" s="9">
        <f>(B103-D103)/D103</f>
        <v>-0.16361886429258901</v>
      </c>
      <c r="G103" t="s">
        <v>2405</v>
      </c>
      <c r="H103" s="2">
        <f>B483</f>
        <v>63.29</v>
      </c>
      <c r="I103" s="9">
        <f>(H103-H102)/H102</f>
        <v>2.8938384002601222E-2</v>
      </c>
      <c r="J103" s="2">
        <f>MAX(J102,H103)</f>
        <v>103.9</v>
      </c>
      <c r="K103" s="9">
        <f>(H103-J103)/J103</f>
        <v>-0.39085659287776714</v>
      </c>
      <c r="AB103" s="1">
        <f>A103</f>
        <v>44708</v>
      </c>
      <c r="AC103" s="2">
        <f>B103</f>
        <v>86.9</v>
      </c>
      <c r="AD103" s="2">
        <f>101</f>
        <v>101</v>
      </c>
      <c r="AE103" s="2">
        <f>INTERCEPT($AC$3:$AC$1136,$AD$3:$AD$1136)+SLOPE($AC$3:$AC$1136,$AD$3:$AD$1136)*AD103</f>
        <v>80.414660032435449</v>
      </c>
      <c r="AF103" s="2">
        <f t="shared" si="2"/>
        <v>83.066319632838145</v>
      </c>
      <c r="AG103" s="2">
        <f t="shared" si="3"/>
        <v>77.763000432032754</v>
      </c>
      <c r="AH103" s="22">
        <f>AC103-AE103</f>
        <v>6.4853399675645562</v>
      </c>
    </row>
    <row r="104" spans="1:34" x14ac:dyDescent="0.25">
      <c r="A104" s="1">
        <f>DATEVALUE(Sheet1!A103)</f>
        <v>44711</v>
      </c>
      <c r="B104" s="2">
        <f>VALUE(Sheet1!B103)</f>
        <v>86.84</v>
      </c>
      <c r="C104" s="9">
        <f>(B104-B103)/B103</f>
        <v>-6.9044879171464065E-4</v>
      </c>
      <c r="D104" s="2">
        <f>MAX(D103,B104)</f>
        <v>103.9</v>
      </c>
      <c r="E104" s="9">
        <f>(B104-D104)/D104</f>
        <v>-0.16419634263715113</v>
      </c>
      <c r="G104" t="s">
        <v>2406</v>
      </c>
      <c r="H104" s="2">
        <f>B488</f>
        <v>67.260000000000005</v>
      </c>
      <c r="I104" s="9">
        <f>(H104-H103)/H103</f>
        <v>6.2727129088323688E-2</v>
      </c>
      <c r="J104" s="2">
        <f>MAX(J103,H104)</f>
        <v>103.9</v>
      </c>
      <c r="K104" s="9">
        <f>(H104-J104)/J104</f>
        <v>-0.35264677574590952</v>
      </c>
      <c r="AB104" s="1">
        <f>A104</f>
        <v>44711</v>
      </c>
      <c r="AC104" s="2">
        <f>B104</f>
        <v>86.84</v>
      </c>
      <c r="AD104" s="2">
        <f>102</f>
        <v>102</v>
      </c>
      <c r="AE104" s="2">
        <f>INTERCEPT($AC$3:$AC$1136,$AD$3:$AD$1136)+SLOPE($AC$3:$AC$1136,$AD$3:$AD$1136)*AD104</f>
        <v>80.395948069022992</v>
      </c>
      <c r="AF104" s="2">
        <f t="shared" si="2"/>
        <v>83.047607669425688</v>
      </c>
      <c r="AG104" s="2">
        <f t="shared" si="3"/>
        <v>77.744288468620297</v>
      </c>
      <c r="AH104" s="22">
        <f>AC104-AE104</f>
        <v>6.444051930977011</v>
      </c>
    </row>
    <row r="105" spans="1:34" x14ac:dyDescent="0.25">
      <c r="A105" s="1">
        <f>DATEVALUE(Sheet1!A104)</f>
        <v>44712</v>
      </c>
      <c r="B105" s="2">
        <f>VALUE(Sheet1!B104)</f>
        <v>86.25</v>
      </c>
      <c r="C105" s="9">
        <f>(B105-B104)/B104</f>
        <v>-6.7941040994933602E-3</v>
      </c>
      <c r="D105" s="2">
        <f>MAX(D104,B105)</f>
        <v>103.9</v>
      </c>
      <c r="E105" s="9">
        <f>(B105-D105)/D105</f>
        <v>-0.16987487969201159</v>
      </c>
      <c r="G105" t="s">
        <v>2407</v>
      </c>
      <c r="H105" s="2">
        <f>B493</f>
        <v>67.56</v>
      </c>
      <c r="I105" s="9">
        <f>(H105-H104)/H104</f>
        <v>4.4603033006244E-3</v>
      </c>
      <c r="J105" s="2">
        <f>MAX(J104,H105)</f>
        <v>103.9</v>
      </c>
      <c r="K105" s="9">
        <f>(H105-J105)/J105</f>
        <v>-0.34975938402309914</v>
      </c>
      <c r="AB105" s="1">
        <f>A105</f>
        <v>44712</v>
      </c>
      <c r="AC105" s="2">
        <f>B105</f>
        <v>86.25</v>
      </c>
      <c r="AD105" s="2">
        <f>103</f>
        <v>103</v>
      </c>
      <c r="AE105" s="2">
        <f>INTERCEPT($AC$3:$AC$1136,$AD$3:$AD$1136)+SLOPE($AC$3:$AC$1136,$AD$3:$AD$1136)*AD105</f>
        <v>80.37723610561055</v>
      </c>
      <c r="AF105" s="2">
        <f t="shared" si="2"/>
        <v>83.028895706013245</v>
      </c>
      <c r="AG105" s="2">
        <f t="shared" si="3"/>
        <v>77.725576505207854</v>
      </c>
      <c r="AH105" s="22">
        <f>AC105-AE105</f>
        <v>5.8727638943894505</v>
      </c>
    </row>
    <row r="106" spans="1:34" x14ac:dyDescent="0.25">
      <c r="A106" s="1">
        <f>DATEVALUE(Sheet1!A105)</f>
        <v>44713</v>
      </c>
      <c r="B106" s="2">
        <f>VALUE(Sheet1!B105)</f>
        <v>85.8</v>
      </c>
      <c r="C106" s="9">
        <f>(B106-B105)/B105</f>
        <v>-5.2173913043478595E-3</v>
      </c>
      <c r="D106" s="2">
        <f>MAX(D105,B106)</f>
        <v>103.9</v>
      </c>
      <c r="E106" s="9">
        <f>(B106-D106)/D106</f>
        <v>-0.17420596727622722</v>
      </c>
      <c r="G106" t="s">
        <v>2408</v>
      </c>
      <c r="H106" s="2">
        <f>B497</f>
        <v>67.56</v>
      </c>
      <c r="I106" s="9">
        <f>(H106-H105)/H105</f>
        <v>0</v>
      </c>
      <c r="J106" s="2">
        <f>MAX(J105,H106)</f>
        <v>103.9</v>
      </c>
      <c r="K106" s="9">
        <f>(H106-J106)/J106</f>
        <v>-0.34975938402309914</v>
      </c>
      <c r="AB106" s="1">
        <f>A106</f>
        <v>44713</v>
      </c>
      <c r="AC106" s="2">
        <f>B106</f>
        <v>85.8</v>
      </c>
      <c r="AD106" s="2">
        <f>104</f>
        <v>104</v>
      </c>
      <c r="AE106" s="2">
        <f>INTERCEPT($AC$3:$AC$1136,$AD$3:$AD$1136)+SLOPE($AC$3:$AC$1136,$AD$3:$AD$1136)*AD106</f>
        <v>80.358524142198107</v>
      </c>
      <c r="AF106" s="2">
        <f t="shared" si="2"/>
        <v>83.010183742600802</v>
      </c>
      <c r="AG106" s="2">
        <f t="shared" si="3"/>
        <v>77.706864541795412</v>
      </c>
      <c r="AH106" s="22">
        <f>AC106-AE106</f>
        <v>5.4414758578018905</v>
      </c>
    </row>
    <row r="107" spans="1:34" x14ac:dyDescent="0.25">
      <c r="A107" s="1">
        <f>DATEVALUE(Sheet1!A106)</f>
        <v>44714</v>
      </c>
      <c r="B107" s="2">
        <f>VALUE(Sheet1!B106)</f>
        <v>85.52</v>
      </c>
      <c r="C107" s="9">
        <f>(B107-B106)/B106</f>
        <v>-3.2634032634032768E-3</v>
      </c>
      <c r="D107" s="2">
        <f>MAX(D106,B107)</f>
        <v>103.9</v>
      </c>
      <c r="E107" s="9">
        <f>(B107-D107)/D107</f>
        <v>-0.17690086621751694</v>
      </c>
      <c r="G107" t="s">
        <v>2409</v>
      </c>
      <c r="H107" s="2">
        <f>B500</f>
        <v>69.209999999999994</v>
      </c>
      <c r="I107" s="9">
        <f>(H107-H106)/H106</f>
        <v>2.4422735346358665E-2</v>
      </c>
      <c r="J107" s="2">
        <f>MAX(J106,H107)</f>
        <v>103.9</v>
      </c>
      <c r="K107" s="9">
        <f>(H107-J107)/J107</f>
        <v>-0.33387872954764208</v>
      </c>
      <c r="AB107" s="1">
        <f>A107</f>
        <v>44714</v>
      </c>
      <c r="AC107" s="2">
        <f>B107</f>
        <v>85.52</v>
      </c>
      <c r="AD107" s="2">
        <f>105</f>
        <v>105</v>
      </c>
      <c r="AE107" s="2">
        <f>INTERCEPT($AC$3:$AC$1136,$AD$3:$AD$1136)+SLOPE($AC$3:$AC$1136,$AD$3:$AD$1136)*AD107</f>
        <v>80.33981217878565</v>
      </c>
      <c r="AF107" s="2">
        <f t="shared" si="2"/>
        <v>82.991471779188345</v>
      </c>
      <c r="AG107" s="2">
        <f t="shared" si="3"/>
        <v>77.688152578382955</v>
      </c>
      <c r="AH107" s="22">
        <f>AC107-AE107</f>
        <v>5.1801878212143464</v>
      </c>
    </row>
    <row r="108" spans="1:34" x14ac:dyDescent="0.25">
      <c r="A108" s="1">
        <f>DATEVALUE(Sheet1!A107)</f>
        <v>44715</v>
      </c>
      <c r="B108" s="2">
        <f>VALUE(Sheet1!B107)</f>
        <v>85.07</v>
      </c>
      <c r="C108" s="9">
        <f>(B108-B107)/B107</f>
        <v>-5.2619270346118199E-3</v>
      </c>
      <c r="D108" s="2">
        <f>MAX(D107,B108)</f>
        <v>103.9</v>
      </c>
      <c r="E108" s="9">
        <f>(B108-D108)/D108</f>
        <v>-0.18123195380173254</v>
      </c>
      <c r="G108" t="s">
        <v>2410</v>
      </c>
      <c r="H108" s="2">
        <f>B505</f>
        <v>70.12</v>
      </c>
      <c r="I108" s="9">
        <f>(H108-H107)/H107</f>
        <v>1.3148388961132941E-2</v>
      </c>
      <c r="J108" s="2">
        <f>MAX(J107,H108)</f>
        <v>103.9</v>
      </c>
      <c r="K108" s="9">
        <f>(H108-J108)/J108</f>
        <v>-0.32512030798845043</v>
      </c>
      <c r="AB108" s="1">
        <f>A108</f>
        <v>44715</v>
      </c>
      <c r="AC108" s="2">
        <f>B108</f>
        <v>85.07</v>
      </c>
      <c r="AD108" s="2">
        <f>106</f>
        <v>106</v>
      </c>
      <c r="AE108" s="2">
        <f>INTERCEPT($AC$3:$AC$1136,$AD$3:$AD$1136)+SLOPE($AC$3:$AC$1136,$AD$3:$AD$1136)*AD108</f>
        <v>80.321100215373207</v>
      </c>
      <c r="AF108" s="2">
        <f t="shared" si="2"/>
        <v>82.972759815775902</v>
      </c>
      <c r="AG108" s="2">
        <f t="shared" si="3"/>
        <v>77.669440614970512</v>
      </c>
      <c r="AH108" s="22">
        <f>AC108-AE108</f>
        <v>4.7488997846267864</v>
      </c>
    </row>
    <row r="109" spans="1:34" x14ac:dyDescent="0.25">
      <c r="A109" s="1">
        <f>DATEVALUE(Sheet1!A108)</f>
        <v>44718</v>
      </c>
      <c r="B109" s="2">
        <f>VALUE(Sheet1!B108)</f>
        <v>84.8</v>
      </c>
      <c r="C109" s="9">
        <f>(B109-B108)/B108</f>
        <v>-3.1738568237921244E-3</v>
      </c>
      <c r="D109" s="2">
        <f>MAX(D108,B109)</f>
        <v>103.9</v>
      </c>
      <c r="E109" s="9">
        <f>(B109-D109)/D109</f>
        <v>-0.18383060635226187</v>
      </c>
      <c r="G109" t="s">
        <v>2411</v>
      </c>
      <c r="H109" s="2">
        <f>B510</f>
        <v>66.08</v>
      </c>
      <c r="I109" s="9">
        <f>(H109-H108)/H108</f>
        <v>-5.761551625784378E-2</v>
      </c>
      <c r="J109" s="2">
        <f>MAX(J108,H109)</f>
        <v>103.9</v>
      </c>
      <c r="K109" s="9">
        <f>(H109-J109)/J109</f>
        <v>-0.36400384985563045</v>
      </c>
      <c r="AB109" s="1">
        <f>A109</f>
        <v>44718</v>
      </c>
      <c r="AC109" s="2">
        <f>B109</f>
        <v>84.8</v>
      </c>
      <c r="AD109" s="2">
        <f>107</f>
        <v>107</v>
      </c>
      <c r="AE109" s="2">
        <f>INTERCEPT($AC$3:$AC$1136,$AD$3:$AD$1136)+SLOPE($AC$3:$AC$1136,$AD$3:$AD$1136)*AD109</f>
        <v>80.302388251960764</v>
      </c>
      <c r="AF109" s="2">
        <f t="shared" si="2"/>
        <v>82.954047852363459</v>
      </c>
      <c r="AG109" s="2">
        <f t="shared" si="3"/>
        <v>77.650728651558069</v>
      </c>
      <c r="AH109" s="22">
        <f>AC109-AE109</f>
        <v>4.4976117480392332</v>
      </c>
    </row>
    <row r="110" spans="1:34" x14ac:dyDescent="0.25">
      <c r="A110" s="1">
        <f>DATEVALUE(Sheet1!A109)</f>
        <v>44719</v>
      </c>
      <c r="B110" s="2">
        <f>VALUE(Sheet1!B109)</f>
        <v>85.56</v>
      </c>
      <c r="C110" s="9">
        <f>(B110-B109)/B109</f>
        <v>8.9622641509434567E-3</v>
      </c>
      <c r="D110" s="2">
        <f>MAX(D109,B110)</f>
        <v>103.9</v>
      </c>
      <c r="E110" s="9">
        <f>(B110-D110)/D110</f>
        <v>-0.17651588065447549</v>
      </c>
      <c r="G110" t="s">
        <v>2412</v>
      </c>
      <c r="H110" s="2">
        <f>B515</f>
        <v>62.28</v>
      </c>
      <c r="I110" s="9">
        <f>(H110-H109)/H109</f>
        <v>-5.7506053268765095E-2</v>
      </c>
      <c r="J110" s="2">
        <f>MAX(J109,H110)</f>
        <v>103.9</v>
      </c>
      <c r="K110" s="9">
        <f>(H110-J110)/J110</f>
        <v>-0.40057747834456209</v>
      </c>
      <c r="AB110" s="1">
        <f>A110</f>
        <v>44719</v>
      </c>
      <c r="AC110" s="2">
        <f>B110</f>
        <v>85.56</v>
      </c>
      <c r="AD110" s="2">
        <f>108</f>
        <v>108</v>
      </c>
      <c r="AE110" s="2">
        <f>INTERCEPT($AC$3:$AC$1136,$AD$3:$AD$1136)+SLOPE($AC$3:$AC$1136,$AD$3:$AD$1136)*AD110</f>
        <v>80.283676288548321</v>
      </c>
      <c r="AF110" s="2">
        <f t="shared" si="2"/>
        <v>82.935335888951016</v>
      </c>
      <c r="AG110" s="2">
        <f t="shared" si="3"/>
        <v>77.632016688145626</v>
      </c>
      <c r="AH110" s="22">
        <f>AC110-AE110</f>
        <v>5.2763237114516812</v>
      </c>
    </row>
    <row r="111" spans="1:34" x14ac:dyDescent="0.25">
      <c r="A111" s="1">
        <f>DATEVALUE(Sheet1!A110)</f>
        <v>44720</v>
      </c>
      <c r="B111" s="2">
        <f>VALUE(Sheet1!B110)</f>
        <v>85.86</v>
      </c>
      <c r="C111" s="9">
        <f>(B111-B110)/B110</f>
        <v>3.5063113604487744E-3</v>
      </c>
      <c r="D111" s="2">
        <f>MAX(D110,B111)</f>
        <v>103.9</v>
      </c>
      <c r="E111" s="9">
        <f>(B111-D111)/D111</f>
        <v>-0.1736284889316651</v>
      </c>
      <c r="G111" t="s">
        <v>2413</v>
      </c>
      <c r="H111" s="2">
        <f>B520</f>
        <v>62.15</v>
      </c>
      <c r="I111" s="9">
        <f>(H111-H110)/H110</f>
        <v>-2.0873474630700474E-3</v>
      </c>
      <c r="J111" s="2">
        <f>MAX(J110,H111)</f>
        <v>103.9</v>
      </c>
      <c r="K111" s="9">
        <f>(H111-J111)/J111</f>
        <v>-0.40182868142444661</v>
      </c>
      <c r="AB111" s="1">
        <f>A111</f>
        <v>44720</v>
      </c>
      <c r="AC111" s="2">
        <f>B111</f>
        <v>85.86</v>
      </c>
      <c r="AD111" s="2">
        <f>109</f>
        <v>109</v>
      </c>
      <c r="AE111" s="2">
        <f>INTERCEPT($AC$3:$AC$1136,$AD$3:$AD$1136)+SLOPE($AC$3:$AC$1136,$AD$3:$AD$1136)*AD111</f>
        <v>80.264964325135864</v>
      </c>
      <c r="AF111" s="2">
        <f t="shared" si="2"/>
        <v>82.916623925538559</v>
      </c>
      <c r="AG111" s="2">
        <f t="shared" si="3"/>
        <v>77.613304724733169</v>
      </c>
      <c r="AH111" s="22">
        <f>AC111-AE111</f>
        <v>5.5950356748641354</v>
      </c>
    </row>
    <row r="112" spans="1:34" x14ac:dyDescent="0.25">
      <c r="A112" s="1">
        <f>DATEVALUE(Sheet1!A111)</f>
        <v>44721</v>
      </c>
      <c r="B112" s="2">
        <f>VALUE(Sheet1!B111)</f>
        <v>85.85</v>
      </c>
      <c r="C112" s="9">
        <f>(B112-B111)/B111</f>
        <v>-1.16468669927849E-4</v>
      </c>
      <c r="D112" s="2">
        <f>MAX(D111,B112)</f>
        <v>103.9</v>
      </c>
      <c r="E112" s="9">
        <f>(B112-D112)/D112</f>
        <v>-0.17372473532242552</v>
      </c>
      <c r="G112" t="s">
        <v>2414</v>
      </c>
      <c r="H112" s="2">
        <f>B525</f>
        <v>62.72</v>
      </c>
      <c r="I112" s="9">
        <f>(H112-H111)/H111</f>
        <v>9.1713596138374952E-3</v>
      </c>
      <c r="J112" s="2">
        <f>MAX(J111,H112)</f>
        <v>103.9</v>
      </c>
      <c r="K112" s="9">
        <f>(H112-J112)/J112</f>
        <v>-0.3963426371511069</v>
      </c>
      <c r="AB112" s="1">
        <f>A112</f>
        <v>44721</v>
      </c>
      <c r="AC112" s="2">
        <f>B112</f>
        <v>85.85</v>
      </c>
      <c r="AD112" s="2">
        <f>110</f>
        <v>110</v>
      </c>
      <c r="AE112" s="2">
        <f>INTERCEPT($AC$3:$AC$1136,$AD$3:$AD$1136)+SLOPE($AC$3:$AC$1136,$AD$3:$AD$1136)*AD112</f>
        <v>80.246252361723421</v>
      </c>
      <c r="AF112" s="2">
        <f t="shared" si="2"/>
        <v>82.897911962126116</v>
      </c>
      <c r="AG112" s="2">
        <f t="shared" si="3"/>
        <v>77.594592761320726</v>
      </c>
      <c r="AH112" s="22">
        <f>AC112-AE112</f>
        <v>5.6037476382765732</v>
      </c>
    </row>
    <row r="113" spans="1:34" x14ac:dyDescent="0.25">
      <c r="A113" s="1">
        <f>DATEVALUE(Sheet1!A112)</f>
        <v>44722</v>
      </c>
      <c r="B113" s="2">
        <f>VALUE(Sheet1!B112)</f>
        <v>85.42</v>
      </c>
      <c r="C113" s="9">
        <f>(B113-B112)/B112</f>
        <v>-5.0087361677343348E-3</v>
      </c>
      <c r="D113" s="2">
        <f>MAX(D112,B113)</f>
        <v>103.9</v>
      </c>
      <c r="E113" s="9">
        <f>(B113-D113)/D113</f>
        <v>-0.17786333012512034</v>
      </c>
      <c r="G113" t="s">
        <v>2415</v>
      </c>
      <c r="H113" s="2">
        <f>B529</f>
        <v>62.17</v>
      </c>
      <c r="I113" s="9">
        <f>(H113-H112)/H112</f>
        <v>-8.7691326530611787E-3</v>
      </c>
      <c r="J113" s="2">
        <f>MAX(J112,H113)</f>
        <v>103.9</v>
      </c>
      <c r="K113" s="9">
        <f>(H113-J113)/J113</f>
        <v>-0.40163618864292588</v>
      </c>
      <c r="AB113" s="1">
        <f>A113</f>
        <v>44722</v>
      </c>
      <c r="AC113" s="2">
        <f>B113</f>
        <v>85.42</v>
      </c>
      <c r="AD113" s="2">
        <f>111</f>
        <v>111</v>
      </c>
      <c r="AE113" s="2">
        <f>INTERCEPT($AC$3:$AC$1136,$AD$3:$AD$1136)+SLOPE($AC$3:$AC$1136,$AD$3:$AD$1136)*AD113</f>
        <v>80.227540398310978</v>
      </c>
      <c r="AF113" s="2">
        <f t="shared" si="2"/>
        <v>82.879199998713673</v>
      </c>
      <c r="AG113" s="2">
        <f t="shared" si="3"/>
        <v>77.575880797908283</v>
      </c>
      <c r="AH113" s="22">
        <f>AC113-AE113</f>
        <v>5.1924596016890234</v>
      </c>
    </row>
    <row r="114" spans="1:34" x14ac:dyDescent="0.25">
      <c r="A114" s="1">
        <f>DATEVALUE(Sheet1!A113)</f>
        <v>44725</v>
      </c>
      <c r="B114" s="2">
        <f>VALUE(Sheet1!B113)</f>
        <v>85.41</v>
      </c>
      <c r="C114" s="9">
        <f>(B114-B113)/B113</f>
        <v>-1.1706860220094961E-4</v>
      </c>
      <c r="D114" s="2">
        <f>MAX(D113,B114)</f>
        <v>103.9</v>
      </c>
      <c r="E114" s="9">
        <f>(B114-D114)/D114</f>
        <v>-0.17795957651588074</v>
      </c>
      <c r="G114" t="s">
        <v>2416</v>
      </c>
      <c r="H114" s="2">
        <f>B533</f>
        <v>62.57</v>
      </c>
      <c r="I114" s="9">
        <f>(H114-H113)/H113</f>
        <v>6.4339713688273854E-3</v>
      </c>
      <c r="J114" s="2">
        <f>MAX(J113,H114)</f>
        <v>103.9</v>
      </c>
      <c r="K114" s="9">
        <f>(H114-J114)/J114</f>
        <v>-0.39778633301251204</v>
      </c>
      <c r="AB114" s="1">
        <f>A114</f>
        <v>44725</v>
      </c>
      <c r="AC114" s="2">
        <f>B114</f>
        <v>85.41</v>
      </c>
      <c r="AD114" s="2">
        <f>112</f>
        <v>112</v>
      </c>
      <c r="AE114" s="2">
        <f>INTERCEPT($AC$3:$AC$1136,$AD$3:$AD$1136)+SLOPE($AC$3:$AC$1136,$AD$3:$AD$1136)*AD114</f>
        <v>80.208828434898535</v>
      </c>
      <c r="AF114" s="2">
        <f t="shared" si="2"/>
        <v>82.860488035301231</v>
      </c>
      <c r="AG114" s="2">
        <f t="shared" si="3"/>
        <v>77.55716883449584</v>
      </c>
      <c r="AH114" s="22">
        <f>AC114-AE114</f>
        <v>5.2011715651014612</v>
      </c>
    </row>
    <row r="115" spans="1:34" x14ac:dyDescent="0.25">
      <c r="A115" s="1">
        <f>DATEVALUE(Sheet1!A114)</f>
        <v>44726</v>
      </c>
      <c r="B115" s="2">
        <f>VALUE(Sheet1!B114)</f>
        <v>86.42</v>
      </c>
      <c r="C115" s="9">
        <f>(B115-B114)/B114</f>
        <v>1.182531319517627E-2</v>
      </c>
      <c r="D115" s="2">
        <f>MAX(D114,B115)</f>
        <v>103.9</v>
      </c>
      <c r="E115" s="9">
        <f>(B115-D115)/D115</f>
        <v>-0.16823869104908568</v>
      </c>
      <c r="G115" t="s">
        <v>2417</v>
      </c>
      <c r="H115" s="2">
        <f>B538</f>
        <v>63.11</v>
      </c>
      <c r="I115" s="9">
        <f>(H115-H114)/H114</f>
        <v>8.6303340258909889E-3</v>
      </c>
      <c r="J115" s="2">
        <f>MAX(J114,H115)</f>
        <v>103.9</v>
      </c>
      <c r="K115" s="9">
        <f>(H115-J115)/J115</f>
        <v>-0.39258902791145334</v>
      </c>
      <c r="AB115" s="1">
        <f>A115</f>
        <v>44726</v>
      </c>
      <c r="AC115" s="2">
        <f>B115</f>
        <v>86.42</v>
      </c>
      <c r="AD115" s="2">
        <f>113</f>
        <v>113</v>
      </c>
      <c r="AE115" s="2">
        <f>INTERCEPT($AC$3:$AC$1136,$AD$3:$AD$1136)+SLOPE($AC$3:$AC$1136,$AD$3:$AD$1136)*AD115</f>
        <v>80.190116471486078</v>
      </c>
      <c r="AF115" s="2">
        <f t="shared" si="2"/>
        <v>82.841776071888773</v>
      </c>
      <c r="AG115" s="2">
        <f t="shared" si="3"/>
        <v>77.538456871083383</v>
      </c>
      <c r="AH115" s="22">
        <f>AC115-AE115</f>
        <v>6.2298835285139234</v>
      </c>
    </row>
    <row r="116" spans="1:34" x14ac:dyDescent="0.25">
      <c r="A116" s="1">
        <f>DATEVALUE(Sheet1!A115)</f>
        <v>44727</v>
      </c>
      <c r="B116" s="2">
        <f>VALUE(Sheet1!B115)</f>
        <v>86.25</v>
      </c>
      <c r="C116" s="9">
        <f>(B116-B115)/B115</f>
        <v>-1.9671372367507716E-3</v>
      </c>
      <c r="D116" s="2">
        <f>MAX(D115,B116)</f>
        <v>103.9</v>
      </c>
      <c r="E116" s="9">
        <f>(B116-D116)/D116</f>
        <v>-0.16987487969201159</v>
      </c>
      <c r="G116" t="s">
        <v>2418</v>
      </c>
      <c r="H116" s="2">
        <f>B543</f>
        <v>63.01</v>
      </c>
      <c r="I116" s="9">
        <f>(H116-H115)/H115</f>
        <v>-1.5845349389954273E-3</v>
      </c>
      <c r="J116" s="2">
        <f>MAX(J115,H116)</f>
        <v>103.9</v>
      </c>
      <c r="K116" s="9">
        <f>(H116-J116)/J116</f>
        <v>-0.39355149181905685</v>
      </c>
      <c r="AB116" s="1">
        <f>A116</f>
        <v>44727</v>
      </c>
      <c r="AC116" s="2">
        <f>B116</f>
        <v>86.25</v>
      </c>
      <c r="AD116" s="2">
        <f>114</f>
        <v>114</v>
      </c>
      <c r="AE116" s="2">
        <f>INTERCEPT($AC$3:$AC$1136,$AD$3:$AD$1136)+SLOPE($AC$3:$AC$1136,$AD$3:$AD$1136)*AD116</f>
        <v>80.171404508073635</v>
      </c>
      <c r="AF116" s="2">
        <f t="shared" si="2"/>
        <v>82.823064108476331</v>
      </c>
      <c r="AG116" s="2">
        <f t="shared" si="3"/>
        <v>77.51974490767094</v>
      </c>
      <c r="AH116" s="22">
        <f>AC116-AE116</f>
        <v>6.0785954919263645</v>
      </c>
    </row>
    <row r="117" spans="1:34" x14ac:dyDescent="0.25">
      <c r="A117" s="1">
        <f>DATEVALUE(Sheet1!A116)</f>
        <v>44729</v>
      </c>
      <c r="B117" s="2">
        <f>VALUE(Sheet1!B116)</f>
        <v>86.32</v>
      </c>
      <c r="C117" s="9">
        <f>(B117-B116)/B116</f>
        <v>8.1159420289847169E-4</v>
      </c>
      <c r="D117" s="2">
        <f>MAX(D116,B117)</f>
        <v>103.9</v>
      </c>
      <c r="E117" s="9">
        <f>(B117-D117)/D117</f>
        <v>-0.16920115495668925</v>
      </c>
      <c r="G117" t="s">
        <v>2419</v>
      </c>
      <c r="H117" s="2">
        <f>B548</f>
        <v>62.9</v>
      </c>
      <c r="I117" s="9">
        <f>(H117-H116)/H116</f>
        <v>-1.7457546421202894E-3</v>
      </c>
      <c r="J117" s="2">
        <f>MAX(J116,H117)</f>
        <v>103.9</v>
      </c>
      <c r="K117" s="9">
        <f>(H117-J117)/J117</f>
        <v>-0.39461020211742065</v>
      </c>
      <c r="AB117" s="1">
        <f>A117</f>
        <v>44729</v>
      </c>
      <c r="AC117" s="2">
        <f>B117</f>
        <v>86.32</v>
      </c>
      <c r="AD117" s="2">
        <f>115</f>
        <v>115</v>
      </c>
      <c r="AE117" s="2">
        <f>INTERCEPT($AC$3:$AC$1136,$AD$3:$AD$1136)+SLOPE($AC$3:$AC$1136,$AD$3:$AD$1136)*AD117</f>
        <v>80.152692544661193</v>
      </c>
      <c r="AF117" s="2">
        <f t="shared" si="2"/>
        <v>82.804352145063888</v>
      </c>
      <c r="AG117" s="2">
        <f t="shared" si="3"/>
        <v>77.501032944258498</v>
      </c>
      <c r="AH117" s="22">
        <f>AC117-AE117</f>
        <v>6.1673074553388005</v>
      </c>
    </row>
    <row r="118" spans="1:34" x14ac:dyDescent="0.25">
      <c r="A118" s="1">
        <f>DATEVALUE(Sheet1!A117)</f>
        <v>44732</v>
      </c>
      <c r="B118" s="2">
        <f>VALUE(Sheet1!B117)</f>
        <v>87.42</v>
      </c>
      <c r="C118" s="9">
        <f>(B118-B117)/B117</f>
        <v>1.2743280815570072E-2</v>
      </c>
      <c r="D118" s="2">
        <f>MAX(D117,B118)</f>
        <v>103.9</v>
      </c>
      <c r="E118" s="9">
        <f>(B118-D118)/D118</f>
        <v>-0.15861405197305103</v>
      </c>
      <c r="G118" t="s">
        <v>2420</v>
      </c>
      <c r="H118" s="2">
        <f>B553</f>
        <v>62.87</v>
      </c>
      <c r="I118" s="9">
        <f>(H118-H117)/H117</f>
        <v>-4.7694753577108329E-4</v>
      </c>
      <c r="J118" s="2">
        <f>MAX(J117,H118)</f>
        <v>103.9</v>
      </c>
      <c r="K118" s="9">
        <f>(H118-J118)/J118</f>
        <v>-0.39489894128970171</v>
      </c>
      <c r="AB118" s="1">
        <f>A118</f>
        <v>44732</v>
      </c>
      <c r="AC118" s="2">
        <f>B118</f>
        <v>87.42</v>
      </c>
      <c r="AD118" s="2">
        <f>116</f>
        <v>116</v>
      </c>
      <c r="AE118" s="2">
        <f>INTERCEPT($AC$3:$AC$1136,$AD$3:$AD$1136)+SLOPE($AC$3:$AC$1136,$AD$3:$AD$1136)*AD118</f>
        <v>80.13398058124875</v>
      </c>
      <c r="AF118" s="2">
        <f t="shared" si="2"/>
        <v>82.785640181651445</v>
      </c>
      <c r="AG118" s="2">
        <f t="shared" si="3"/>
        <v>77.482320980846055</v>
      </c>
      <c r="AH118" s="22">
        <f>AC118-AE118</f>
        <v>7.2860194187512519</v>
      </c>
    </row>
    <row r="119" spans="1:34" x14ac:dyDescent="0.25">
      <c r="A119" s="1">
        <f>DATEVALUE(Sheet1!A118)</f>
        <v>44733</v>
      </c>
      <c r="B119" s="2">
        <f>VALUE(Sheet1!B118)</f>
        <v>87.15</v>
      </c>
      <c r="C119" s="9">
        <f>(B119-B118)/B118</f>
        <v>-3.0885380919697552E-3</v>
      </c>
      <c r="D119" s="2">
        <f>MAX(D118,B119)</f>
        <v>103.9</v>
      </c>
      <c r="E119" s="9">
        <f>(B119-D119)/D119</f>
        <v>-0.16121270452358036</v>
      </c>
      <c r="G119" t="s">
        <v>2421</v>
      </c>
      <c r="H119" s="2">
        <f>B558</f>
        <v>62.6</v>
      </c>
      <c r="I119" s="9">
        <f>(H119-H118)/H118</f>
        <v>-4.2945761094320984E-3</v>
      </c>
      <c r="J119" s="2">
        <f>MAX(J118,H119)</f>
        <v>103.9</v>
      </c>
      <c r="K119" s="9">
        <f>(H119-J119)/J119</f>
        <v>-0.39749759384023103</v>
      </c>
      <c r="AB119" s="1">
        <f>A119</f>
        <v>44733</v>
      </c>
      <c r="AC119" s="2">
        <f>B119</f>
        <v>87.15</v>
      </c>
      <c r="AD119" s="2">
        <f>117</f>
        <v>117</v>
      </c>
      <c r="AE119" s="2">
        <f>INTERCEPT($AC$3:$AC$1136,$AD$3:$AD$1136)+SLOPE($AC$3:$AC$1136,$AD$3:$AD$1136)*AD119</f>
        <v>80.115268617836293</v>
      </c>
      <c r="AF119" s="2">
        <f t="shared" si="2"/>
        <v>82.766928218238988</v>
      </c>
      <c r="AG119" s="2">
        <f t="shared" si="3"/>
        <v>77.463609017433598</v>
      </c>
      <c r="AH119" s="22">
        <f>AC119-AE119</f>
        <v>7.034731382163713</v>
      </c>
    </row>
    <row r="120" spans="1:34" x14ac:dyDescent="0.25">
      <c r="A120" s="1">
        <f>DATEVALUE(Sheet1!A119)</f>
        <v>44734</v>
      </c>
      <c r="B120" s="2">
        <f>VALUE(Sheet1!B119)</f>
        <v>87.04</v>
      </c>
      <c r="C120" s="9">
        <f>(B120-B119)/B119</f>
        <v>-1.2621916236374001E-3</v>
      </c>
      <c r="D120" s="2">
        <f>MAX(D119,B120)</f>
        <v>103.9</v>
      </c>
      <c r="E120" s="9">
        <f>(B120-D120)/D120</f>
        <v>-0.16227141482194415</v>
      </c>
      <c r="G120" t="s">
        <v>2422</v>
      </c>
      <c r="H120" s="2">
        <f>B562</f>
        <v>61.71</v>
      </c>
      <c r="I120" s="9">
        <f>(H120-H119)/H119</f>
        <v>-1.4217252396166143E-2</v>
      </c>
      <c r="J120" s="2">
        <f>MAX(J119,H120)</f>
        <v>103.9</v>
      </c>
      <c r="K120" s="9">
        <f>(H120-J120)/J120</f>
        <v>-0.40606352261790185</v>
      </c>
      <c r="AB120" s="1">
        <f>A120</f>
        <v>44734</v>
      </c>
      <c r="AC120" s="2">
        <f>B120</f>
        <v>87.04</v>
      </c>
      <c r="AD120" s="2">
        <f>118</f>
        <v>118</v>
      </c>
      <c r="AE120" s="2">
        <f>INTERCEPT($AC$3:$AC$1136,$AD$3:$AD$1136)+SLOPE($AC$3:$AC$1136,$AD$3:$AD$1136)*AD120</f>
        <v>80.09655665442385</v>
      </c>
      <c r="AF120" s="2">
        <f t="shared" si="2"/>
        <v>82.748216254826545</v>
      </c>
      <c r="AG120" s="2">
        <f t="shared" si="3"/>
        <v>77.444897054021155</v>
      </c>
      <c r="AH120" s="22">
        <f>AC120-AE120</f>
        <v>6.9434433455761564</v>
      </c>
    </row>
    <row r="121" spans="1:34" x14ac:dyDescent="0.25">
      <c r="A121" s="1">
        <f>DATEVALUE(Sheet1!A120)</f>
        <v>44735</v>
      </c>
      <c r="B121" s="2">
        <f>VALUE(Sheet1!B120)</f>
        <v>85.92</v>
      </c>
      <c r="C121" s="9">
        <f>(B121-B120)/B120</f>
        <v>-1.2867647058823581E-2</v>
      </c>
      <c r="D121" s="2">
        <f>MAX(D120,B121)</f>
        <v>103.9</v>
      </c>
      <c r="E121" s="9">
        <f>(B121-D121)/D121</f>
        <v>-0.17305101058710301</v>
      </c>
      <c r="G121" t="s">
        <v>2423</v>
      </c>
      <c r="H121" s="2">
        <f>B567</f>
        <v>60.62</v>
      </c>
      <c r="I121" s="9">
        <f>(H121-H120)/H120</f>
        <v>-1.7663263652568522E-2</v>
      </c>
      <c r="J121" s="2">
        <f>MAX(J120,H121)</f>
        <v>103.9</v>
      </c>
      <c r="K121" s="9">
        <f>(H121-J121)/J121</f>
        <v>-0.41655437921077965</v>
      </c>
      <c r="AB121" s="1">
        <f>A121</f>
        <v>44735</v>
      </c>
      <c r="AC121" s="2">
        <f>B121</f>
        <v>85.92</v>
      </c>
      <c r="AD121" s="2">
        <f>119</f>
        <v>119</v>
      </c>
      <c r="AE121" s="2">
        <f>INTERCEPT($AC$3:$AC$1136,$AD$3:$AD$1136)+SLOPE($AC$3:$AC$1136,$AD$3:$AD$1136)*AD121</f>
        <v>80.077844691011407</v>
      </c>
      <c r="AF121" s="2">
        <f t="shared" si="2"/>
        <v>82.729504291414102</v>
      </c>
      <c r="AG121" s="2">
        <f t="shared" si="3"/>
        <v>77.426185090608712</v>
      </c>
      <c r="AH121" s="22">
        <f>AC121-AE121</f>
        <v>5.8421553089885947</v>
      </c>
    </row>
    <row r="122" spans="1:34" x14ac:dyDescent="0.25">
      <c r="A122" s="1">
        <f>DATEVALUE(Sheet1!A121)</f>
        <v>44736</v>
      </c>
      <c r="B122" s="2">
        <f>VALUE(Sheet1!B121)</f>
        <v>85.65</v>
      </c>
      <c r="C122" s="9">
        <f>(B122-B121)/B121</f>
        <v>-3.142458100558613E-3</v>
      </c>
      <c r="D122" s="2">
        <f>MAX(D121,B122)</f>
        <v>103.9</v>
      </c>
      <c r="E122" s="9">
        <f>(B122-D122)/D122</f>
        <v>-0.17564966313763233</v>
      </c>
      <c r="G122" t="s">
        <v>2424</v>
      </c>
      <c r="H122" s="2">
        <f>B572</f>
        <v>59.7</v>
      </c>
      <c r="I122" s="9">
        <f>(H122-H121)/H121</f>
        <v>-1.517650940283726E-2</v>
      </c>
      <c r="J122" s="2">
        <f>MAX(J121,H122)</f>
        <v>103.9</v>
      </c>
      <c r="K122" s="9">
        <f>(H122-J122)/J122</f>
        <v>-0.42540904716073147</v>
      </c>
      <c r="AB122" s="1">
        <f>A122</f>
        <v>44736</v>
      </c>
      <c r="AC122" s="2">
        <f>B122</f>
        <v>85.65</v>
      </c>
      <c r="AD122" s="2">
        <f>120</f>
        <v>120</v>
      </c>
      <c r="AE122" s="2">
        <f>INTERCEPT($AC$3:$AC$1136,$AD$3:$AD$1136)+SLOPE($AC$3:$AC$1136,$AD$3:$AD$1136)*AD122</f>
        <v>80.05913272759895</v>
      </c>
      <c r="AF122" s="2">
        <f t="shared" si="2"/>
        <v>82.710792328001645</v>
      </c>
      <c r="AG122" s="2">
        <f t="shared" si="3"/>
        <v>77.407473127196255</v>
      </c>
      <c r="AH122" s="22">
        <f>AC122-AE122</f>
        <v>5.5908672724010557</v>
      </c>
    </row>
    <row r="123" spans="1:34" x14ac:dyDescent="0.25">
      <c r="A123" s="1">
        <f>DATEVALUE(Sheet1!A122)</f>
        <v>44739</v>
      </c>
      <c r="B123" s="2">
        <f>VALUE(Sheet1!B122)</f>
        <v>84.75</v>
      </c>
      <c r="C123" s="9">
        <f>(B123-B122)/B122</f>
        <v>-1.0507880910683078E-2</v>
      </c>
      <c r="D123" s="2">
        <f>MAX(D122,B123)</f>
        <v>103.9</v>
      </c>
      <c r="E123" s="9">
        <f>(B123-D123)/D123</f>
        <v>-0.18431183830606357</v>
      </c>
      <c r="G123" t="s">
        <v>2425</v>
      </c>
      <c r="H123" s="2">
        <f>B577</f>
        <v>58.76</v>
      </c>
      <c r="I123" s="9">
        <f>(H123-H122)/H122</f>
        <v>-1.5745393634840951E-2</v>
      </c>
      <c r="J123" s="2">
        <f>MAX(J122,H123)</f>
        <v>103.9</v>
      </c>
      <c r="K123" s="9">
        <f>(H123-J123)/J123</f>
        <v>-0.43445620789220407</v>
      </c>
      <c r="AB123" s="1">
        <f>A123</f>
        <v>44739</v>
      </c>
      <c r="AC123" s="2">
        <f>B123</f>
        <v>84.75</v>
      </c>
      <c r="AD123" s="2">
        <f>121</f>
        <v>121</v>
      </c>
      <c r="AE123" s="2">
        <f>INTERCEPT($AC$3:$AC$1136,$AD$3:$AD$1136)+SLOPE($AC$3:$AC$1136,$AD$3:$AD$1136)*AD123</f>
        <v>80.040420764186507</v>
      </c>
      <c r="AF123" s="2">
        <f t="shared" si="2"/>
        <v>82.692080364589202</v>
      </c>
      <c r="AG123" s="2">
        <f t="shared" si="3"/>
        <v>77.388761163783812</v>
      </c>
      <c r="AH123" s="22">
        <f>AC123-AE123</f>
        <v>4.7095792358134929</v>
      </c>
    </row>
    <row r="124" spans="1:34" x14ac:dyDescent="0.25">
      <c r="A124" s="1">
        <f>DATEVALUE(Sheet1!A123)</f>
        <v>44740</v>
      </c>
      <c r="B124" s="2">
        <f>VALUE(Sheet1!B123)</f>
        <v>83.9</v>
      </c>
      <c r="C124" s="9">
        <f>(B124-B123)/B123</f>
        <v>-1.0029498525073679E-2</v>
      </c>
      <c r="D124" s="2">
        <f>MAX(D123,B124)</f>
        <v>103.9</v>
      </c>
      <c r="E124" s="9">
        <f>(B124-D124)/D124</f>
        <v>-0.19249278152069296</v>
      </c>
      <c r="G124" t="s">
        <v>2426</v>
      </c>
      <c r="H124" s="2">
        <f>B582</f>
        <v>58.11</v>
      </c>
      <c r="I124" s="9">
        <f>(H124-H123)/H123</f>
        <v>-1.1061946902654843E-2</v>
      </c>
      <c r="J124" s="2">
        <f>MAX(J123,H124)</f>
        <v>103.9</v>
      </c>
      <c r="K124" s="9">
        <f>(H124-J124)/J124</f>
        <v>-0.44071222329162663</v>
      </c>
      <c r="AB124" s="1">
        <f>A124</f>
        <v>44740</v>
      </c>
      <c r="AC124" s="2">
        <f>B124</f>
        <v>83.9</v>
      </c>
      <c r="AD124" s="2">
        <f>122</f>
        <v>122</v>
      </c>
      <c r="AE124" s="2">
        <f>INTERCEPT($AC$3:$AC$1136,$AD$3:$AD$1136)+SLOPE($AC$3:$AC$1136,$AD$3:$AD$1136)*AD124</f>
        <v>80.021708800774064</v>
      </c>
      <c r="AF124" s="2">
        <f t="shared" si="2"/>
        <v>82.673368401176759</v>
      </c>
      <c r="AG124" s="2">
        <f t="shared" si="3"/>
        <v>77.370049200371369</v>
      </c>
      <c r="AH124" s="22">
        <f>AC124-AE124</f>
        <v>3.8782911992259415</v>
      </c>
    </row>
    <row r="125" spans="1:34" x14ac:dyDescent="0.25">
      <c r="A125" s="1">
        <f>DATEVALUE(Sheet1!A124)</f>
        <v>44741</v>
      </c>
      <c r="B125" s="2">
        <f>VALUE(Sheet1!B124)</f>
        <v>84.85</v>
      </c>
      <c r="C125" s="9">
        <f>(B125-B124)/B124</f>
        <v>1.1323003575685204E-2</v>
      </c>
      <c r="D125" s="2">
        <f>MAX(D124,B125)</f>
        <v>103.9</v>
      </c>
      <c r="E125" s="9">
        <f>(B125-D125)/D125</f>
        <v>-0.18334937439846016</v>
      </c>
      <c r="G125" t="s">
        <v>2427</v>
      </c>
      <c r="H125" s="2">
        <f>B586</f>
        <v>58.2</v>
      </c>
      <c r="I125" s="9">
        <f>(H125-H124)/H124</f>
        <v>1.5487867836861712E-3</v>
      </c>
      <c r="J125" s="2">
        <f>MAX(J124,H125)</f>
        <v>103.9</v>
      </c>
      <c r="K125" s="9">
        <f>(H125-J125)/J125</f>
        <v>-0.43984600577478344</v>
      </c>
      <c r="AB125" s="1">
        <f>A125</f>
        <v>44741</v>
      </c>
      <c r="AC125" s="2">
        <f>B125</f>
        <v>84.85</v>
      </c>
      <c r="AD125" s="2">
        <f>123</f>
        <v>123</v>
      </c>
      <c r="AE125" s="2">
        <f>INTERCEPT($AC$3:$AC$1136,$AD$3:$AD$1136)+SLOPE($AC$3:$AC$1136,$AD$3:$AD$1136)*AD125</f>
        <v>80.002996837361621</v>
      </c>
      <c r="AF125" s="2">
        <f t="shared" si="2"/>
        <v>82.654656437764316</v>
      </c>
      <c r="AG125" s="2">
        <f t="shared" si="3"/>
        <v>77.351337236958926</v>
      </c>
      <c r="AH125" s="22">
        <f>AC125-AE125</f>
        <v>4.8470031626383729</v>
      </c>
    </row>
    <row r="126" spans="1:34" x14ac:dyDescent="0.25">
      <c r="A126" s="1">
        <f>DATEVALUE(Sheet1!A125)</f>
        <v>44742</v>
      </c>
      <c r="B126" s="2">
        <f>VALUE(Sheet1!B125)</f>
        <v>83.55</v>
      </c>
      <c r="C126" s="9">
        <f>(B126-B125)/B125</f>
        <v>-1.5321154979375336E-2</v>
      </c>
      <c r="D126" s="2">
        <f>MAX(D125,B126)</f>
        <v>103.9</v>
      </c>
      <c r="E126" s="9">
        <f>(B126-D126)/D126</f>
        <v>-0.19586140519730516</v>
      </c>
      <c r="G126" t="s">
        <v>2428</v>
      </c>
      <c r="H126" s="2">
        <f>B591</f>
        <v>58.83</v>
      </c>
      <c r="I126" s="9">
        <f>(H126-H125)/H125</f>
        <v>1.0824742268041159E-2</v>
      </c>
      <c r="J126" s="2">
        <f>MAX(J125,H126)</f>
        <v>103.9</v>
      </c>
      <c r="K126" s="9">
        <f>(H126-J126)/J126</f>
        <v>-0.43378248315688167</v>
      </c>
      <c r="AB126" s="1">
        <f>A126</f>
        <v>44742</v>
      </c>
      <c r="AC126" s="2">
        <f>B126</f>
        <v>83.55</v>
      </c>
      <c r="AD126" s="2">
        <f>124</f>
        <v>124</v>
      </c>
      <c r="AE126" s="2">
        <f>INTERCEPT($AC$3:$AC$1136,$AD$3:$AD$1136)+SLOPE($AC$3:$AC$1136,$AD$3:$AD$1136)*AD126</f>
        <v>79.984284873949164</v>
      </c>
      <c r="AF126" s="2">
        <f t="shared" si="2"/>
        <v>82.635944474351859</v>
      </c>
      <c r="AG126" s="2">
        <f t="shared" si="3"/>
        <v>77.332625273546469</v>
      </c>
      <c r="AH126" s="22">
        <f>AC126-AE126</f>
        <v>3.5657151260508329</v>
      </c>
    </row>
    <row r="127" spans="1:34" x14ac:dyDescent="0.25">
      <c r="A127" s="1">
        <f>DATEVALUE(Sheet1!A126)</f>
        <v>44743</v>
      </c>
      <c r="B127" s="2">
        <f>VALUE(Sheet1!B126)</f>
        <v>83.16</v>
      </c>
      <c r="C127" s="9">
        <f>(B127-B126)/B126</f>
        <v>-4.6678635547576369E-3</v>
      </c>
      <c r="D127" s="2">
        <f>MAX(D126,B127)</f>
        <v>103.9</v>
      </c>
      <c r="E127" s="9">
        <f>(B127-D127)/D127</f>
        <v>-0.1996150144369587</v>
      </c>
      <c r="G127" t="s">
        <v>2429</v>
      </c>
      <c r="H127" s="2">
        <f>B596</f>
        <v>59.68</v>
      </c>
      <c r="I127" s="9">
        <f>(H127-H126)/H126</f>
        <v>1.4448410674825794E-2</v>
      </c>
      <c r="J127" s="2">
        <f>MAX(J126,H127)</f>
        <v>103.9</v>
      </c>
      <c r="K127" s="9">
        <f>(H127-J127)/J127</f>
        <v>-0.42560153994225219</v>
      </c>
      <c r="AB127" s="1">
        <f>A127</f>
        <v>44743</v>
      </c>
      <c r="AC127" s="2">
        <f>B127</f>
        <v>83.16</v>
      </c>
      <c r="AD127" s="2">
        <f>125</f>
        <v>125</v>
      </c>
      <c r="AE127" s="2">
        <f>INTERCEPT($AC$3:$AC$1136,$AD$3:$AD$1136)+SLOPE($AC$3:$AC$1136,$AD$3:$AD$1136)*AD127</f>
        <v>79.965572910536721</v>
      </c>
      <c r="AF127" s="2">
        <f t="shared" si="2"/>
        <v>82.617232510939417</v>
      </c>
      <c r="AG127" s="2">
        <f t="shared" si="3"/>
        <v>77.313913310134026</v>
      </c>
      <c r="AH127" s="22">
        <f>AC127-AE127</f>
        <v>3.1944270894632751</v>
      </c>
    </row>
    <row r="128" spans="1:34" x14ac:dyDescent="0.25">
      <c r="A128" s="1">
        <f>DATEVALUE(Sheet1!A127)</f>
        <v>44746</v>
      </c>
      <c r="B128" s="2">
        <f>VALUE(Sheet1!B127)</f>
        <v>83.24</v>
      </c>
      <c r="C128" s="9">
        <f>(B128-B127)/B127</f>
        <v>9.6200096200094154E-4</v>
      </c>
      <c r="D128" s="2">
        <f>MAX(D127,B128)</f>
        <v>103.9</v>
      </c>
      <c r="E128" s="9">
        <f>(B128-D128)/D128</f>
        <v>-0.19884504331087594</v>
      </c>
      <c r="G128" t="s">
        <v>2430</v>
      </c>
      <c r="H128" s="2">
        <f>B601</f>
        <v>59.67</v>
      </c>
      <c r="I128" s="9">
        <f>(H128-H127)/H127</f>
        <v>-1.6756032171578436E-4</v>
      </c>
      <c r="J128" s="2">
        <f>MAX(J127,H128)</f>
        <v>103.9</v>
      </c>
      <c r="K128" s="9">
        <f>(H128-J128)/J128</f>
        <v>-0.42569778633301253</v>
      </c>
      <c r="AB128" s="1">
        <f>A128</f>
        <v>44746</v>
      </c>
      <c r="AC128" s="2">
        <f>B128</f>
        <v>83.24</v>
      </c>
      <c r="AD128" s="2">
        <f>126</f>
        <v>126</v>
      </c>
      <c r="AE128" s="2">
        <f>INTERCEPT($AC$3:$AC$1136,$AD$3:$AD$1136)+SLOPE($AC$3:$AC$1136,$AD$3:$AD$1136)*AD128</f>
        <v>79.946860947124279</v>
      </c>
      <c r="AF128" s="2">
        <f t="shared" si="2"/>
        <v>82.598520547526974</v>
      </c>
      <c r="AG128" s="2">
        <f t="shared" si="3"/>
        <v>77.295201346721583</v>
      </c>
      <c r="AH128" s="22">
        <f>AC128-AE128</f>
        <v>3.2931390528757163</v>
      </c>
    </row>
    <row r="129" spans="1:34" x14ac:dyDescent="0.25">
      <c r="A129" s="1">
        <f>DATEVALUE(Sheet1!A128)</f>
        <v>44747</v>
      </c>
      <c r="B129" s="2">
        <f>VALUE(Sheet1!B128)</f>
        <v>82.6</v>
      </c>
      <c r="C129" s="9">
        <f>(B129-B128)/B128</f>
        <v>-7.6886112445939524E-3</v>
      </c>
      <c r="D129" s="2">
        <f>MAX(D128,B129)</f>
        <v>103.9</v>
      </c>
      <c r="E129" s="9">
        <f>(B129-D129)/D129</f>
        <v>-0.20500481231953813</v>
      </c>
      <c r="G129" t="s">
        <v>2431</v>
      </c>
      <c r="H129" s="2">
        <f>B605</f>
        <v>58.95</v>
      </c>
      <c r="I129" s="9">
        <f>(H129-H128)/H128</f>
        <v>-1.206636500754146E-2</v>
      </c>
      <c r="J129" s="2">
        <f>MAX(J128,H129)</f>
        <v>103.9</v>
      </c>
      <c r="K129" s="9">
        <f>(H129-J129)/J129</f>
        <v>-0.43262752646775748</v>
      </c>
      <c r="AB129" s="1">
        <f>A129</f>
        <v>44747</v>
      </c>
      <c r="AC129" s="2">
        <f>B129</f>
        <v>82.6</v>
      </c>
      <c r="AD129" s="2">
        <f>127</f>
        <v>127</v>
      </c>
      <c r="AE129" s="2">
        <f>INTERCEPT($AC$3:$AC$1136,$AD$3:$AD$1136)+SLOPE($AC$3:$AC$1136,$AD$3:$AD$1136)*AD129</f>
        <v>79.928148983711836</v>
      </c>
      <c r="AF129" s="2">
        <f t="shared" si="2"/>
        <v>82.579808584114531</v>
      </c>
      <c r="AG129" s="2">
        <f t="shared" si="3"/>
        <v>77.276489383309141</v>
      </c>
      <c r="AH129" s="22">
        <f>AC129-AE129</f>
        <v>2.6718510162881586</v>
      </c>
    </row>
    <row r="130" spans="1:34" x14ac:dyDescent="0.25">
      <c r="A130" s="1">
        <f>DATEVALUE(Sheet1!A129)</f>
        <v>44748</v>
      </c>
      <c r="B130" s="2">
        <f>VALUE(Sheet1!B129)</f>
        <v>82.19</v>
      </c>
      <c r="C130" s="9">
        <f>(B130-B129)/B129</f>
        <v>-4.9636803874091601E-3</v>
      </c>
      <c r="D130" s="2">
        <f>MAX(D129,B130)</f>
        <v>103.9</v>
      </c>
      <c r="E130" s="9">
        <f>(B130-D130)/D130</f>
        <v>-0.20895091434071228</v>
      </c>
      <c r="G130" t="s">
        <v>2432</v>
      </c>
      <c r="H130" s="2">
        <f>B610</f>
        <v>58.22</v>
      </c>
      <c r="I130" s="9">
        <f>(H130-H129)/H129</f>
        <v>-1.2383375742154435E-2</v>
      </c>
      <c r="J130" s="2">
        <f>MAX(J129,H130)</f>
        <v>103.9</v>
      </c>
      <c r="K130" s="9">
        <f>(H130-J130)/J130</f>
        <v>-0.43965351299326277</v>
      </c>
      <c r="AB130" s="1">
        <f>A130</f>
        <v>44748</v>
      </c>
      <c r="AC130" s="2">
        <f>B130</f>
        <v>82.19</v>
      </c>
      <c r="AD130" s="2">
        <f>128</f>
        <v>128</v>
      </c>
      <c r="AE130" s="2">
        <f>INTERCEPT($AC$3:$AC$1136,$AD$3:$AD$1136)+SLOPE($AC$3:$AC$1136,$AD$3:$AD$1136)*AD130</f>
        <v>79.909437020299379</v>
      </c>
      <c r="AF130" s="2">
        <f t="shared" si="2"/>
        <v>82.561096620702074</v>
      </c>
      <c r="AG130" s="2">
        <f t="shared" si="3"/>
        <v>77.257777419896684</v>
      </c>
      <c r="AH130" s="22">
        <f>AC130-AE130</f>
        <v>2.2805629797006191</v>
      </c>
    </row>
    <row r="131" spans="1:34" x14ac:dyDescent="0.25">
      <c r="A131" s="1">
        <f>DATEVALUE(Sheet1!A130)</f>
        <v>44749</v>
      </c>
      <c r="B131" s="2">
        <f>VALUE(Sheet1!B130)</f>
        <v>81.680000000000007</v>
      </c>
      <c r="C131" s="9">
        <f>(B131-B130)/B130</f>
        <v>-6.2051344445795218E-3</v>
      </c>
      <c r="D131" s="2">
        <f>MAX(D130,B131)</f>
        <v>103.9</v>
      </c>
      <c r="E131" s="9">
        <f>(B131-D131)/D131</f>
        <v>-0.21385948026948987</v>
      </c>
      <c r="G131" t="s">
        <v>2433</v>
      </c>
      <c r="H131" s="2">
        <f>B615</f>
        <v>57.72</v>
      </c>
      <c r="I131" s="9">
        <f>(H131-H130)/H130</f>
        <v>-8.5881140501545862E-3</v>
      </c>
      <c r="J131" s="2">
        <f>MAX(J130,H131)</f>
        <v>103.9</v>
      </c>
      <c r="K131" s="9">
        <f>(H131-J131)/J131</f>
        <v>-0.44446583253128014</v>
      </c>
      <c r="AB131" s="1">
        <f>A131</f>
        <v>44749</v>
      </c>
      <c r="AC131" s="2">
        <f>B131</f>
        <v>81.680000000000007</v>
      </c>
      <c r="AD131" s="2">
        <f>129</f>
        <v>129</v>
      </c>
      <c r="AE131" s="2">
        <f>INTERCEPT($AC$3:$AC$1136,$AD$3:$AD$1136)+SLOPE($AC$3:$AC$1136,$AD$3:$AD$1136)*AD131</f>
        <v>79.890725056886936</v>
      </c>
      <c r="AF131" s="2">
        <f t="shared" si="2"/>
        <v>82.542384657289631</v>
      </c>
      <c r="AG131" s="2">
        <f t="shared" si="3"/>
        <v>77.239065456484241</v>
      </c>
      <c r="AH131" s="22">
        <f>AC131-AE131</f>
        <v>1.789274943113071</v>
      </c>
    </row>
    <row r="132" spans="1:34" x14ac:dyDescent="0.25">
      <c r="A132" s="1">
        <f>DATEVALUE(Sheet1!A131)</f>
        <v>44750</v>
      </c>
      <c r="B132" s="2">
        <f>VALUE(Sheet1!B131)</f>
        <v>81.5</v>
      </c>
      <c r="C132" s="9">
        <f>(B132-B131)/B131</f>
        <v>-2.2037218413321108E-3</v>
      </c>
      <c r="D132" s="2">
        <f>MAX(D131,B132)</f>
        <v>103.9</v>
      </c>
      <c r="E132" s="9">
        <f>(B132-D132)/D132</f>
        <v>-0.21559191530317617</v>
      </c>
      <c r="G132" t="s">
        <v>2434</v>
      </c>
      <c r="H132" s="2">
        <f>B620</f>
        <v>57.26</v>
      </c>
      <c r="I132" s="9">
        <f>(H132-H131)/H131</f>
        <v>-7.969507969507985E-3</v>
      </c>
      <c r="J132" s="2">
        <f>MAX(J131,H132)</f>
        <v>103.9</v>
      </c>
      <c r="K132" s="9">
        <f>(H132-J132)/J132</f>
        <v>-0.44889316650625605</v>
      </c>
      <c r="AB132" s="1">
        <f>A132</f>
        <v>44750</v>
      </c>
      <c r="AC132" s="2">
        <f>B132</f>
        <v>81.5</v>
      </c>
      <c r="AD132" s="2">
        <f>130</f>
        <v>130</v>
      </c>
      <c r="AE132" s="2">
        <f>INTERCEPT($AC$3:$AC$1136,$AD$3:$AD$1136)+SLOPE($AC$3:$AC$1136,$AD$3:$AD$1136)*AD132</f>
        <v>79.872013093474493</v>
      </c>
      <c r="AF132" s="2">
        <f t="shared" ref="AF132:AF195" si="4">AE132+$AJ$5*$AJ$4</f>
        <v>82.523672693877188</v>
      </c>
      <c r="AG132" s="2">
        <f t="shared" ref="AG132:AG195" si="5">AE132-$AJ$5*$AJ$4</f>
        <v>77.220353493071798</v>
      </c>
      <c r="AH132" s="22">
        <f>AC132-AE132</f>
        <v>1.627986906525507</v>
      </c>
    </row>
    <row r="133" spans="1:34" x14ac:dyDescent="0.25">
      <c r="A133" s="1">
        <f>DATEVALUE(Sheet1!A132)</f>
        <v>44753</v>
      </c>
      <c r="B133" s="2">
        <f>VALUE(Sheet1!B132)</f>
        <v>82.36</v>
      </c>
      <c r="C133" s="9">
        <f>(B133-B132)/B132</f>
        <v>1.0552147239263796E-2</v>
      </c>
      <c r="D133" s="2">
        <f>MAX(D132,B133)</f>
        <v>103.9</v>
      </c>
      <c r="E133" s="9">
        <f>(B133-D133)/D133</f>
        <v>-0.20731472569778639</v>
      </c>
      <c r="G133" t="s">
        <v>2435</v>
      </c>
      <c r="H133" s="2">
        <f>B625</f>
        <v>57.32</v>
      </c>
      <c r="I133" s="9">
        <f>(H133-H132)/H132</f>
        <v>1.0478519035976646E-3</v>
      </c>
      <c r="J133" s="2">
        <f>MAX(J132,H133)</f>
        <v>103.9</v>
      </c>
      <c r="K133" s="9">
        <f>(H133-J133)/J133</f>
        <v>-0.44831568816169398</v>
      </c>
      <c r="AB133" s="1">
        <f>A133</f>
        <v>44753</v>
      </c>
      <c r="AC133" s="2">
        <f>B133</f>
        <v>82.36</v>
      </c>
      <c r="AD133" s="2">
        <f>131</f>
        <v>131</v>
      </c>
      <c r="AE133" s="2">
        <f>INTERCEPT($AC$3:$AC$1136,$AD$3:$AD$1136)+SLOPE($AC$3:$AC$1136,$AD$3:$AD$1136)*AD133</f>
        <v>79.853301130062036</v>
      </c>
      <c r="AF133" s="2">
        <f t="shared" si="4"/>
        <v>82.504960730464731</v>
      </c>
      <c r="AG133" s="2">
        <f t="shared" si="5"/>
        <v>77.201641529659341</v>
      </c>
      <c r="AH133" s="22">
        <f>AC133-AE133</f>
        <v>2.5066988699379635</v>
      </c>
    </row>
    <row r="134" spans="1:34" x14ac:dyDescent="0.25">
      <c r="A134" s="1">
        <f>DATEVALUE(Sheet1!A133)</f>
        <v>44754</v>
      </c>
      <c r="B134" s="2">
        <f>VALUE(Sheet1!B133)</f>
        <v>83.12</v>
      </c>
      <c r="C134" s="9">
        <f>(B134-B133)/B133</f>
        <v>9.2277804759592665E-3</v>
      </c>
      <c r="D134" s="2">
        <f>MAX(D133,B134)</f>
        <v>103.9</v>
      </c>
      <c r="E134" s="9">
        <f>(B134-D134)/D134</f>
        <v>-0.2</v>
      </c>
      <c r="G134" t="s">
        <v>2436</v>
      </c>
      <c r="H134" s="2">
        <f>B630</f>
        <v>56.14</v>
      </c>
      <c r="I134" s="9">
        <f>(H134-H133)/H133</f>
        <v>-2.0586182833217021E-2</v>
      </c>
      <c r="J134" s="2">
        <f>MAX(J133,H134)</f>
        <v>103.9</v>
      </c>
      <c r="K134" s="9">
        <f>(H134-J134)/J134</f>
        <v>-0.45967276227141485</v>
      </c>
      <c r="AB134" s="1">
        <f>A134</f>
        <v>44754</v>
      </c>
      <c r="AC134" s="2">
        <f>B134</f>
        <v>83.12</v>
      </c>
      <c r="AD134" s="2">
        <f>132</f>
        <v>132</v>
      </c>
      <c r="AE134" s="2">
        <f>INTERCEPT($AC$3:$AC$1136,$AD$3:$AD$1136)+SLOPE($AC$3:$AC$1136,$AD$3:$AD$1136)*AD134</f>
        <v>79.834589166649593</v>
      </c>
      <c r="AF134" s="2">
        <f t="shared" si="4"/>
        <v>82.486248767052288</v>
      </c>
      <c r="AG134" s="2">
        <f t="shared" si="5"/>
        <v>77.182929566246898</v>
      </c>
      <c r="AH134" s="22">
        <f>AC134-AE134</f>
        <v>3.2854108333504115</v>
      </c>
    </row>
    <row r="135" spans="1:34" x14ac:dyDescent="0.25">
      <c r="A135" s="1">
        <f>DATEVALUE(Sheet1!A134)</f>
        <v>44755</v>
      </c>
      <c r="B135" s="2">
        <f>VALUE(Sheet1!B134)</f>
        <v>82.73</v>
      </c>
      <c r="C135" s="9">
        <f>(B135-B134)/B134</f>
        <v>-4.6920115495668975E-3</v>
      </c>
      <c r="D135" s="2">
        <f>MAX(D134,B135)</f>
        <v>103.9</v>
      </c>
      <c r="E135" s="9">
        <f>(B135-D135)/D135</f>
        <v>-0.20375360923965352</v>
      </c>
      <c r="G135" t="s">
        <v>2437</v>
      </c>
      <c r="H135" s="2">
        <f>B635</f>
        <v>56.35</v>
      </c>
      <c r="I135" s="9">
        <f>(H135-H134)/H134</f>
        <v>3.7406483790523842E-3</v>
      </c>
      <c r="J135" s="2">
        <f>MAX(J134,H135)</f>
        <v>103.9</v>
      </c>
      <c r="K135" s="9">
        <f>(H135-J135)/J135</f>
        <v>-0.45765158806544753</v>
      </c>
      <c r="AB135" s="1">
        <f>A135</f>
        <v>44755</v>
      </c>
      <c r="AC135" s="2">
        <f>B135</f>
        <v>82.73</v>
      </c>
      <c r="AD135" s="2">
        <f>133</f>
        <v>133</v>
      </c>
      <c r="AE135" s="2">
        <f>INTERCEPT($AC$3:$AC$1136,$AD$3:$AD$1136)+SLOPE($AC$3:$AC$1136,$AD$3:$AD$1136)*AD135</f>
        <v>79.81587720323715</v>
      </c>
      <c r="AF135" s="2">
        <f t="shared" si="4"/>
        <v>82.467536803639845</v>
      </c>
      <c r="AG135" s="2">
        <f t="shared" si="5"/>
        <v>77.164217602834455</v>
      </c>
      <c r="AH135" s="22">
        <f>AC135-AE135</f>
        <v>2.9141227967628538</v>
      </c>
    </row>
    <row r="136" spans="1:34" x14ac:dyDescent="0.25">
      <c r="A136" s="1">
        <f>DATEVALUE(Sheet1!A135)</f>
        <v>44756</v>
      </c>
      <c r="B136" s="2">
        <f>VALUE(Sheet1!B135)</f>
        <v>82.58</v>
      </c>
      <c r="C136" s="9">
        <f>(B136-B135)/B135</f>
        <v>-1.8131270397679883E-3</v>
      </c>
      <c r="D136" s="2">
        <f>MAX(D135,B136)</f>
        <v>103.9</v>
      </c>
      <c r="E136" s="9">
        <f>(B136-D136)/D136</f>
        <v>-0.20519730510105877</v>
      </c>
      <c r="G136" t="s">
        <v>16</v>
      </c>
      <c r="H136" s="2">
        <f>B640</f>
        <v>57.56</v>
      </c>
      <c r="I136" s="9">
        <f>(H136-H135)/H135</f>
        <v>2.1472937000887326E-2</v>
      </c>
      <c r="J136" s="2">
        <f>MAX(J135,H136)</f>
        <v>103.9</v>
      </c>
      <c r="K136" s="9">
        <f>(H136-J136)/J136</f>
        <v>-0.44600577478344561</v>
      </c>
      <c r="AB136" s="1">
        <f>A136</f>
        <v>44756</v>
      </c>
      <c r="AC136" s="2">
        <f>B136</f>
        <v>82.58</v>
      </c>
      <c r="AD136" s="2">
        <f>134</f>
        <v>134</v>
      </c>
      <c r="AE136" s="2">
        <f>INTERCEPT($AC$3:$AC$1136,$AD$3:$AD$1136)+SLOPE($AC$3:$AC$1136,$AD$3:$AD$1136)*AD136</f>
        <v>79.797165239824707</v>
      </c>
      <c r="AF136" s="2">
        <f t="shared" si="4"/>
        <v>82.448824840227402</v>
      </c>
      <c r="AG136" s="2">
        <f t="shared" si="5"/>
        <v>77.145505639422012</v>
      </c>
      <c r="AH136" s="22">
        <f>AC136-AE136</f>
        <v>2.782834760175291</v>
      </c>
    </row>
    <row r="137" spans="1:34" x14ac:dyDescent="0.25">
      <c r="A137" s="1">
        <f>DATEVALUE(Sheet1!A136)</f>
        <v>44757</v>
      </c>
      <c r="B137" s="2">
        <f>VALUE(Sheet1!B136)</f>
        <v>82.46</v>
      </c>
      <c r="C137" s="9">
        <f>(B137-B136)/B136</f>
        <v>-1.45313635262781E-3</v>
      </c>
      <c r="D137" s="2">
        <f>MAX(D136,B137)</f>
        <v>103.9</v>
      </c>
      <c r="E137" s="9">
        <f>(B137-D137)/D137</f>
        <v>-0.20635226179018298</v>
      </c>
      <c r="G137" t="s">
        <v>17</v>
      </c>
      <c r="H137" s="2">
        <f>B645</f>
        <v>58.45</v>
      </c>
      <c r="I137" s="9">
        <f>(H137-H136)/H136</f>
        <v>1.5462126476719953E-2</v>
      </c>
      <c r="J137" s="2">
        <f>MAX(J136,H137)</f>
        <v>103.9</v>
      </c>
      <c r="K137" s="9">
        <f>(H137-J137)/J137</f>
        <v>-0.43743984600577479</v>
      </c>
      <c r="AB137" s="1">
        <f>A137</f>
        <v>44757</v>
      </c>
      <c r="AC137" s="2">
        <f>B137</f>
        <v>82.46</v>
      </c>
      <c r="AD137" s="2">
        <f>135</f>
        <v>135</v>
      </c>
      <c r="AE137" s="2">
        <f>INTERCEPT($AC$3:$AC$1136,$AD$3:$AD$1136)+SLOPE($AC$3:$AC$1136,$AD$3:$AD$1136)*AD137</f>
        <v>79.77845327641225</v>
      </c>
      <c r="AF137" s="2">
        <f t="shared" si="4"/>
        <v>82.430112876814945</v>
      </c>
      <c r="AG137" s="2">
        <f t="shared" si="5"/>
        <v>77.126793676009555</v>
      </c>
      <c r="AH137" s="22">
        <f>AC137-AE137</f>
        <v>2.6815467235877435</v>
      </c>
    </row>
    <row r="138" spans="1:34" x14ac:dyDescent="0.25">
      <c r="A138" s="1">
        <f>DATEVALUE(Sheet1!A137)</f>
        <v>44760</v>
      </c>
      <c r="B138" s="2">
        <f>VALUE(Sheet1!B137)</f>
        <v>82.36</v>
      </c>
      <c r="C138" s="9">
        <f>(B138-B137)/B137</f>
        <v>-1.212709192335609E-3</v>
      </c>
      <c r="D138" s="2">
        <f>MAX(D137,B138)</f>
        <v>103.9</v>
      </c>
      <c r="E138" s="9">
        <f>(B138-D138)/D138</f>
        <v>-0.20731472569778639</v>
      </c>
      <c r="G138" t="s">
        <v>18</v>
      </c>
      <c r="H138" s="2">
        <f>B650</f>
        <v>59.14</v>
      </c>
      <c r="I138" s="9">
        <f>(H138-H137)/H137</f>
        <v>1.1804961505560268E-2</v>
      </c>
      <c r="J138" s="2">
        <f>MAX(J137,H138)</f>
        <v>103.9</v>
      </c>
      <c r="K138" s="9">
        <f>(H138-J138)/J138</f>
        <v>-0.4307988450433109</v>
      </c>
      <c r="AB138" s="1">
        <f>A138</f>
        <v>44760</v>
      </c>
      <c r="AC138" s="2">
        <f>B138</f>
        <v>82.36</v>
      </c>
      <c r="AD138" s="2">
        <f>136</f>
        <v>136</v>
      </c>
      <c r="AE138" s="2">
        <f>INTERCEPT($AC$3:$AC$1136,$AD$3:$AD$1136)+SLOPE($AC$3:$AC$1136,$AD$3:$AD$1136)*AD138</f>
        <v>79.759741312999807</v>
      </c>
      <c r="AF138" s="2">
        <f t="shared" si="4"/>
        <v>82.411400913402503</v>
      </c>
      <c r="AG138" s="2">
        <f t="shared" si="5"/>
        <v>77.108081712597112</v>
      </c>
      <c r="AH138" s="22">
        <f>AC138-AE138</f>
        <v>2.600258687000192</v>
      </c>
    </row>
    <row r="139" spans="1:34" x14ac:dyDescent="0.25">
      <c r="A139" s="1">
        <f>DATEVALUE(Sheet1!A138)</f>
        <v>44761</v>
      </c>
      <c r="B139" s="2">
        <f>VALUE(Sheet1!B138)</f>
        <v>81.67</v>
      </c>
      <c r="C139" s="9">
        <f>(B139-B138)/B138</f>
        <v>-8.3778533268576705E-3</v>
      </c>
      <c r="D139" s="2">
        <f>MAX(D138,B139)</f>
        <v>103.9</v>
      </c>
      <c r="E139" s="9">
        <f>(B139-D139)/D139</f>
        <v>-0.21395572666025026</v>
      </c>
      <c r="G139" t="s">
        <v>19</v>
      </c>
      <c r="H139" s="2">
        <f>B655</f>
        <v>59.07</v>
      </c>
      <c r="I139" s="9">
        <f>(H139-H138)/H138</f>
        <v>-1.1836320595197884E-3</v>
      </c>
      <c r="J139" s="2">
        <f>MAX(J138,H139)</f>
        <v>103.9</v>
      </c>
      <c r="K139" s="9">
        <f>(H139-J139)/J139</f>
        <v>-0.43147256977863335</v>
      </c>
      <c r="AB139" s="1">
        <f>A139</f>
        <v>44761</v>
      </c>
      <c r="AC139" s="2">
        <f>B139</f>
        <v>81.67</v>
      </c>
      <c r="AD139" s="2">
        <f>137</f>
        <v>137</v>
      </c>
      <c r="AE139" s="2">
        <f>INTERCEPT($AC$3:$AC$1136,$AD$3:$AD$1136)+SLOPE($AC$3:$AC$1136,$AD$3:$AD$1136)*AD139</f>
        <v>79.741029349587365</v>
      </c>
      <c r="AF139" s="2">
        <f t="shared" si="4"/>
        <v>82.39268894999006</v>
      </c>
      <c r="AG139" s="2">
        <f t="shared" si="5"/>
        <v>77.089369749184669</v>
      </c>
      <c r="AH139" s="22">
        <f>AC139-AE139</f>
        <v>1.9289706504126372</v>
      </c>
    </row>
    <row r="140" spans="1:34" x14ac:dyDescent="0.25">
      <c r="A140" s="1">
        <f>DATEVALUE(Sheet1!A139)</f>
        <v>44762</v>
      </c>
      <c r="B140" s="2">
        <f>VALUE(Sheet1!B139)</f>
        <v>81.41</v>
      </c>
      <c r="C140" s="9">
        <f>(B140-B139)/B139</f>
        <v>-3.1835435288356203E-3</v>
      </c>
      <c r="D140" s="2">
        <f>MAX(D139,B140)</f>
        <v>103.9</v>
      </c>
      <c r="E140" s="9">
        <f>(B140-D140)/D140</f>
        <v>-0.21645813282001933</v>
      </c>
      <c r="G140" t="s">
        <v>20</v>
      </c>
      <c r="H140" s="2">
        <f>B660</f>
        <v>59.83</v>
      </c>
      <c r="I140" s="9">
        <f>(H140-H139)/H139</f>
        <v>1.2866091078381547E-2</v>
      </c>
      <c r="J140" s="2">
        <f>MAX(J139,H140)</f>
        <v>103.9</v>
      </c>
      <c r="K140" s="9">
        <f>(H140-J140)/J140</f>
        <v>-0.424157844080847</v>
      </c>
      <c r="AB140" s="1">
        <f>A140</f>
        <v>44762</v>
      </c>
      <c r="AC140" s="2">
        <f>B140</f>
        <v>81.41</v>
      </c>
      <c r="AD140" s="2">
        <f>138</f>
        <v>138</v>
      </c>
      <c r="AE140" s="2">
        <f>INTERCEPT($AC$3:$AC$1136,$AD$3:$AD$1136)+SLOPE($AC$3:$AC$1136,$AD$3:$AD$1136)*AD140</f>
        <v>79.722317386174922</v>
      </c>
      <c r="AF140" s="2">
        <f t="shared" si="4"/>
        <v>82.373976986577617</v>
      </c>
      <c r="AG140" s="2">
        <f t="shared" si="5"/>
        <v>77.070657785772227</v>
      </c>
      <c r="AH140" s="22">
        <f>AC140-AE140</f>
        <v>1.6876826138250749</v>
      </c>
    </row>
    <row r="141" spans="1:34" x14ac:dyDescent="0.25">
      <c r="A141" s="1">
        <f>DATEVALUE(Sheet1!A140)</f>
        <v>44763</v>
      </c>
      <c r="B141" s="2">
        <f>VALUE(Sheet1!B140)</f>
        <v>80.849999999999994</v>
      </c>
      <c r="C141" s="9">
        <f>(B141-B140)/B140</f>
        <v>-6.878761822871911E-3</v>
      </c>
      <c r="D141" s="2">
        <f>MAX(D140,B141)</f>
        <v>103.9</v>
      </c>
      <c r="E141" s="9">
        <f>(B141-D141)/D141</f>
        <v>-0.22184793070259876</v>
      </c>
      <c r="G141" t="s">
        <v>21</v>
      </c>
      <c r="H141" s="2">
        <f>B665</f>
        <v>59.74</v>
      </c>
      <c r="I141" s="9">
        <f>(H141-H140)/H140</f>
        <v>-1.504262075881603E-3</v>
      </c>
      <c r="J141" s="2">
        <f>MAX(J140,H141)</f>
        <v>103.9</v>
      </c>
      <c r="K141" s="9">
        <f>(H141-J141)/J141</f>
        <v>-0.42502406159769007</v>
      </c>
      <c r="AB141" s="1">
        <f>A141</f>
        <v>44763</v>
      </c>
      <c r="AC141" s="2">
        <f>B141</f>
        <v>80.849999999999994</v>
      </c>
      <c r="AD141" s="2">
        <f>139</f>
        <v>139</v>
      </c>
      <c r="AE141" s="2">
        <f>INTERCEPT($AC$3:$AC$1136,$AD$3:$AD$1136)+SLOPE($AC$3:$AC$1136,$AD$3:$AD$1136)*AD141</f>
        <v>79.703605422762465</v>
      </c>
      <c r="AF141" s="2">
        <f t="shared" si="4"/>
        <v>82.35526502316516</v>
      </c>
      <c r="AG141" s="2">
        <f t="shared" si="5"/>
        <v>77.05194582235977</v>
      </c>
      <c r="AH141" s="22">
        <f>AC141-AE141</f>
        <v>1.1463945772375297</v>
      </c>
    </row>
    <row r="142" spans="1:34" x14ac:dyDescent="0.25">
      <c r="A142" s="1">
        <f>DATEVALUE(Sheet1!A141)</f>
        <v>44764</v>
      </c>
      <c r="B142" s="2">
        <f>VALUE(Sheet1!B141)</f>
        <v>80.06</v>
      </c>
      <c r="C142" s="9">
        <f>(B142-B141)/B141</f>
        <v>-9.7711811997525308E-3</v>
      </c>
      <c r="D142" s="2">
        <f>MAX(D141,B142)</f>
        <v>103.9</v>
      </c>
      <c r="E142" s="9">
        <f>(B142-D142)/D142</f>
        <v>-0.22945139557266606</v>
      </c>
      <c r="G142" t="s">
        <v>22</v>
      </c>
      <c r="H142" s="2">
        <f>B670</f>
        <v>60.7</v>
      </c>
      <c r="I142" s="9">
        <f>(H142-H141)/H141</f>
        <v>1.6069635085369949E-2</v>
      </c>
      <c r="J142" s="2">
        <f>MAX(J141,H142)</f>
        <v>103.9</v>
      </c>
      <c r="K142" s="9">
        <f>(H142-J142)/J142</f>
        <v>-0.41578440808469685</v>
      </c>
      <c r="AB142" s="1">
        <f>A142</f>
        <v>44764</v>
      </c>
      <c r="AC142" s="2">
        <f>B142</f>
        <v>80.06</v>
      </c>
      <c r="AD142" s="2">
        <f>140</f>
        <v>140</v>
      </c>
      <c r="AE142" s="2">
        <f>INTERCEPT($AC$3:$AC$1136,$AD$3:$AD$1136)+SLOPE($AC$3:$AC$1136,$AD$3:$AD$1136)*AD142</f>
        <v>79.684893459350022</v>
      </c>
      <c r="AF142" s="2">
        <f t="shared" si="4"/>
        <v>82.336553059752717</v>
      </c>
      <c r="AG142" s="2">
        <f t="shared" si="5"/>
        <v>77.033233858947327</v>
      </c>
      <c r="AH142" s="22">
        <f>AC142-AE142</f>
        <v>0.3751065406499805</v>
      </c>
    </row>
    <row r="143" spans="1:34" x14ac:dyDescent="0.25">
      <c r="A143" s="1">
        <f>DATEVALUE(Sheet1!A142)</f>
        <v>44767</v>
      </c>
      <c r="B143" s="2">
        <f>VALUE(Sheet1!B142)</f>
        <v>80.2</v>
      </c>
      <c r="C143" s="9">
        <f>(B143-B142)/B142</f>
        <v>1.7486884836372791E-3</v>
      </c>
      <c r="D143" s="2">
        <f>MAX(D142,B143)</f>
        <v>103.9</v>
      </c>
      <c r="E143" s="9">
        <f>(B143-D143)/D143</f>
        <v>-0.2281039461020212</v>
      </c>
      <c r="G143" t="s">
        <v>23</v>
      </c>
      <c r="H143" s="2">
        <f>B675</f>
        <v>62.33</v>
      </c>
      <c r="I143" s="9">
        <f>(H143-H142)/H142</f>
        <v>2.6853377265238804E-2</v>
      </c>
      <c r="J143" s="2">
        <f>MAX(J142,H143)</f>
        <v>103.9</v>
      </c>
      <c r="K143" s="9">
        <f>(H143-J143)/J143</f>
        <v>-0.40009624639076041</v>
      </c>
      <c r="AB143" s="1">
        <f>A143</f>
        <v>44767</v>
      </c>
      <c r="AC143" s="2">
        <f>B143</f>
        <v>80.2</v>
      </c>
      <c r="AD143" s="2">
        <f>141</f>
        <v>141</v>
      </c>
      <c r="AE143" s="2">
        <f>INTERCEPT($AC$3:$AC$1136,$AD$3:$AD$1136)+SLOPE($AC$3:$AC$1136,$AD$3:$AD$1136)*AD143</f>
        <v>79.666181495937579</v>
      </c>
      <c r="AF143" s="2">
        <f t="shared" si="4"/>
        <v>82.317841096340274</v>
      </c>
      <c r="AG143" s="2">
        <f t="shared" si="5"/>
        <v>77.014521895534884</v>
      </c>
      <c r="AH143" s="22">
        <f>AC143-AE143</f>
        <v>0.53381850406242393</v>
      </c>
    </row>
    <row r="144" spans="1:34" x14ac:dyDescent="0.25">
      <c r="A144" s="1">
        <f>DATEVALUE(Sheet1!A143)</f>
        <v>44768</v>
      </c>
      <c r="B144" s="2">
        <f>VALUE(Sheet1!B143)</f>
        <v>81.27</v>
      </c>
      <c r="C144" s="9">
        <f>(B144-B143)/B143</f>
        <v>1.3341645885286697E-2</v>
      </c>
      <c r="D144" s="2">
        <f>MAX(D143,B144)</f>
        <v>103.9</v>
      </c>
      <c r="E144" s="9">
        <f>(B144-D144)/D144</f>
        <v>-0.21780558229066418</v>
      </c>
      <c r="G144" t="s">
        <v>24</v>
      </c>
      <c r="H144" s="2">
        <f>B680</f>
        <v>62.42</v>
      </c>
      <c r="I144" s="9">
        <f>(H144-H143)/H143</f>
        <v>1.4439274827531432E-3</v>
      </c>
      <c r="J144" s="2">
        <f>MAX(J143,H144)</f>
        <v>103.9</v>
      </c>
      <c r="K144" s="9">
        <f>(H144-J144)/J144</f>
        <v>-0.39923002887391723</v>
      </c>
      <c r="AB144" s="1">
        <f>A144</f>
        <v>44768</v>
      </c>
      <c r="AC144" s="2">
        <f>B144</f>
        <v>81.27</v>
      </c>
      <c r="AD144" s="2">
        <f>142</f>
        <v>142</v>
      </c>
      <c r="AE144" s="2">
        <f>INTERCEPT($AC$3:$AC$1136,$AD$3:$AD$1136)+SLOPE($AC$3:$AC$1136,$AD$3:$AD$1136)*AD144</f>
        <v>79.647469532525122</v>
      </c>
      <c r="AF144" s="2">
        <f t="shared" si="4"/>
        <v>82.299129132927817</v>
      </c>
      <c r="AG144" s="2">
        <f t="shared" si="5"/>
        <v>76.995809932122427</v>
      </c>
      <c r="AH144" s="22">
        <f>AC144-AE144</f>
        <v>1.6225304674748742</v>
      </c>
    </row>
    <row r="145" spans="1:34" x14ac:dyDescent="0.25">
      <c r="A145" s="1">
        <f>DATEVALUE(Sheet1!A144)</f>
        <v>44769</v>
      </c>
      <c r="B145" s="2">
        <f>VALUE(Sheet1!B144)</f>
        <v>81.400000000000006</v>
      </c>
      <c r="C145" s="9">
        <f>(B145-B144)/B144</f>
        <v>1.5996062507691604E-3</v>
      </c>
      <c r="D145" s="2">
        <f>MAX(D144,B145)</f>
        <v>103.9</v>
      </c>
      <c r="E145" s="9">
        <f>(B145-D145)/D145</f>
        <v>-0.21655437921077958</v>
      </c>
      <c r="G145" t="s">
        <v>25</v>
      </c>
      <c r="H145" s="2">
        <f>B685</f>
        <v>62.69</v>
      </c>
      <c r="I145" s="9">
        <f>(H145-H144)/H144</f>
        <v>4.3255366869592443E-3</v>
      </c>
      <c r="J145" s="2">
        <f>MAX(J144,H145)</f>
        <v>103.9</v>
      </c>
      <c r="K145" s="9">
        <f>(H145-J145)/J145</f>
        <v>-0.39663137632338791</v>
      </c>
      <c r="AB145" s="1">
        <f>A145</f>
        <v>44769</v>
      </c>
      <c r="AC145" s="2">
        <f>B145</f>
        <v>81.400000000000006</v>
      </c>
      <c r="AD145" s="2">
        <f>143</f>
        <v>143</v>
      </c>
      <c r="AE145" s="2">
        <f>INTERCEPT($AC$3:$AC$1136,$AD$3:$AD$1136)+SLOPE($AC$3:$AC$1136,$AD$3:$AD$1136)*AD145</f>
        <v>79.628757569112679</v>
      </c>
      <c r="AF145" s="2">
        <f t="shared" si="4"/>
        <v>82.280417169515374</v>
      </c>
      <c r="AG145" s="2">
        <f t="shared" si="5"/>
        <v>76.977097968709984</v>
      </c>
      <c r="AH145" s="22">
        <f>AC145-AE145</f>
        <v>1.7712424308873267</v>
      </c>
    </row>
    <row r="146" spans="1:34" x14ac:dyDescent="0.25">
      <c r="A146" s="1">
        <f>DATEVALUE(Sheet1!A145)</f>
        <v>44770</v>
      </c>
      <c r="B146" s="2">
        <f>VALUE(Sheet1!B145)</f>
        <v>81.78</v>
      </c>
      <c r="C146" s="9">
        <f>(B146-B145)/B145</f>
        <v>4.668304668304612E-3</v>
      </c>
      <c r="D146" s="2">
        <f>MAX(D145,B146)</f>
        <v>103.9</v>
      </c>
      <c r="E146" s="9">
        <f>(B146-D146)/D146</f>
        <v>-0.21289701636188646</v>
      </c>
      <c r="G146" t="s">
        <v>26</v>
      </c>
      <c r="H146" s="2">
        <f>B690</f>
        <v>64.3</v>
      </c>
      <c r="I146" s="9">
        <f>(H146-H145)/H145</f>
        <v>2.568192694209602E-2</v>
      </c>
      <c r="J146" s="2">
        <f>MAX(J145,H146)</f>
        <v>103.9</v>
      </c>
      <c r="K146" s="9">
        <f>(H146-J146)/J146</f>
        <v>-0.38113570741097214</v>
      </c>
      <c r="AB146" s="1">
        <f>A146</f>
        <v>44770</v>
      </c>
      <c r="AC146" s="2">
        <f>B146</f>
        <v>81.78</v>
      </c>
      <c r="AD146" s="2">
        <f>144</f>
        <v>144</v>
      </c>
      <c r="AE146" s="2">
        <f>INTERCEPT($AC$3:$AC$1136,$AD$3:$AD$1136)+SLOPE($AC$3:$AC$1136,$AD$3:$AD$1136)*AD146</f>
        <v>79.610045605700236</v>
      </c>
      <c r="AF146" s="2">
        <f t="shared" si="4"/>
        <v>82.261705206102931</v>
      </c>
      <c r="AG146" s="2">
        <f t="shared" si="5"/>
        <v>76.958386005297541</v>
      </c>
      <c r="AH146" s="22">
        <f>AC146-AE146</f>
        <v>2.169954394299765</v>
      </c>
    </row>
    <row r="147" spans="1:34" x14ac:dyDescent="0.25">
      <c r="A147" s="1">
        <f>DATEVALUE(Sheet1!A146)</f>
        <v>44771</v>
      </c>
      <c r="B147" s="2">
        <f>VALUE(Sheet1!B146)</f>
        <v>82.93</v>
      </c>
      <c r="C147" s="9">
        <f>(B147-B146)/B146</f>
        <v>1.4062117877231666E-2</v>
      </c>
      <c r="D147" s="2">
        <f>MAX(D146,B147)</f>
        <v>103.9</v>
      </c>
      <c r="E147" s="9">
        <f>(B147-D147)/D147</f>
        <v>-0.20182868142444657</v>
      </c>
      <c r="G147" t="s">
        <v>27</v>
      </c>
      <c r="H147" s="2">
        <f>B695</f>
        <v>66.05</v>
      </c>
      <c r="I147" s="9">
        <f>(H147-H146)/H146</f>
        <v>2.7216174183514776E-2</v>
      </c>
      <c r="J147" s="2">
        <f>MAX(J146,H147)</f>
        <v>103.9</v>
      </c>
      <c r="K147" s="9">
        <f>(H147-J147)/J147</f>
        <v>-0.36429258902791151</v>
      </c>
      <c r="AB147" s="1">
        <f>A147</f>
        <v>44771</v>
      </c>
      <c r="AC147" s="2">
        <f>B147</f>
        <v>82.93</v>
      </c>
      <c r="AD147" s="2">
        <f>145</f>
        <v>145</v>
      </c>
      <c r="AE147" s="2">
        <f>INTERCEPT($AC$3:$AC$1136,$AD$3:$AD$1136)+SLOPE($AC$3:$AC$1136,$AD$3:$AD$1136)*AD147</f>
        <v>79.591333642287793</v>
      </c>
      <c r="AF147" s="2">
        <f t="shared" si="4"/>
        <v>82.242993242690488</v>
      </c>
      <c r="AG147" s="2">
        <f t="shared" si="5"/>
        <v>76.939674041885098</v>
      </c>
      <c r="AH147" s="22">
        <f>AC147-AE147</f>
        <v>3.3386663577122135</v>
      </c>
    </row>
    <row r="148" spans="1:34" x14ac:dyDescent="0.25">
      <c r="A148" s="1">
        <f>DATEVALUE(Sheet1!A147)</f>
        <v>44774</v>
      </c>
      <c r="B148" s="2">
        <f>VALUE(Sheet1!B147)</f>
        <v>82.64</v>
      </c>
      <c r="C148" s="9">
        <f>(B148-B147)/B147</f>
        <v>-3.4969251175691091E-3</v>
      </c>
      <c r="D148" s="2">
        <f>MAX(D147,B148)</f>
        <v>103.9</v>
      </c>
      <c r="E148" s="9">
        <f>(B148-D148)/D148</f>
        <v>-0.20461982675649668</v>
      </c>
      <c r="G148" t="s">
        <v>28</v>
      </c>
      <c r="H148" s="2">
        <f>B700</f>
        <v>67.81</v>
      </c>
      <c r="I148" s="9">
        <f>(H148-H147)/H147</f>
        <v>2.6646479939439898E-2</v>
      </c>
      <c r="J148" s="2">
        <f>MAX(J147,H148)</f>
        <v>103.9</v>
      </c>
      <c r="K148" s="9">
        <f>(H148-J148)/J148</f>
        <v>-0.34735322425409049</v>
      </c>
      <c r="AB148" s="1">
        <f>A148</f>
        <v>44774</v>
      </c>
      <c r="AC148" s="2">
        <f>B148</f>
        <v>82.64</v>
      </c>
      <c r="AD148" s="2">
        <f>146</f>
        <v>146</v>
      </c>
      <c r="AE148" s="2">
        <f>INTERCEPT($AC$3:$AC$1136,$AD$3:$AD$1136)+SLOPE($AC$3:$AC$1136,$AD$3:$AD$1136)*AD148</f>
        <v>79.572621678875336</v>
      </c>
      <c r="AF148" s="2">
        <f t="shared" si="4"/>
        <v>82.224281279278031</v>
      </c>
      <c r="AG148" s="2">
        <f t="shared" si="5"/>
        <v>76.920962078472641</v>
      </c>
      <c r="AH148" s="22">
        <f>AC148-AE148</f>
        <v>3.0673783211246644</v>
      </c>
    </row>
    <row r="149" spans="1:34" x14ac:dyDescent="0.25">
      <c r="A149" s="1">
        <f>DATEVALUE(Sheet1!A148)</f>
        <v>44775</v>
      </c>
      <c r="B149" s="2">
        <f>VALUE(Sheet1!B148)</f>
        <v>82.58</v>
      </c>
      <c r="C149" s="9">
        <f>(B149-B148)/B148</f>
        <v>-7.2604065827689107E-4</v>
      </c>
      <c r="D149" s="2">
        <f>MAX(D148,B149)</f>
        <v>103.9</v>
      </c>
      <c r="E149" s="9">
        <f>(B149-D149)/D149</f>
        <v>-0.20519730510105877</v>
      </c>
      <c r="G149" t="s">
        <v>29</v>
      </c>
      <c r="H149" s="2">
        <f>B705</f>
        <v>69.760000000000005</v>
      </c>
      <c r="I149" s="9">
        <f>(H149-H148)/H148</f>
        <v>2.8756820527945773E-2</v>
      </c>
      <c r="J149" s="2">
        <f>MAX(J148,H149)</f>
        <v>103.9</v>
      </c>
      <c r="K149" s="9">
        <f>(H149-J149)/J149</f>
        <v>-0.32858517805582288</v>
      </c>
      <c r="AB149" s="1">
        <f>A149</f>
        <v>44775</v>
      </c>
      <c r="AC149" s="2">
        <f>B149</f>
        <v>82.58</v>
      </c>
      <c r="AD149" s="2">
        <f>147</f>
        <v>147</v>
      </c>
      <c r="AE149" s="2">
        <f>INTERCEPT($AC$3:$AC$1136,$AD$3:$AD$1136)+SLOPE($AC$3:$AC$1136,$AD$3:$AD$1136)*AD149</f>
        <v>79.553909715462893</v>
      </c>
      <c r="AF149" s="2">
        <f t="shared" si="4"/>
        <v>82.205569315865588</v>
      </c>
      <c r="AG149" s="2">
        <f t="shared" si="5"/>
        <v>76.902250115060198</v>
      </c>
      <c r="AH149" s="22">
        <f>AC149-AE149</f>
        <v>3.0260902845371049</v>
      </c>
    </row>
    <row r="150" spans="1:34" x14ac:dyDescent="0.25">
      <c r="A150" s="1">
        <f>DATEVALUE(Sheet1!A149)</f>
        <v>44776</v>
      </c>
      <c r="B150" s="2">
        <f>VALUE(Sheet1!B149)</f>
        <v>82.41</v>
      </c>
      <c r="C150" s="9">
        <f>(B150-B149)/B149</f>
        <v>-2.0586098328893403E-3</v>
      </c>
      <c r="D150" s="2">
        <f>MAX(D149,B150)</f>
        <v>103.9</v>
      </c>
      <c r="E150" s="9">
        <f>(B150-D150)/D150</f>
        <v>-0.20683349374398469</v>
      </c>
      <c r="G150" t="s">
        <v>30</v>
      </c>
      <c r="H150" s="2">
        <f>B710</f>
        <v>72.17</v>
      </c>
      <c r="I150" s="9">
        <f>(H150-H149)/H149</f>
        <v>3.4547018348623802E-2</v>
      </c>
      <c r="J150" s="2">
        <f>MAX(J149,H150)</f>
        <v>103.9</v>
      </c>
      <c r="K150" s="9">
        <f>(H150-J150)/J150</f>
        <v>-0.30538979788257942</v>
      </c>
      <c r="AB150" s="1">
        <f>A150</f>
        <v>44776</v>
      </c>
      <c r="AC150" s="2">
        <f>B150</f>
        <v>82.41</v>
      </c>
      <c r="AD150" s="2">
        <f>148</f>
        <v>148</v>
      </c>
      <c r="AE150" s="2">
        <f>INTERCEPT($AC$3:$AC$1136,$AD$3:$AD$1136)+SLOPE($AC$3:$AC$1136,$AD$3:$AD$1136)*AD150</f>
        <v>79.535197752050451</v>
      </c>
      <c r="AF150" s="2">
        <f t="shared" si="4"/>
        <v>82.186857352453146</v>
      </c>
      <c r="AG150" s="2">
        <f t="shared" si="5"/>
        <v>76.883538151647755</v>
      </c>
      <c r="AH150" s="22">
        <f>AC150-AE150</f>
        <v>2.8748022479495461</v>
      </c>
    </row>
    <row r="151" spans="1:34" x14ac:dyDescent="0.25">
      <c r="A151" s="1">
        <f>DATEVALUE(Sheet1!A150)</f>
        <v>44777</v>
      </c>
      <c r="B151" s="2">
        <f>VALUE(Sheet1!B150)</f>
        <v>82.24</v>
      </c>
      <c r="C151" s="9">
        <f>(B151-B150)/B150</f>
        <v>-2.0628564494600378E-3</v>
      </c>
      <c r="D151" s="2">
        <f>MAX(D150,B151)</f>
        <v>103.9</v>
      </c>
      <c r="E151" s="9">
        <f>(B151-D151)/D151</f>
        <v>-0.20846968238691058</v>
      </c>
      <c r="G151" t="s">
        <v>31</v>
      </c>
      <c r="H151" s="2">
        <f>B715</f>
        <v>72.930000000000007</v>
      </c>
      <c r="I151" s="9">
        <f>(H151-H150)/H150</f>
        <v>1.053069142302903E-2</v>
      </c>
      <c r="J151" s="2">
        <f>MAX(J150,H151)</f>
        <v>103.9</v>
      </c>
      <c r="K151" s="9">
        <f>(H151-J151)/J151</f>
        <v>-0.29807507218479307</v>
      </c>
      <c r="AB151" s="1">
        <f>A151</f>
        <v>44777</v>
      </c>
      <c r="AC151" s="2">
        <f>B151</f>
        <v>82.24</v>
      </c>
      <c r="AD151" s="2">
        <f>149</f>
        <v>149</v>
      </c>
      <c r="AE151" s="2">
        <f>INTERCEPT($AC$3:$AC$1136,$AD$3:$AD$1136)+SLOPE($AC$3:$AC$1136,$AD$3:$AD$1136)*AD151</f>
        <v>79.516485788638008</v>
      </c>
      <c r="AF151" s="2">
        <f t="shared" si="4"/>
        <v>82.168145389040703</v>
      </c>
      <c r="AG151" s="2">
        <f t="shared" si="5"/>
        <v>76.864826188235313</v>
      </c>
      <c r="AH151" s="22">
        <f>AC151-AE151</f>
        <v>2.7235142113619872</v>
      </c>
    </row>
    <row r="152" spans="1:34" x14ac:dyDescent="0.25">
      <c r="A152" s="1">
        <f>DATEVALUE(Sheet1!A151)</f>
        <v>44778</v>
      </c>
      <c r="B152" s="2">
        <f>VALUE(Sheet1!B151)</f>
        <v>81.91</v>
      </c>
      <c r="C152" s="9">
        <f>(B152-B151)/B151</f>
        <v>-4.0126459143968668E-3</v>
      </c>
      <c r="D152" s="2">
        <f>MAX(D151,B152)</f>
        <v>103.9</v>
      </c>
      <c r="E152" s="9">
        <f>(B152-D152)/D152</f>
        <v>-0.21164581328200199</v>
      </c>
      <c r="G152" t="s">
        <v>32</v>
      </c>
      <c r="H152" s="2">
        <f>B720</f>
        <v>74.55</v>
      </c>
      <c r="I152" s="9">
        <f>(H152-H151)/H151</f>
        <v>2.2213081036610315E-2</v>
      </c>
      <c r="J152" s="2">
        <f>MAX(J151,H152)</f>
        <v>103.9</v>
      </c>
      <c r="K152" s="9">
        <f>(H152-J152)/J152</f>
        <v>-0.28248315688161701</v>
      </c>
      <c r="AB152" s="1">
        <f>A152</f>
        <v>44778</v>
      </c>
      <c r="AC152" s="2">
        <f>B152</f>
        <v>81.91</v>
      </c>
      <c r="AD152" s="2">
        <f>150</f>
        <v>150</v>
      </c>
      <c r="AE152" s="2">
        <f>INTERCEPT($AC$3:$AC$1136,$AD$3:$AD$1136)+SLOPE($AC$3:$AC$1136,$AD$3:$AD$1136)*AD152</f>
        <v>79.497773825225551</v>
      </c>
      <c r="AF152" s="2">
        <f t="shared" si="4"/>
        <v>82.149433425628246</v>
      </c>
      <c r="AG152" s="2">
        <f t="shared" si="5"/>
        <v>76.846114224822855</v>
      </c>
      <c r="AH152" s="22">
        <f>AC152-AE152</f>
        <v>2.412226174774446</v>
      </c>
    </row>
    <row r="153" spans="1:34" x14ac:dyDescent="0.25">
      <c r="A153" s="1">
        <f>DATEVALUE(Sheet1!A152)</f>
        <v>44781</v>
      </c>
      <c r="B153" s="2">
        <f>VALUE(Sheet1!B152)</f>
        <v>82.05</v>
      </c>
      <c r="C153" s="9">
        <f>(B153-B152)/B152</f>
        <v>1.7091930167256815E-3</v>
      </c>
      <c r="D153" s="2">
        <f>MAX(D152,B153)</f>
        <v>103.9</v>
      </c>
      <c r="E153" s="9">
        <f>(B153-D153)/D153</f>
        <v>-0.21029836381135714</v>
      </c>
      <c r="G153" t="s">
        <v>33</v>
      </c>
      <c r="H153" s="2">
        <f>B724</f>
        <v>74.66</v>
      </c>
      <c r="I153" s="9">
        <f>(H153-H152)/H152</f>
        <v>1.4755197853789327E-3</v>
      </c>
      <c r="J153" s="2">
        <f>MAX(J152,H153)</f>
        <v>103.9</v>
      </c>
      <c r="K153" s="9">
        <f>(H153-J153)/J153</f>
        <v>-0.28142444658325322</v>
      </c>
      <c r="AB153" s="1">
        <f>A153</f>
        <v>44781</v>
      </c>
      <c r="AC153" s="2">
        <f>B153</f>
        <v>82.05</v>
      </c>
      <c r="AD153" s="2">
        <f>151</f>
        <v>151</v>
      </c>
      <c r="AE153" s="2">
        <f>INTERCEPT($AC$3:$AC$1136,$AD$3:$AD$1136)+SLOPE($AC$3:$AC$1136,$AD$3:$AD$1136)*AD153</f>
        <v>79.479061861813108</v>
      </c>
      <c r="AF153" s="2">
        <f t="shared" si="4"/>
        <v>82.130721462215803</v>
      </c>
      <c r="AG153" s="2">
        <f t="shared" si="5"/>
        <v>76.827402261410413</v>
      </c>
      <c r="AH153" s="22">
        <f>AC153-AE153</f>
        <v>2.5709381381868894</v>
      </c>
    </row>
    <row r="154" spans="1:34" x14ac:dyDescent="0.25">
      <c r="A154" s="1">
        <f>DATEVALUE(Sheet1!A153)</f>
        <v>44782</v>
      </c>
      <c r="B154" s="2">
        <f>VALUE(Sheet1!B153)</f>
        <v>81.63</v>
      </c>
      <c r="C154" s="9">
        <f>(B154-B153)/B153</f>
        <v>-5.1188299817184852E-3</v>
      </c>
      <c r="D154" s="2">
        <f>MAX(D153,B154)</f>
        <v>103.9</v>
      </c>
      <c r="E154" s="9">
        <f>(B154-D154)/D154</f>
        <v>-0.21434071222329171</v>
      </c>
      <c r="G154" t="s">
        <v>34</v>
      </c>
      <c r="H154" s="2">
        <f>B728</f>
        <v>73.48</v>
      </c>
      <c r="I154" s="9">
        <f>(H154-H153)/H153</f>
        <v>-1.5804982587730949E-2</v>
      </c>
      <c r="J154" s="2">
        <f>MAX(J153,H154)</f>
        <v>103.9</v>
      </c>
      <c r="K154" s="9">
        <f>(H154-J154)/J154</f>
        <v>-0.29278152069297403</v>
      </c>
      <c r="AB154" s="1">
        <f>A154</f>
        <v>44782</v>
      </c>
      <c r="AC154" s="2">
        <f>B154</f>
        <v>81.63</v>
      </c>
      <c r="AD154" s="2">
        <f>152</f>
        <v>152</v>
      </c>
      <c r="AE154" s="2">
        <f>INTERCEPT($AC$3:$AC$1136,$AD$3:$AD$1136)+SLOPE($AC$3:$AC$1136,$AD$3:$AD$1136)*AD154</f>
        <v>79.460349898400665</v>
      </c>
      <c r="AF154" s="2">
        <f t="shared" si="4"/>
        <v>82.11200949880336</v>
      </c>
      <c r="AG154" s="2">
        <f t="shared" si="5"/>
        <v>76.80869029799797</v>
      </c>
      <c r="AH154" s="22">
        <f>AC154-AE154</f>
        <v>2.1696501015993306</v>
      </c>
    </row>
    <row r="155" spans="1:34" x14ac:dyDescent="0.25">
      <c r="A155" s="1">
        <f>DATEVALUE(Sheet1!A154)</f>
        <v>44783</v>
      </c>
      <c r="B155" s="2">
        <f>VALUE(Sheet1!B154)</f>
        <v>82.76</v>
      </c>
      <c r="C155" s="9">
        <f>(B155-B154)/B154</f>
        <v>1.3842949895871735E-2</v>
      </c>
      <c r="D155" s="2">
        <f>MAX(D154,B155)</f>
        <v>103.9</v>
      </c>
      <c r="E155" s="9">
        <f>(B155-D155)/D155</f>
        <v>-0.20346487006737246</v>
      </c>
      <c r="G155" t="s">
        <v>35</v>
      </c>
      <c r="H155" s="2">
        <f>B733</f>
        <v>72.69</v>
      </c>
      <c r="I155" s="9">
        <f>(H155-H154)/H154</f>
        <v>-1.0751224823081195E-2</v>
      </c>
      <c r="J155" s="2">
        <f>MAX(J154,H155)</f>
        <v>103.9</v>
      </c>
      <c r="K155" s="9">
        <f>(H155-J155)/J155</f>
        <v>-0.30038498556304144</v>
      </c>
      <c r="AB155" s="1">
        <f>A155</f>
        <v>44783</v>
      </c>
      <c r="AC155" s="2">
        <f>B155</f>
        <v>82.76</v>
      </c>
      <c r="AD155" s="2">
        <f>153</f>
        <v>153</v>
      </c>
      <c r="AE155" s="2">
        <f>INTERCEPT($AC$3:$AC$1136,$AD$3:$AD$1136)+SLOPE($AC$3:$AC$1136,$AD$3:$AD$1136)*AD155</f>
        <v>79.441637934988208</v>
      </c>
      <c r="AF155" s="2">
        <f t="shared" si="4"/>
        <v>82.093297535390903</v>
      </c>
      <c r="AG155" s="2">
        <f t="shared" si="5"/>
        <v>76.789978334585513</v>
      </c>
      <c r="AH155" s="22">
        <f>AC155-AE155</f>
        <v>3.3183620650117973</v>
      </c>
    </row>
    <row r="156" spans="1:34" x14ac:dyDescent="0.25">
      <c r="A156" s="1">
        <f>DATEVALUE(Sheet1!A155)</f>
        <v>44784</v>
      </c>
      <c r="B156" s="2">
        <f>VALUE(Sheet1!B155)</f>
        <v>81.94</v>
      </c>
      <c r="C156" s="9">
        <f>(B156-B155)/B155</f>
        <v>-9.9081681971968025E-3</v>
      </c>
      <c r="D156" s="2">
        <f>MAX(D155,B156)</f>
        <v>103.9</v>
      </c>
      <c r="E156" s="9">
        <f>(B156-D156)/D156</f>
        <v>-0.21135707410972096</v>
      </c>
      <c r="G156" t="s">
        <v>36</v>
      </c>
      <c r="H156" s="2">
        <f>B738</f>
        <v>73.540000000000006</v>
      </c>
      <c r="I156" s="9">
        <f>(H156-H155)/H155</f>
        <v>1.1693492915119116E-2</v>
      </c>
      <c r="J156" s="2">
        <f>MAX(J155,H156)</f>
        <v>103.9</v>
      </c>
      <c r="K156" s="9">
        <f>(H156-J156)/J156</f>
        <v>-0.29220404234841191</v>
      </c>
      <c r="AB156" s="1">
        <f>A156</f>
        <v>44784</v>
      </c>
      <c r="AC156" s="2">
        <f>B156</f>
        <v>81.94</v>
      </c>
      <c r="AD156" s="2">
        <f>154</f>
        <v>154</v>
      </c>
      <c r="AE156" s="2">
        <f>INTERCEPT($AC$3:$AC$1136,$AD$3:$AD$1136)+SLOPE($AC$3:$AC$1136,$AD$3:$AD$1136)*AD156</f>
        <v>79.422925971575765</v>
      </c>
      <c r="AF156" s="2">
        <f t="shared" si="4"/>
        <v>82.07458557197846</v>
      </c>
      <c r="AG156" s="2">
        <f t="shared" si="5"/>
        <v>76.77126637117307</v>
      </c>
      <c r="AH156" s="22">
        <f>AC156-AE156</f>
        <v>2.5170740284242328</v>
      </c>
    </row>
    <row r="157" spans="1:34" x14ac:dyDescent="0.25">
      <c r="A157" s="1">
        <f>DATEVALUE(Sheet1!A156)</f>
        <v>44785</v>
      </c>
      <c r="B157" s="2">
        <f>VALUE(Sheet1!B156)</f>
        <v>81.55</v>
      </c>
      <c r="C157" s="9">
        <f>(B157-B156)/B156</f>
        <v>-4.7595801806199732E-3</v>
      </c>
      <c r="D157" s="2">
        <f>MAX(D156,B157)</f>
        <v>103.9</v>
      </c>
      <c r="E157" s="9">
        <f>(B157-D157)/D157</f>
        <v>-0.21511068334937447</v>
      </c>
      <c r="G157" t="s">
        <v>37</v>
      </c>
      <c r="H157" s="2">
        <f>B743</f>
        <v>72.89</v>
      </c>
      <c r="I157" s="9">
        <f>(H157-H156)/H156</f>
        <v>-8.8387272232799234E-3</v>
      </c>
      <c r="J157" s="2">
        <f>MAX(J156,H157)</f>
        <v>103.9</v>
      </c>
      <c r="K157" s="9">
        <f>(H157-J157)/J157</f>
        <v>-0.29846005774783446</v>
      </c>
      <c r="AB157" s="1">
        <f>A157</f>
        <v>44785</v>
      </c>
      <c r="AC157" s="2">
        <f>B157</f>
        <v>81.55</v>
      </c>
      <c r="AD157" s="2">
        <f>155</f>
        <v>155</v>
      </c>
      <c r="AE157" s="2">
        <f>INTERCEPT($AC$3:$AC$1136,$AD$3:$AD$1136)+SLOPE($AC$3:$AC$1136,$AD$3:$AD$1136)*AD157</f>
        <v>79.404214008163322</v>
      </c>
      <c r="AF157" s="2">
        <f t="shared" si="4"/>
        <v>82.055873608566017</v>
      </c>
      <c r="AG157" s="2">
        <f t="shared" si="5"/>
        <v>76.752554407760627</v>
      </c>
      <c r="AH157" s="22">
        <f>AC157-AE157</f>
        <v>2.1457859918366751</v>
      </c>
    </row>
    <row r="158" spans="1:34" x14ac:dyDescent="0.25">
      <c r="A158" s="1">
        <f>DATEVALUE(Sheet1!A157)</f>
        <v>44788</v>
      </c>
      <c r="B158" s="2">
        <f>VALUE(Sheet1!B157)</f>
        <v>81.41</v>
      </c>
      <c r="C158" s="9">
        <f>(B158-B157)/B157</f>
        <v>-1.7167381974248998E-3</v>
      </c>
      <c r="D158" s="2">
        <f>MAX(D157,B158)</f>
        <v>103.9</v>
      </c>
      <c r="E158" s="9">
        <f>(B158-D158)/D158</f>
        <v>-0.21645813282001933</v>
      </c>
      <c r="G158" t="s">
        <v>38</v>
      </c>
      <c r="H158" s="2">
        <f>B748</f>
        <v>72.84</v>
      </c>
      <c r="I158" s="9">
        <f>(H158-H157)/H157</f>
        <v>-6.8596515297019009E-4</v>
      </c>
      <c r="J158" s="2">
        <f>MAX(J157,H158)</f>
        <v>103.9</v>
      </c>
      <c r="K158" s="9">
        <f>(H158-J158)/J158</f>
        <v>-0.29894128970163619</v>
      </c>
      <c r="AB158" s="1">
        <f>A158</f>
        <v>44788</v>
      </c>
      <c r="AC158" s="2">
        <f>B158</f>
        <v>81.41</v>
      </c>
      <c r="AD158" s="2">
        <f>156</f>
        <v>156</v>
      </c>
      <c r="AE158" s="2">
        <f>INTERCEPT($AC$3:$AC$1136,$AD$3:$AD$1136)+SLOPE($AC$3:$AC$1136,$AD$3:$AD$1136)*AD158</f>
        <v>79.385502044750879</v>
      </c>
      <c r="AF158" s="2">
        <f t="shared" si="4"/>
        <v>82.037161645153574</v>
      </c>
      <c r="AG158" s="2">
        <f t="shared" si="5"/>
        <v>76.733842444348184</v>
      </c>
      <c r="AH158" s="22">
        <f>AC158-AE158</f>
        <v>2.0244979552491174</v>
      </c>
    </row>
    <row r="159" spans="1:34" x14ac:dyDescent="0.25">
      <c r="A159" s="1">
        <f>DATEVALUE(Sheet1!A158)</f>
        <v>44789</v>
      </c>
      <c r="B159" s="2">
        <f>VALUE(Sheet1!B158)</f>
        <v>82.11</v>
      </c>
      <c r="C159" s="9">
        <f>(B159-B158)/B158</f>
        <v>8.5984522785898885E-3</v>
      </c>
      <c r="D159" s="2">
        <f>MAX(D158,B159)</f>
        <v>103.9</v>
      </c>
      <c r="E159" s="9">
        <f>(B159-D159)/D159</f>
        <v>-0.20972088546679504</v>
      </c>
      <c r="G159" t="s">
        <v>39</v>
      </c>
      <c r="H159" s="2">
        <f>B751</f>
        <v>72.69</v>
      </c>
      <c r="I159" s="9">
        <f>(H159-H158)/H158</f>
        <v>-2.0593080724877221E-3</v>
      </c>
      <c r="J159" s="2">
        <f>MAX(J158,H159)</f>
        <v>103.9</v>
      </c>
      <c r="K159" s="9">
        <f>(H159-J159)/J159</f>
        <v>-0.30038498556304144</v>
      </c>
      <c r="AB159" s="1">
        <f>A159</f>
        <v>44789</v>
      </c>
      <c r="AC159" s="2">
        <f>B159</f>
        <v>82.11</v>
      </c>
      <c r="AD159" s="2">
        <f>157</f>
        <v>157</v>
      </c>
      <c r="AE159" s="2">
        <f>INTERCEPT($AC$3:$AC$1136,$AD$3:$AD$1136)+SLOPE($AC$3:$AC$1136,$AD$3:$AD$1136)*AD159</f>
        <v>79.366790081338422</v>
      </c>
      <c r="AF159" s="2">
        <f t="shared" si="4"/>
        <v>82.018449681741117</v>
      </c>
      <c r="AG159" s="2">
        <f t="shared" si="5"/>
        <v>76.715130480935727</v>
      </c>
      <c r="AH159" s="22">
        <f>AC159-AE159</f>
        <v>2.7432099186615773</v>
      </c>
    </row>
    <row r="160" spans="1:34" x14ac:dyDescent="0.25">
      <c r="A160" s="1">
        <f>DATEVALUE(Sheet1!A159)</f>
        <v>44790</v>
      </c>
      <c r="B160" s="2">
        <f>VALUE(Sheet1!B159)</f>
        <v>82.77</v>
      </c>
      <c r="C160" s="9">
        <f>(B160-B159)/B159</f>
        <v>8.0379978078187388E-3</v>
      </c>
      <c r="D160" s="2">
        <f>MAX(D159,B160)</f>
        <v>103.9</v>
      </c>
      <c r="E160" s="9">
        <f>(B160-D160)/D160</f>
        <v>-0.20336862367661221</v>
      </c>
      <c r="G160" t="s">
        <v>41</v>
      </c>
      <c r="H160" s="2">
        <f>B754</f>
        <v>73.14</v>
      </c>
      <c r="I160" s="9">
        <f>(H160-H159)/H159</f>
        <v>6.190672719768921E-3</v>
      </c>
      <c r="J160" s="2">
        <f>MAX(J159,H160)</f>
        <v>103.9</v>
      </c>
      <c r="K160" s="9">
        <f>(H160-J160)/J160</f>
        <v>-0.29605389797882581</v>
      </c>
      <c r="AB160" s="1">
        <f>A160</f>
        <v>44790</v>
      </c>
      <c r="AC160" s="2">
        <f>B160</f>
        <v>82.77</v>
      </c>
      <c r="AD160" s="2">
        <f>158</f>
        <v>158</v>
      </c>
      <c r="AE160" s="2">
        <f>INTERCEPT($AC$3:$AC$1136,$AD$3:$AD$1136)+SLOPE($AC$3:$AC$1136,$AD$3:$AD$1136)*AD160</f>
        <v>79.348078117925979</v>
      </c>
      <c r="AF160" s="2">
        <f t="shared" si="4"/>
        <v>81.999737718328674</v>
      </c>
      <c r="AG160" s="2">
        <f t="shared" si="5"/>
        <v>76.696418517523284</v>
      </c>
      <c r="AH160" s="22">
        <f>AC160-AE160</f>
        <v>3.4219218820740167</v>
      </c>
    </row>
    <row r="161" spans="1:34" x14ac:dyDescent="0.25">
      <c r="A161" s="1">
        <f>DATEVALUE(Sheet1!A160)</f>
        <v>44791</v>
      </c>
      <c r="B161" s="2">
        <f>VALUE(Sheet1!B160)</f>
        <v>82.1</v>
      </c>
      <c r="C161" s="9">
        <f>(B161-B160)/B160</f>
        <v>-8.094720309290827E-3</v>
      </c>
      <c r="D161" s="2">
        <f>MAX(D160,B161)</f>
        <v>103.9</v>
      </c>
      <c r="E161" s="9">
        <f>(B161-D161)/D161</f>
        <v>-0.20981713185755543</v>
      </c>
      <c r="G161" t="s">
        <v>42</v>
      </c>
      <c r="H161" s="2">
        <f>B759</f>
        <v>74.92</v>
      </c>
      <c r="I161" s="9">
        <f>(H161-H160)/H160</f>
        <v>2.4336888159693752E-2</v>
      </c>
      <c r="J161" s="2">
        <f>MAX(J160,H161)</f>
        <v>103.9</v>
      </c>
      <c r="K161" s="9">
        <f>(H161-J161)/J161</f>
        <v>-0.27892204042348412</v>
      </c>
      <c r="AB161" s="1">
        <f>A161</f>
        <v>44791</v>
      </c>
      <c r="AC161" s="2">
        <f>B161</f>
        <v>82.1</v>
      </c>
      <c r="AD161" s="2">
        <f>159</f>
        <v>159</v>
      </c>
      <c r="AE161" s="2">
        <f>INTERCEPT($AC$3:$AC$1136,$AD$3:$AD$1136)+SLOPE($AC$3:$AC$1136,$AD$3:$AD$1136)*AD161</f>
        <v>79.329366154513536</v>
      </c>
      <c r="AF161" s="2">
        <f t="shared" si="4"/>
        <v>81.981025754916232</v>
      </c>
      <c r="AG161" s="2">
        <f t="shared" si="5"/>
        <v>76.677706554110841</v>
      </c>
      <c r="AH161" s="22">
        <f>AC161-AE161</f>
        <v>2.7706338454864579</v>
      </c>
    </row>
    <row r="162" spans="1:34" x14ac:dyDescent="0.25">
      <c r="A162" s="1">
        <f>DATEVALUE(Sheet1!A161)</f>
        <v>44792</v>
      </c>
      <c r="B162" s="2">
        <f>VALUE(Sheet1!B161)</f>
        <v>82.16</v>
      </c>
      <c r="C162" s="9">
        <f>(B162-B161)/B161</f>
        <v>7.3081607795374276E-4</v>
      </c>
      <c r="D162" s="2">
        <f>MAX(D161,B162)</f>
        <v>103.9</v>
      </c>
      <c r="E162" s="9">
        <f>(B162-D162)/D162</f>
        <v>-0.20923965351299334</v>
      </c>
      <c r="G162" t="s">
        <v>43</v>
      </c>
      <c r="H162" s="2">
        <f>B764</f>
        <v>73.849999999999994</v>
      </c>
      <c r="I162" s="9">
        <f>(H162-H161)/H161</f>
        <v>-1.4281900694073776E-2</v>
      </c>
      <c r="J162" s="2">
        <f>MAX(J161,H162)</f>
        <v>103.9</v>
      </c>
      <c r="K162" s="9">
        <f>(H162-J162)/J162</f>
        <v>-0.2892204042348413</v>
      </c>
      <c r="AB162" s="1">
        <f>A162</f>
        <v>44792</v>
      </c>
      <c r="AC162" s="2">
        <f>B162</f>
        <v>82.16</v>
      </c>
      <c r="AD162" s="2">
        <f>160</f>
        <v>160</v>
      </c>
      <c r="AE162" s="2">
        <f>INTERCEPT($AC$3:$AC$1136,$AD$3:$AD$1136)+SLOPE($AC$3:$AC$1136,$AD$3:$AD$1136)*AD162</f>
        <v>79.310654191101094</v>
      </c>
      <c r="AF162" s="2">
        <f t="shared" si="4"/>
        <v>81.962313791503789</v>
      </c>
      <c r="AG162" s="2">
        <f t="shared" si="5"/>
        <v>76.658994590698398</v>
      </c>
      <c r="AH162" s="22">
        <f>AC162-AE162</f>
        <v>2.849345808898903</v>
      </c>
    </row>
    <row r="163" spans="1:34" x14ac:dyDescent="0.25">
      <c r="A163" s="1">
        <f>DATEVALUE(Sheet1!A162)</f>
        <v>44795</v>
      </c>
      <c r="B163" s="2">
        <f>VALUE(Sheet1!B162)</f>
        <v>81.900000000000006</v>
      </c>
      <c r="C163" s="9">
        <f>(B163-B162)/B162</f>
        <v>-3.1645569620252058E-3</v>
      </c>
      <c r="D163" s="2">
        <f>MAX(D162,B163)</f>
        <v>103.9</v>
      </c>
      <c r="E163" s="9">
        <f>(B163-D163)/D163</f>
        <v>-0.21174205967276227</v>
      </c>
      <c r="G163" t="s">
        <v>44</v>
      </c>
      <c r="H163" s="2">
        <f>B769</f>
        <v>74.040000000000006</v>
      </c>
      <c r="I163" s="9">
        <f>(H163-H162)/H162</f>
        <v>2.5727826675695591E-3</v>
      </c>
      <c r="J163" s="2">
        <f>MAX(J162,H163)</f>
        <v>103.9</v>
      </c>
      <c r="K163" s="9">
        <f>(H163-J163)/J163</f>
        <v>-0.2873917228103946</v>
      </c>
      <c r="AB163" s="1">
        <f>A163</f>
        <v>44795</v>
      </c>
      <c r="AC163" s="2">
        <f>B163</f>
        <v>81.900000000000006</v>
      </c>
      <c r="AD163" s="2">
        <f>161</f>
        <v>161</v>
      </c>
      <c r="AE163" s="2">
        <f>INTERCEPT($AC$3:$AC$1136,$AD$3:$AD$1136)+SLOPE($AC$3:$AC$1136,$AD$3:$AD$1136)*AD163</f>
        <v>79.291942227688637</v>
      </c>
      <c r="AF163" s="2">
        <f t="shared" si="4"/>
        <v>81.943601828091332</v>
      </c>
      <c r="AG163" s="2">
        <f t="shared" si="5"/>
        <v>76.640282627285941</v>
      </c>
      <c r="AH163" s="22">
        <f>AC163-AE163</f>
        <v>2.6080577723113691</v>
      </c>
    </row>
    <row r="164" spans="1:34" x14ac:dyDescent="0.25">
      <c r="A164" s="1">
        <f>DATEVALUE(Sheet1!A163)</f>
        <v>44796</v>
      </c>
      <c r="B164" s="2">
        <f>VALUE(Sheet1!B163)</f>
        <v>82.69</v>
      </c>
      <c r="C164" s="9">
        <f>(B164-B163)/B163</f>
        <v>9.6459096459095475E-3</v>
      </c>
      <c r="D164" s="2">
        <f>MAX(D163,B164)</f>
        <v>103.9</v>
      </c>
      <c r="E164" s="9">
        <f>(B164-D164)/D164</f>
        <v>-0.20413859480269497</v>
      </c>
      <c r="G164" t="s">
        <v>45</v>
      </c>
      <c r="H164" s="2">
        <f>B774</f>
        <v>75.319999999999993</v>
      </c>
      <c r="I164" s="9">
        <f>(H164-H163)/H163</f>
        <v>1.7287952458130564E-2</v>
      </c>
      <c r="J164" s="2">
        <f>MAX(J163,H164)</f>
        <v>103.9</v>
      </c>
      <c r="K164" s="9">
        <f>(H164-J164)/J164</f>
        <v>-0.27507218479307038</v>
      </c>
      <c r="AB164" s="1">
        <f>A164</f>
        <v>44796</v>
      </c>
      <c r="AC164" s="2">
        <f>B164</f>
        <v>82.69</v>
      </c>
      <c r="AD164" s="2">
        <f>162</f>
        <v>162</v>
      </c>
      <c r="AE164" s="2">
        <f>INTERCEPT($AC$3:$AC$1136,$AD$3:$AD$1136)+SLOPE($AC$3:$AC$1136,$AD$3:$AD$1136)*AD164</f>
        <v>79.273230264276194</v>
      </c>
      <c r="AF164" s="2">
        <f t="shared" si="4"/>
        <v>81.924889864678889</v>
      </c>
      <c r="AG164" s="2">
        <f t="shared" si="5"/>
        <v>76.621570663873499</v>
      </c>
      <c r="AH164" s="22">
        <f>AC164-AE164</f>
        <v>3.416769735723804</v>
      </c>
    </row>
    <row r="165" spans="1:34" x14ac:dyDescent="0.25">
      <c r="A165" s="1">
        <f>DATEVALUE(Sheet1!A164)</f>
        <v>44797</v>
      </c>
      <c r="B165" s="2">
        <f>VALUE(Sheet1!B164)</f>
        <v>82.77</v>
      </c>
      <c r="C165" s="9">
        <f>(B165-B164)/B164</f>
        <v>9.6746885959606119E-4</v>
      </c>
      <c r="D165" s="2">
        <f>MAX(D164,B165)</f>
        <v>103.9</v>
      </c>
      <c r="E165" s="9">
        <f>(B165-D165)/D165</f>
        <v>-0.20336862367661221</v>
      </c>
      <c r="G165" t="s">
        <v>46</v>
      </c>
      <c r="H165" s="2">
        <f>B779</f>
        <v>77.260000000000005</v>
      </c>
      <c r="I165" s="9">
        <f>(H165-H164)/H164</f>
        <v>2.5756771109931121E-2</v>
      </c>
      <c r="J165" s="2">
        <f>MAX(J164,H165)</f>
        <v>103.9</v>
      </c>
      <c r="K165" s="9">
        <f>(H165-J165)/J165</f>
        <v>-0.25640038498556306</v>
      </c>
      <c r="AB165" s="1">
        <f>A165</f>
        <v>44797</v>
      </c>
      <c r="AC165" s="2">
        <f>B165</f>
        <v>82.77</v>
      </c>
      <c r="AD165" s="2">
        <f>163</f>
        <v>163</v>
      </c>
      <c r="AE165" s="2">
        <f>INTERCEPT($AC$3:$AC$1136,$AD$3:$AD$1136)+SLOPE($AC$3:$AC$1136,$AD$3:$AD$1136)*AD165</f>
        <v>79.254518300863751</v>
      </c>
      <c r="AF165" s="2">
        <f t="shared" si="4"/>
        <v>81.906177901266446</v>
      </c>
      <c r="AG165" s="2">
        <f t="shared" si="5"/>
        <v>76.602858700461056</v>
      </c>
      <c r="AH165" s="22">
        <f>AC165-AE165</f>
        <v>3.5154816991362452</v>
      </c>
    </row>
    <row r="166" spans="1:34" x14ac:dyDescent="0.25">
      <c r="A166" s="1">
        <f>DATEVALUE(Sheet1!A165)</f>
        <v>44798</v>
      </c>
      <c r="B166" s="2">
        <f>VALUE(Sheet1!B165)</f>
        <v>83.31</v>
      </c>
      <c r="C166" s="9">
        <f>(B166-B165)/B165</f>
        <v>6.5241029358463973E-3</v>
      </c>
      <c r="D166" s="2">
        <f>MAX(D165,B166)</f>
        <v>103.9</v>
      </c>
      <c r="E166" s="9">
        <f>(B166-D166)/D166</f>
        <v>-0.19817131857555345</v>
      </c>
      <c r="G166" t="s">
        <v>47</v>
      </c>
      <c r="H166" s="2">
        <f>B784</f>
        <v>79.62</v>
      </c>
      <c r="I166" s="9">
        <f>(H166-H165)/H165</f>
        <v>3.0546207610665278E-2</v>
      </c>
      <c r="J166" s="2">
        <f>MAX(J165,H166)</f>
        <v>103.9</v>
      </c>
      <c r="K166" s="9">
        <f>(H166-J166)/J166</f>
        <v>-0.23368623676612127</v>
      </c>
      <c r="AB166" s="1">
        <f>A166</f>
        <v>44798</v>
      </c>
      <c r="AC166" s="2">
        <f>B166</f>
        <v>83.31</v>
      </c>
      <c r="AD166" s="2">
        <f>164</f>
        <v>164</v>
      </c>
      <c r="AE166" s="2">
        <f>INTERCEPT($AC$3:$AC$1136,$AD$3:$AD$1136)+SLOPE($AC$3:$AC$1136,$AD$3:$AD$1136)*AD166</f>
        <v>79.235806337451294</v>
      </c>
      <c r="AF166" s="2">
        <f t="shared" si="4"/>
        <v>81.887465937853989</v>
      </c>
      <c r="AG166" s="2">
        <f t="shared" si="5"/>
        <v>76.584146737048599</v>
      </c>
      <c r="AH166" s="22">
        <f>AC166-AE166</f>
        <v>4.0741936625487085</v>
      </c>
    </row>
    <row r="167" spans="1:34" x14ac:dyDescent="0.25">
      <c r="A167" s="1">
        <f>DATEVALUE(Sheet1!A166)</f>
        <v>44799</v>
      </c>
      <c r="B167" s="2">
        <f>VALUE(Sheet1!B166)</f>
        <v>83.6</v>
      </c>
      <c r="C167" s="9">
        <f>(B167-B166)/B166</f>
        <v>3.4809746729083189E-3</v>
      </c>
      <c r="D167" s="2">
        <f>MAX(D166,B167)</f>
        <v>103.9</v>
      </c>
      <c r="E167" s="9">
        <f>(B167-D167)/D167</f>
        <v>-0.19538017324350346</v>
      </c>
      <c r="G167" t="s">
        <v>48</v>
      </c>
      <c r="H167" s="2">
        <f>B789</f>
        <v>84.85</v>
      </c>
      <c r="I167" s="9">
        <f>(H167-H166)/H166</f>
        <v>6.5687013313237744E-2</v>
      </c>
      <c r="J167" s="2">
        <f>MAX(J166,H167)</f>
        <v>103.9</v>
      </c>
      <c r="K167" s="9">
        <f>(H167-J167)/J167</f>
        <v>-0.18334937439846016</v>
      </c>
      <c r="AB167" s="1">
        <f>A167</f>
        <v>44799</v>
      </c>
      <c r="AC167" s="2">
        <f>B167</f>
        <v>83.6</v>
      </c>
      <c r="AD167" s="2">
        <f>165</f>
        <v>165</v>
      </c>
      <c r="AE167" s="2">
        <f>INTERCEPT($AC$3:$AC$1136,$AD$3:$AD$1136)+SLOPE($AC$3:$AC$1136,$AD$3:$AD$1136)*AD167</f>
        <v>79.217094374038851</v>
      </c>
      <c r="AF167" s="2">
        <f t="shared" si="4"/>
        <v>81.868753974441546</v>
      </c>
      <c r="AG167" s="2">
        <f t="shared" si="5"/>
        <v>76.565434773636156</v>
      </c>
      <c r="AH167" s="22">
        <f>AC167-AE167</f>
        <v>4.3829056259611434</v>
      </c>
    </row>
    <row r="168" spans="1:34" x14ac:dyDescent="0.25">
      <c r="A168" s="1">
        <f>DATEVALUE(Sheet1!A167)</f>
        <v>44802</v>
      </c>
      <c r="B168" s="2">
        <f>VALUE(Sheet1!B167)</f>
        <v>83.8</v>
      </c>
      <c r="C168" s="9">
        <f>(B168-B167)/B167</f>
        <v>2.3923444976076897E-3</v>
      </c>
      <c r="D168" s="2">
        <f>MAX(D167,B168)</f>
        <v>103.9</v>
      </c>
      <c r="E168" s="9">
        <f>(B168-D168)/D168</f>
        <v>-0.19345524542829651</v>
      </c>
      <c r="G168" t="s">
        <v>49</v>
      </c>
      <c r="H168" s="2">
        <f>B793</f>
        <v>87.49</v>
      </c>
      <c r="I168" s="9">
        <f>(H168-H167)/H167</f>
        <v>3.1113730111962296E-2</v>
      </c>
      <c r="J168" s="2">
        <f>MAX(J167,H168)</f>
        <v>103.9</v>
      </c>
      <c r="K168" s="9">
        <f>(H168-J168)/J168</f>
        <v>-0.15794032723772869</v>
      </c>
      <c r="AB168" s="1">
        <f>A168</f>
        <v>44802</v>
      </c>
      <c r="AC168" s="2">
        <f>B168</f>
        <v>83.8</v>
      </c>
      <c r="AD168" s="2">
        <f>166</f>
        <v>166</v>
      </c>
      <c r="AE168" s="2">
        <f>INTERCEPT($AC$3:$AC$1136,$AD$3:$AD$1136)+SLOPE($AC$3:$AC$1136,$AD$3:$AD$1136)*AD168</f>
        <v>79.198382410626408</v>
      </c>
      <c r="AF168" s="2">
        <f t="shared" si="4"/>
        <v>81.850042011029103</v>
      </c>
      <c r="AG168" s="2">
        <f t="shared" si="5"/>
        <v>76.546722810223713</v>
      </c>
      <c r="AH168" s="22">
        <f>AC168-AE168</f>
        <v>4.6016175893735891</v>
      </c>
    </row>
    <row r="169" spans="1:34" x14ac:dyDescent="0.25">
      <c r="A169" s="1">
        <f>DATEVALUE(Sheet1!A168)</f>
        <v>44803</v>
      </c>
      <c r="B169" s="2">
        <f>VALUE(Sheet1!B168)</f>
        <v>83.73</v>
      </c>
      <c r="C169" s="9">
        <f>(B169-B168)/B168</f>
        <v>-8.3532219570397592E-4</v>
      </c>
      <c r="D169" s="2">
        <f>MAX(D168,B169)</f>
        <v>103.9</v>
      </c>
      <c r="E169" s="9">
        <f>(B169-D169)/D169</f>
        <v>-0.19412897016361888</v>
      </c>
      <c r="G169" t="s">
        <v>50</v>
      </c>
      <c r="H169" s="2">
        <f>B797</f>
        <v>88.52</v>
      </c>
      <c r="I169" s="9">
        <f>(H169-H168)/H168</f>
        <v>1.1772774031317879E-2</v>
      </c>
      <c r="J169" s="2">
        <f>MAX(J168,H169)</f>
        <v>103.9</v>
      </c>
      <c r="K169" s="9">
        <f>(H169-J169)/J169</f>
        <v>-0.14802694898941299</v>
      </c>
      <c r="AB169" s="1">
        <f>A169</f>
        <v>44803</v>
      </c>
      <c r="AC169" s="2">
        <f>B169</f>
        <v>83.73</v>
      </c>
      <c r="AD169" s="2">
        <f>167</f>
        <v>167</v>
      </c>
      <c r="AE169" s="2">
        <f>INTERCEPT($AC$3:$AC$1136,$AD$3:$AD$1136)+SLOPE($AC$3:$AC$1136,$AD$3:$AD$1136)*AD169</f>
        <v>79.179670447213965</v>
      </c>
      <c r="AF169" s="2">
        <f t="shared" si="4"/>
        <v>81.83133004761666</v>
      </c>
      <c r="AG169" s="2">
        <f t="shared" si="5"/>
        <v>76.52801084681127</v>
      </c>
      <c r="AH169" s="22">
        <f>AC169-AE169</f>
        <v>4.5503295527860388</v>
      </c>
    </row>
    <row r="170" spans="1:34" x14ac:dyDescent="0.25">
      <c r="A170" s="1">
        <f>DATEVALUE(Sheet1!A169)</f>
        <v>44804</v>
      </c>
      <c r="B170" s="2">
        <f>VALUE(Sheet1!B169)</f>
        <v>83.94</v>
      </c>
      <c r="C170" s="9">
        <f>(B170-B169)/B169</f>
        <v>2.5080616266570373E-3</v>
      </c>
      <c r="D170" s="2">
        <f>MAX(D169,B170)</f>
        <v>103.9</v>
      </c>
      <c r="E170" s="9">
        <f>(B170-D170)/D170</f>
        <v>-0.19210779595765165</v>
      </c>
      <c r="G170" t="s">
        <v>51</v>
      </c>
      <c r="H170" s="2">
        <f>B802</f>
        <v>90.26</v>
      </c>
      <c r="I170" s="9">
        <f>(H170-H169)/H169</f>
        <v>1.9656574785359343E-2</v>
      </c>
      <c r="J170" s="2">
        <f>MAX(J169,H170)</f>
        <v>103.9</v>
      </c>
      <c r="K170" s="9">
        <f>(H170-J170)/J170</f>
        <v>-0.13128007699711261</v>
      </c>
      <c r="AB170" s="1">
        <f>A170</f>
        <v>44804</v>
      </c>
      <c r="AC170" s="2">
        <f>B170</f>
        <v>83.94</v>
      </c>
      <c r="AD170" s="2">
        <f>168</f>
        <v>168</v>
      </c>
      <c r="AE170" s="2">
        <f>INTERCEPT($AC$3:$AC$1136,$AD$3:$AD$1136)+SLOPE($AC$3:$AC$1136,$AD$3:$AD$1136)*AD170</f>
        <v>79.160958483801508</v>
      </c>
      <c r="AF170" s="2">
        <f t="shared" si="4"/>
        <v>81.812618084204203</v>
      </c>
      <c r="AG170" s="2">
        <f t="shared" si="5"/>
        <v>76.509298883398813</v>
      </c>
      <c r="AH170" s="22">
        <f>AC170-AE170</f>
        <v>4.7790415161984896</v>
      </c>
    </row>
    <row r="171" spans="1:34" x14ac:dyDescent="0.25">
      <c r="A171" s="1">
        <f>DATEVALUE(Sheet1!A170)</f>
        <v>44805</v>
      </c>
      <c r="B171" s="2">
        <f>VALUE(Sheet1!B170)</f>
        <v>83.66</v>
      </c>
      <c r="C171" s="9">
        <f>(B171-B170)/B170</f>
        <v>-3.3357159876102114E-3</v>
      </c>
      <c r="D171" s="2">
        <f>MAX(D170,B171)</f>
        <v>103.9</v>
      </c>
      <c r="E171" s="9">
        <f>(B171-D171)/D171</f>
        <v>-0.19480269489894136</v>
      </c>
      <c r="G171" t="s">
        <v>52</v>
      </c>
      <c r="H171" s="2">
        <f>B807</f>
        <v>89.74</v>
      </c>
      <c r="I171" s="9">
        <f>(H171-H170)/H170</f>
        <v>-5.7611345003324866E-3</v>
      </c>
      <c r="J171" s="2">
        <f>MAX(J170,H171)</f>
        <v>103.9</v>
      </c>
      <c r="K171" s="9">
        <f>(H171-J171)/J171</f>
        <v>-0.13628488931665073</v>
      </c>
      <c r="AB171" s="1">
        <f>A171</f>
        <v>44805</v>
      </c>
      <c r="AC171" s="2">
        <f>B171</f>
        <v>83.66</v>
      </c>
      <c r="AD171" s="2">
        <f>169</f>
        <v>169</v>
      </c>
      <c r="AE171" s="2">
        <f>INTERCEPT($AC$3:$AC$1136,$AD$3:$AD$1136)+SLOPE($AC$3:$AC$1136,$AD$3:$AD$1136)*AD171</f>
        <v>79.142246520389065</v>
      </c>
      <c r="AF171" s="2">
        <f t="shared" si="4"/>
        <v>81.79390612079176</v>
      </c>
      <c r="AG171" s="2">
        <f t="shared" si="5"/>
        <v>76.49058691998637</v>
      </c>
      <c r="AH171" s="22">
        <f>AC171-AE171</f>
        <v>4.5177534796109313</v>
      </c>
    </row>
    <row r="172" spans="1:34" x14ac:dyDescent="0.25">
      <c r="A172" s="1">
        <f>DATEVALUE(Sheet1!A171)</f>
        <v>44806</v>
      </c>
      <c r="B172" s="2">
        <f>VALUE(Sheet1!B171)</f>
        <v>83.39</v>
      </c>
      <c r="C172" s="9">
        <f>(B172-B171)/B171</f>
        <v>-3.227348792732441E-3</v>
      </c>
      <c r="D172" s="2">
        <f>MAX(D171,B172)</f>
        <v>103.9</v>
      </c>
      <c r="E172" s="9">
        <f>(B172-D172)/D172</f>
        <v>-0.19740134744947069</v>
      </c>
      <c r="G172" t="s">
        <v>53</v>
      </c>
      <c r="H172" s="2">
        <f>B812</f>
        <v>87.71</v>
      </c>
      <c r="I172" s="9">
        <f>(H172-H171)/H171</f>
        <v>-2.2620904836193462E-2</v>
      </c>
      <c r="J172" s="2">
        <f>MAX(J171,H172)</f>
        <v>103.9</v>
      </c>
      <c r="K172" s="9">
        <f>(H172-J172)/J172</f>
        <v>-0.15582290664100107</v>
      </c>
      <c r="AB172" s="1">
        <f>A172</f>
        <v>44806</v>
      </c>
      <c r="AC172" s="2">
        <f>B172</f>
        <v>83.39</v>
      </c>
      <c r="AD172" s="2">
        <f>170</f>
        <v>170</v>
      </c>
      <c r="AE172" s="2">
        <f>INTERCEPT($AC$3:$AC$1136,$AD$3:$AD$1136)+SLOPE($AC$3:$AC$1136,$AD$3:$AD$1136)*AD172</f>
        <v>79.123534556976622</v>
      </c>
      <c r="AF172" s="2">
        <f t="shared" si="4"/>
        <v>81.775194157379318</v>
      </c>
      <c r="AG172" s="2">
        <f t="shared" si="5"/>
        <v>76.471874956573927</v>
      </c>
      <c r="AH172" s="22">
        <f>AC172-AE172</f>
        <v>4.2664654430233782</v>
      </c>
    </row>
    <row r="173" spans="1:34" x14ac:dyDescent="0.25">
      <c r="A173" s="1">
        <f>DATEVALUE(Sheet1!A172)</f>
        <v>44809</v>
      </c>
      <c r="B173" s="2">
        <f>VALUE(Sheet1!B172)</f>
        <v>83.26</v>
      </c>
      <c r="C173" s="9">
        <f>(B173-B172)/B172</f>
        <v>-1.5589399208537648E-3</v>
      </c>
      <c r="D173" s="2">
        <f>MAX(D172,B173)</f>
        <v>103.9</v>
      </c>
      <c r="E173" s="9">
        <f>(B173-D173)/D173</f>
        <v>-0.19865255052935515</v>
      </c>
      <c r="G173" t="s">
        <v>54</v>
      </c>
      <c r="H173" s="2">
        <f>B817</f>
        <v>84.83</v>
      </c>
      <c r="I173" s="9">
        <f>(H173-H172)/H172</f>
        <v>-3.2835480560939413E-2</v>
      </c>
      <c r="J173" s="2">
        <f>MAX(J172,H173)</f>
        <v>103.9</v>
      </c>
      <c r="K173" s="9">
        <f>(H173-J173)/J173</f>
        <v>-0.18354186717998081</v>
      </c>
      <c r="AB173" s="1">
        <f>A173</f>
        <v>44809</v>
      </c>
      <c r="AC173" s="2">
        <f>B173</f>
        <v>83.26</v>
      </c>
      <c r="AD173" s="2">
        <f>171</f>
        <v>171</v>
      </c>
      <c r="AE173" s="2">
        <f>INTERCEPT($AC$3:$AC$1136,$AD$3:$AD$1136)+SLOPE($AC$3:$AC$1136,$AD$3:$AD$1136)*AD173</f>
        <v>79.10482259356418</v>
      </c>
      <c r="AF173" s="2">
        <f t="shared" si="4"/>
        <v>81.756482193966875</v>
      </c>
      <c r="AG173" s="2">
        <f t="shared" si="5"/>
        <v>76.453162993161484</v>
      </c>
      <c r="AH173" s="22">
        <f>AC173-AE173</f>
        <v>4.1551774064358256</v>
      </c>
    </row>
    <row r="174" spans="1:34" x14ac:dyDescent="0.25">
      <c r="A174" s="1">
        <f>DATEVALUE(Sheet1!A173)</f>
        <v>44810</v>
      </c>
      <c r="B174" s="2">
        <f>VALUE(Sheet1!B173)</f>
        <v>83.54</v>
      </c>
      <c r="C174" s="9">
        <f>(B174-B173)/B173</f>
        <v>3.3629594042757761E-3</v>
      </c>
      <c r="D174" s="2">
        <f>MAX(D173,B174)</f>
        <v>103.9</v>
      </c>
      <c r="E174" s="9">
        <f>(B174-D174)/D174</f>
        <v>-0.19595765158806544</v>
      </c>
      <c r="G174" t="s">
        <v>55</v>
      </c>
      <c r="H174" s="2">
        <f>B822</f>
        <v>85.3</v>
      </c>
      <c r="I174" s="9">
        <f>(H174-H173)/H173</f>
        <v>5.5404927502062818E-3</v>
      </c>
      <c r="J174" s="2">
        <f>MAX(J173,H174)</f>
        <v>103.9</v>
      </c>
      <c r="K174" s="9">
        <f>(H174-J174)/J174</f>
        <v>-0.17901828681424453</v>
      </c>
      <c r="AB174" s="1">
        <f>A174</f>
        <v>44810</v>
      </c>
      <c r="AC174" s="2">
        <f>B174</f>
        <v>83.54</v>
      </c>
      <c r="AD174" s="2">
        <f>172</f>
        <v>172</v>
      </c>
      <c r="AE174" s="2">
        <f>INTERCEPT($AC$3:$AC$1136,$AD$3:$AD$1136)+SLOPE($AC$3:$AC$1136,$AD$3:$AD$1136)*AD174</f>
        <v>79.086110630151722</v>
      </c>
      <c r="AF174" s="2">
        <f t="shared" si="4"/>
        <v>81.737770230554418</v>
      </c>
      <c r="AG174" s="2">
        <f t="shared" si="5"/>
        <v>76.434451029749027</v>
      </c>
      <c r="AH174" s="22">
        <f>AC174-AE174</f>
        <v>4.4538893698482838</v>
      </c>
    </row>
    <row r="175" spans="1:34" x14ac:dyDescent="0.25">
      <c r="A175" s="1">
        <f>DATEVALUE(Sheet1!A174)</f>
        <v>44812</v>
      </c>
      <c r="B175" s="2">
        <f>VALUE(Sheet1!B174)</f>
        <v>83.25</v>
      </c>
      <c r="C175" s="9">
        <f>(B175-B174)/B174</f>
        <v>-3.471390950442976E-3</v>
      </c>
      <c r="D175" s="2">
        <f>MAX(D174,B175)</f>
        <v>103.9</v>
      </c>
      <c r="E175" s="9">
        <f>(B175-D175)/D175</f>
        <v>-0.19874879692011554</v>
      </c>
      <c r="G175" t="s">
        <v>56</v>
      </c>
      <c r="H175" s="2">
        <f>B825</f>
        <v>83.49</v>
      </c>
      <c r="I175" s="9">
        <f>(H175-H174)/H174</f>
        <v>-2.1219226260257941E-2</v>
      </c>
      <c r="J175" s="2">
        <f>MAX(J174,H175)</f>
        <v>103.9</v>
      </c>
      <c r="K175" s="9">
        <f>(H175-J175)/J175</f>
        <v>-0.19643888354186728</v>
      </c>
      <c r="AB175" s="1">
        <f>A175</f>
        <v>44812</v>
      </c>
      <c r="AC175" s="2">
        <f>B175</f>
        <v>83.25</v>
      </c>
      <c r="AD175" s="2">
        <f>173</f>
        <v>173</v>
      </c>
      <c r="AE175" s="2">
        <f>INTERCEPT($AC$3:$AC$1136,$AD$3:$AD$1136)+SLOPE($AC$3:$AC$1136,$AD$3:$AD$1136)*AD175</f>
        <v>79.06739866673928</v>
      </c>
      <c r="AF175" s="2">
        <f t="shared" si="4"/>
        <v>81.719058267141975</v>
      </c>
      <c r="AG175" s="2">
        <f t="shared" si="5"/>
        <v>76.415739066336585</v>
      </c>
      <c r="AH175" s="22">
        <f>AC175-AE175</f>
        <v>4.1826013332607204</v>
      </c>
    </row>
    <row r="176" spans="1:34" x14ac:dyDescent="0.25">
      <c r="A176" s="1">
        <f>DATEVALUE(Sheet1!A175)</f>
        <v>44813</v>
      </c>
      <c r="B176" s="2">
        <f>VALUE(Sheet1!B175)</f>
        <v>83.43</v>
      </c>
      <c r="C176" s="9">
        <f>(B176-B175)/B175</f>
        <v>2.1621621621622442E-3</v>
      </c>
      <c r="D176" s="2">
        <f>MAX(D175,B176)</f>
        <v>103.9</v>
      </c>
      <c r="E176" s="9">
        <f>(B176-D176)/D176</f>
        <v>-0.19701636188642924</v>
      </c>
      <c r="G176" t="s">
        <v>57</v>
      </c>
      <c r="H176" s="2">
        <f>B830</f>
        <v>80.489999999999995</v>
      </c>
      <c r="I176" s="9">
        <f>(H176-H175)/H175</f>
        <v>-3.5932446999640676E-2</v>
      </c>
      <c r="J176" s="2">
        <f>MAX(J175,H176)</f>
        <v>103.9</v>
      </c>
      <c r="K176" s="9">
        <f>(H176-J176)/J176</f>
        <v>-0.22531280076997121</v>
      </c>
      <c r="AB176" s="1">
        <f>A176</f>
        <v>44813</v>
      </c>
      <c r="AC176" s="2">
        <f>B176</f>
        <v>83.43</v>
      </c>
      <c r="AD176" s="2">
        <f>174</f>
        <v>174</v>
      </c>
      <c r="AE176" s="2">
        <f>INTERCEPT($AC$3:$AC$1136,$AD$3:$AD$1136)+SLOPE($AC$3:$AC$1136,$AD$3:$AD$1136)*AD176</f>
        <v>79.048686703326837</v>
      </c>
      <c r="AF176" s="2">
        <f t="shared" si="4"/>
        <v>81.700346303729532</v>
      </c>
      <c r="AG176" s="2">
        <f t="shared" si="5"/>
        <v>76.397027102924142</v>
      </c>
      <c r="AH176" s="22">
        <f>AC176-AE176</f>
        <v>4.38131329667317</v>
      </c>
    </row>
    <row r="177" spans="1:34" x14ac:dyDescent="0.25">
      <c r="A177" s="1">
        <f>DATEVALUE(Sheet1!A176)</f>
        <v>44816</v>
      </c>
      <c r="B177" s="2">
        <f>VALUE(Sheet1!B176)</f>
        <v>83.95</v>
      </c>
      <c r="C177" s="9">
        <f>(B177-B176)/B176</f>
        <v>6.2327699868152458E-3</v>
      </c>
      <c r="D177" s="2">
        <f>MAX(D176,B177)</f>
        <v>103.9</v>
      </c>
      <c r="E177" s="9">
        <f>(B177-D177)/D177</f>
        <v>-0.19201154956689126</v>
      </c>
      <c r="G177" t="s">
        <v>58</v>
      </c>
      <c r="H177" s="2">
        <f>B834</f>
        <v>79.05</v>
      </c>
      <c r="I177" s="9">
        <f>(H177-H176)/H176</f>
        <v>-1.789042117033169E-2</v>
      </c>
      <c r="J177" s="2">
        <f>MAX(J176,H177)</f>
        <v>103.9</v>
      </c>
      <c r="K177" s="9">
        <f>(H177-J177)/J177</f>
        <v>-0.23917228103946109</v>
      </c>
      <c r="AB177" s="1">
        <f>A177</f>
        <v>44816</v>
      </c>
      <c r="AC177" s="2">
        <f>B177</f>
        <v>83.95</v>
      </c>
      <c r="AD177" s="2">
        <f>175</f>
        <v>175</v>
      </c>
      <c r="AE177" s="2">
        <f>INTERCEPT($AC$3:$AC$1136,$AD$3:$AD$1136)+SLOPE($AC$3:$AC$1136,$AD$3:$AD$1136)*AD177</f>
        <v>79.029974739914394</v>
      </c>
      <c r="AF177" s="2">
        <f t="shared" si="4"/>
        <v>81.681634340317089</v>
      </c>
      <c r="AG177" s="2">
        <f t="shared" si="5"/>
        <v>76.378315139511699</v>
      </c>
      <c r="AH177" s="22">
        <f>AC177-AE177</f>
        <v>4.9200252600856089</v>
      </c>
    </row>
    <row r="178" spans="1:34" x14ac:dyDescent="0.25">
      <c r="A178" s="1">
        <f>DATEVALUE(Sheet1!A177)</f>
        <v>44817</v>
      </c>
      <c r="B178" s="2">
        <f>VALUE(Sheet1!B177)</f>
        <v>83.72</v>
      </c>
      <c r="C178" s="9">
        <f>(B178-B177)/B177</f>
        <v>-2.7397260273973076E-3</v>
      </c>
      <c r="D178" s="2">
        <f>MAX(D177,B178)</f>
        <v>103.9</v>
      </c>
      <c r="E178" s="9">
        <f>(B178-D178)/D178</f>
        <v>-0.19422521655437927</v>
      </c>
      <c r="G178" t="s">
        <v>59</v>
      </c>
      <c r="H178" s="2">
        <f>B839</f>
        <v>74.34</v>
      </c>
      <c r="I178" s="9">
        <f>(H178-H177)/H177</f>
        <v>-5.958254269449708E-2</v>
      </c>
      <c r="J178" s="2">
        <f>MAX(J177,H178)</f>
        <v>103.9</v>
      </c>
      <c r="K178" s="9">
        <f>(H178-J178)/J178</f>
        <v>-0.28450433108758422</v>
      </c>
      <c r="AB178" s="1">
        <f>A178</f>
        <v>44817</v>
      </c>
      <c r="AC178" s="2">
        <f>B178</f>
        <v>83.72</v>
      </c>
      <c r="AD178" s="2">
        <f>176</f>
        <v>176</v>
      </c>
      <c r="AE178" s="2">
        <f>INTERCEPT($AC$3:$AC$1136,$AD$3:$AD$1136)+SLOPE($AC$3:$AC$1136,$AD$3:$AD$1136)*AD178</f>
        <v>79.011262776501937</v>
      </c>
      <c r="AF178" s="2">
        <f t="shared" si="4"/>
        <v>81.662922376904632</v>
      </c>
      <c r="AG178" s="2">
        <f t="shared" si="5"/>
        <v>76.359603176099242</v>
      </c>
      <c r="AH178" s="22">
        <f>AC178-AE178</f>
        <v>4.708737223498062</v>
      </c>
    </row>
    <row r="179" spans="1:34" x14ac:dyDescent="0.25">
      <c r="A179" s="1">
        <f>DATEVALUE(Sheet1!A178)</f>
        <v>44818</v>
      </c>
      <c r="B179" s="2">
        <f>VALUE(Sheet1!B178)</f>
        <v>84.28</v>
      </c>
      <c r="C179" s="9">
        <f>(B179-B178)/B178</f>
        <v>6.6889632107023688E-3</v>
      </c>
      <c r="D179" s="2">
        <f>MAX(D178,B179)</f>
        <v>103.9</v>
      </c>
      <c r="E179" s="9">
        <f>(B179-D179)/D179</f>
        <v>-0.18883541867179984</v>
      </c>
      <c r="G179" t="s">
        <v>60</v>
      </c>
      <c r="H179" s="2">
        <f>B844</f>
        <v>72.680000000000007</v>
      </c>
      <c r="I179" s="9">
        <f>(H179-H178)/H178</f>
        <v>-2.2329835889157875E-2</v>
      </c>
      <c r="J179" s="2">
        <f>MAX(J178,H179)</f>
        <v>103.9</v>
      </c>
      <c r="K179" s="9">
        <f>(H179-J179)/J179</f>
        <v>-0.30048123195380172</v>
      </c>
      <c r="AB179" s="1">
        <f>A179</f>
        <v>44818</v>
      </c>
      <c r="AC179" s="2">
        <f>B179</f>
        <v>84.28</v>
      </c>
      <c r="AD179" s="2">
        <f>177</f>
        <v>177</v>
      </c>
      <c r="AE179" s="2">
        <f>INTERCEPT($AC$3:$AC$1136,$AD$3:$AD$1136)+SLOPE($AC$3:$AC$1136,$AD$3:$AD$1136)*AD179</f>
        <v>78.992550813089494</v>
      </c>
      <c r="AF179" s="2">
        <f t="shared" si="4"/>
        <v>81.644210413492189</v>
      </c>
      <c r="AG179" s="2">
        <f t="shared" si="5"/>
        <v>76.340891212686799</v>
      </c>
      <c r="AH179" s="22">
        <f>AC179-AE179</f>
        <v>5.2874491869105071</v>
      </c>
    </row>
    <row r="180" spans="1:34" x14ac:dyDescent="0.25">
      <c r="A180" s="1">
        <f>DATEVALUE(Sheet1!A179)</f>
        <v>44819</v>
      </c>
      <c r="B180" s="2">
        <f>VALUE(Sheet1!B179)</f>
        <v>84.55</v>
      </c>
      <c r="C180" s="9">
        <f>(B180-B179)/B179</f>
        <v>3.2036070242049837E-3</v>
      </c>
      <c r="D180" s="2">
        <f>MAX(D179,B180)</f>
        <v>103.9</v>
      </c>
      <c r="E180" s="9">
        <f>(B180-D180)/D180</f>
        <v>-0.18623676612127052</v>
      </c>
      <c r="G180" t="s">
        <v>61</v>
      </c>
      <c r="H180" s="2">
        <f>B849</f>
        <v>71.239999999999995</v>
      </c>
      <c r="I180" s="9">
        <f>(H180-H179)/H179</f>
        <v>-1.9812878370941273E-2</v>
      </c>
      <c r="J180" s="2">
        <f>MAX(J179,H180)</f>
        <v>103.9</v>
      </c>
      <c r="K180" s="9">
        <f>(H180-J180)/J180</f>
        <v>-0.31434071222329174</v>
      </c>
      <c r="AB180" s="1">
        <f>A180</f>
        <v>44819</v>
      </c>
      <c r="AC180" s="2">
        <f>B180</f>
        <v>84.55</v>
      </c>
      <c r="AD180" s="2">
        <f>178</f>
        <v>178</v>
      </c>
      <c r="AE180" s="2">
        <f>INTERCEPT($AC$3:$AC$1136,$AD$3:$AD$1136)+SLOPE($AC$3:$AC$1136,$AD$3:$AD$1136)*AD180</f>
        <v>78.973838849677051</v>
      </c>
      <c r="AF180" s="2">
        <f t="shared" si="4"/>
        <v>81.625498450079746</v>
      </c>
      <c r="AG180" s="2">
        <f t="shared" si="5"/>
        <v>76.322179249274356</v>
      </c>
      <c r="AH180" s="22">
        <f>AC180-AE180</f>
        <v>5.576161150322946</v>
      </c>
    </row>
    <row r="181" spans="1:34" x14ac:dyDescent="0.25">
      <c r="A181" s="1">
        <f>DATEVALUE(Sheet1!A180)</f>
        <v>44820</v>
      </c>
      <c r="B181" s="2">
        <f>VALUE(Sheet1!B180)</f>
        <v>84.35</v>
      </c>
      <c r="C181" s="9">
        <f>(B181-B180)/B180</f>
        <v>-2.3654642223536705E-3</v>
      </c>
      <c r="D181" s="2">
        <f>MAX(D180,B181)</f>
        <v>103.9</v>
      </c>
      <c r="E181" s="9">
        <f>(B181-D181)/D181</f>
        <v>-0.18816169393647747</v>
      </c>
      <c r="G181" t="s">
        <v>62</v>
      </c>
      <c r="H181" s="2">
        <f>B854</f>
        <v>68.849999999999994</v>
      </c>
      <c r="I181" s="9">
        <f>(H181-H180)/H180</f>
        <v>-3.3548568220101077E-2</v>
      </c>
      <c r="J181" s="2">
        <f>MAX(J180,H181)</f>
        <v>103.9</v>
      </c>
      <c r="K181" s="9">
        <f>(H181-J181)/J181</f>
        <v>-0.33734359961501453</v>
      </c>
      <c r="AB181" s="1">
        <f>A181</f>
        <v>44820</v>
      </c>
      <c r="AC181" s="2">
        <f>B181</f>
        <v>84.35</v>
      </c>
      <c r="AD181" s="2">
        <f>179</f>
        <v>179</v>
      </c>
      <c r="AE181" s="2">
        <f>INTERCEPT($AC$3:$AC$1136,$AD$3:$AD$1136)+SLOPE($AC$3:$AC$1136,$AD$3:$AD$1136)*AD181</f>
        <v>78.955126886264594</v>
      </c>
      <c r="AF181" s="2">
        <f t="shared" si="4"/>
        <v>81.606786486667289</v>
      </c>
      <c r="AG181" s="2">
        <f t="shared" si="5"/>
        <v>76.303467285861899</v>
      </c>
      <c r="AH181" s="22">
        <f>AC181-AE181</f>
        <v>5.3948731137354002</v>
      </c>
    </row>
    <row r="182" spans="1:34" x14ac:dyDescent="0.25">
      <c r="A182" s="1">
        <f>DATEVALUE(Sheet1!A181)</f>
        <v>44823</v>
      </c>
      <c r="B182" s="2">
        <f>VALUE(Sheet1!B181)</f>
        <v>84.02</v>
      </c>
      <c r="C182" s="9">
        <f>(B182-B181)/B181</f>
        <v>-3.9122703023117761E-3</v>
      </c>
      <c r="D182" s="2">
        <f>MAX(D181,B182)</f>
        <v>103.9</v>
      </c>
      <c r="E182" s="9">
        <f>(B182-D182)/D182</f>
        <v>-0.19133782483156889</v>
      </c>
      <c r="G182" t="s">
        <v>63</v>
      </c>
      <c r="H182" s="2">
        <f>B859</f>
        <v>68.790000000000006</v>
      </c>
      <c r="I182" s="9">
        <f>(H182-H181)/H181</f>
        <v>-8.7145969498893347E-4</v>
      </c>
      <c r="J182" s="2">
        <f>MAX(J181,H182)</f>
        <v>103.9</v>
      </c>
      <c r="K182" s="9">
        <f>(H182-J182)/J182</f>
        <v>-0.33792107795957649</v>
      </c>
      <c r="AB182" s="1">
        <f>A182</f>
        <v>44823</v>
      </c>
      <c r="AC182" s="2">
        <f>B182</f>
        <v>84.02</v>
      </c>
      <c r="AD182" s="2">
        <f>180</f>
        <v>180</v>
      </c>
      <c r="AE182" s="2">
        <f>INTERCEPT($AC$3:$AC$1136,$AD$3:$AD$1136)+SLOPE($AC$3:$AC$1136,$AD$3:$AD$1136)*AD182</f>
        <v>78.936414922852151</v>
      </c>
      <c r="AF182" s="2">
        <f t="shared" si="4"/>
        <v>81.588074523254846</v>
      </c>
      <c r="AG182" s="2">
        <f t="shared" si="5"/>
        <v>76.284755322449456</v>
      </c>
      <c r="AH182" s="22">
        <f>AC182-AE182</f>
        <v>5.0835850771478448</v>
      </c>
    </row>
    <row r="183" spans="1:34" x14ac:dyDescent="0.25">
      <c r="A183" s="1">
        <f>DATEVALUE(Sheet1!A182)</f>
        <v>44824</v>
      </c>
      <c r="B183" s="2">
        <f>VALUE(Sheet1!B182)</f>
        <v>84.21</v>
      </c>
      <c r="C183" s="9">
        <f>(B183-B182)/B182</f>
        <v>2.2613663413472711E-3</v>
      </c>
      <c r="D183" s="2">
        <f>MAX(D182,B183)</f>
        <v>103.9</v>
      </c>
      <c r="E183" s="9">
        <f>(B183-D183)/D183</f>
        <v>-0.18950914340712233</v>
      </c>
      <c r="G183" t="s">
        <v>64</v>
      </c>
      <c r="H183" s="2">
        <f>B864</f>
        <v>67.5</v>
      </c>
      <c r="I183" s="9">
        <f>(H183-H182)/H182</f>
        <v>-1.8752725686873181E-2</v>
      </c>
      <c r="J183" s="2">
        <f>MAX(J182,H183)</f>
        <v>103.9</v>
      </c>
      <c r="K183" s="9">
        <f>(H183-J183)/J183</f>
        <v>-0.35033686236766126</v>
      </c>
      <c r="AB183" s="1">
        <f>A183</f>
        <v>44824</v>
      </c>
      <c r="AC183" s="2">
        <f>B183</f>
        <v>84.21</v>
      </c>
      <c r="AD183" s="2">
        <f>181</f>
        <v>181</v>
      </c>
      <c r="AE183" s="2">
        <f>INTERCEPT($AC$3:$AC$1136,$AD$3:$AD$1136)+SLOPE($AC$3:$AC$1136,$AD$3:$AD$1136)*AD183</f>
        <v>78.917702959439708</v>
      </c>
      <c r="AF183" s="2">
        <f t="shared" si="4"/>
        <v>81.569362559842403</v>
      </c>
      <c r="AG183" s="2">
        <f t="shared" si="5"/>
        <v>76.266043359037013</v>
      </c>
      <c r="AH183" s="22">
        <f>AC183-AE183</f>
        <v>5.2922970405602854</v>
      </c>
    </row>
    <row r="184" spans="1:34" x14ac:dyDescent="0.25">
      <c r="A184" s="1">
        <f>DATEVALUE(Sheet1!A183)</f>
        <v>44825</v>
      </c>
      <c r="B184" s="2">
        <f>VALUE(Sheet1!B183)</f>
        <v>84.24</v>
      </c>
      <c r="C184" s="9">
        <f>(B184-B183)/B183</f>
        <v>3.5625222657642965E-4</v>
      </c>
      <c r="D184" s="2">
        <f>MAX(D183,B184)</f>
        <v>103.9</v>
      </c>
      <c r="E184" s="9">
        <f>(B184-D184)/D184</f>
        <v>-0.18922040423484129</v>
      </c>
      <c r="G184" t="s">
        <v>65</v>
      </c>
      <c r="H184" s="2">
        <f>B868</f>
        <v>68.430000000000007</v>
      </c>
      <c r="I184" s="9">
        <f>(H184-H183)/H183</f>
        <v>1.3777777777777878E-2</v>
      </c>
      <c r="J184" s="2">
        <f>MAX(J183,H184)</f>
        <v>103.9</v>
      </c>
      <c r="K184" s="9">
        <f>(H184-J184)/J184</f>
        <v>-0.34138594802694894</v>
      </c>
      <c r="AB184" s="1">
        <f>A184</f>
        <v>44825</v>
      </c>
      <c r="AC184" s="2">
        <f>B184</f>
        <v>84.24</v>
      </c>
      <c r="AD184" s="2">
        <f>182</f>
        <v>182</v>
      </c>
      <c r="AE184" s="2">
        <f>INTERCEPT($AC$3:$AC$1136,$AD$3:$AD$1136)+SLOPE($AC$3:$AC$1136,$AD$3:$AD$1136)*AD184</f>
        <v>78.898990996027266</v>
      </c>
      <c r="AF184" s="2">
        <f t="shared" si="4"/>
        <v>81.550650596429961</v>
      </c>
      <c r="AG184" s="2">
        <f t="shared" si="5"/>
        <v>76.24733139562457</v>
      </c>
      <c r="AH184" s="22">
        <f>AC184-AE184</f>
        <v>5.3410090039727294</v>
      </c>
    </row>
    <row r="185" spans="1:34" x14ac:dyDescent="0.25">
      <c r="A185" s="1">
        <f>DATEVALUE(Sheet1!A184)</f>
        <v>44826</v>
      </c>
      <c r="B185" s="2">
        <f>VALUE(Sheet1!B184)</f>
        <v>84.56</v>
      </c>
      <c r="C185" s="9">
        <f>(B185-B184)/B184</f>
        <v>3.7986704653372198E-3</v>
      </c>
      <c r="D185" s="2">
        <f>MAX(D184,B185)</f>
        <v>103.9</v>
      </c>
      <c r="E185" s="9">
        <f>(B185-D185)/D185</f>
        <v>-0.18614051973051013</v>
      </c>
      <c r="G185" t="s">
        <v>66</v>
      </c>
      <c r="H185" s="2">
        <f>B873</f>
        <v>67.02</v>
      </c>
      <c r="I185" s="9">
        <f>(H185-H184)/H184</f>
        <v>-2.0604997807979114E-2</v>
      </c>
      <c r="J185" s="2">
        <f>MAX(J184,H185)</f>
        <v>103.9</v>
      </c>
      <c r="K185" s="9">
        <f>(H185-J185)/J185</f>
        <v>-0.3549566891241579</v>
      </c>
      <c r="AB185" s="1">
        <f>A185</f>
        <v>44826</v>
      </c>
      <c r="AC185" s="2">
        <f>B185</f>
        <v>84.56</v>
      </c>
      <c r="AD185" s="2">
        <f>183</f>
        <v>183</v>
      </c>
      <c r="AE185" s="2">
        <f>INTERCEPT($AC$3:$AC$1136,$AD$3:$AD$1136)+SLOPE($AC$3:$AC$1136,$AD$3:$AD$1136)*AD185</f>
        <v>78.880279032614808</v>
      </c>
      <c r="AF185" s="2">
        <f t="shared" si="4"/>
        <v>81.531938633017504</v>
      </c>
      <c r="AG185" s="2">
        <f t="shared" si="5"/>
        <v>76.228619432212113</v>
      </c>
      <c r="AH185" s="22">
        <f>AC185-AE185</f>
        <v>5.6797209673851938</v>
      </c>
    </row>
    <row r="186" spans="1:34" x14ac:dyDescent="0.25">
      <c r="A186" s="1">
        <f>DATEVALUE(Sheet1!A185)</f>
        <v>44827</v>
      </c>
      <c r="B186" s="2">
        <f>VALUE(Sheet1!B185)</f>
        <v>84.54</v>
      </c>
      <c r="C186" s="9">
        <f>(B186-B185)/B185</f>
        <v>-2.3651844843893119E-4</v>
      </c>
      <c r="D186" s="2">
        <f>MAX(D185,B186)</f>
        <v>103.9</v>
      </c>
      <c r="E186" s="9">
        <f>(B186-D186)/D186</f>
        <v>-0.18633301251203077</v>
      </c>
      <c r="G186" t="s">
        <v>67</v>
      </c>
      <c r="H186" s="2">
        <f>B878</f>
        <v>63.44</v>
      </c>
      <c r="I186" s="9">
        <f>(H186-H185)/H185</f>
        <v>-5.3416890480453574E-2</v>
      </c>
      <c r="J186" s="2">
        <f>MAX(J185,H186)</f>
        <v>103.9</v>
      </c>
      <c r="K186" s="9">
        <f>(H186-J186)/J186</f>
        <v>-0.38941289701636195</v>
      </c>
      <c r="AB186" s="1">
        <f>A186</f>
        <v>44827</v>
      </c>
      <c r="AC186" s="2">
        <f>B186</f>
        <v>84.54</v>
      </c>
      <c r="AD186" s="2">
        <f>184</f>
        <v>184</v>
      </c>
      <c r="AE186" s="2">
        <f>INTERCEPT($AC$3:$AC$1136,$AD$3:$AD$1136)+SLOPE($AC$3:$AC$1136,$AD$3:$AD$1136)*AD186</f>
        <v>78.861567069202366</v>
      </c>
      <c r="AF186" s="2">
        <f t="shared" si="4"/>
        <v>81.513226669605061</v>
      </c>
      <c r="AG186" s="2">
        <f t="shared" si="5"/>
        <v>76.20990746879967</v>
      </c>
      <c r="AH186" s="22">
        <f>AC186-AE186</f>
        <v>5.6784329307976407</v>
      </c>
    </row>
    <row r="187" spans="1:34" x14ac:dyDescent="0.25">
      <c r="A187" s="1">
        <f>DATEVALUE(Sheet1!A186)</f>
        <v>44830</v>
      </c>
      <c r="B187" s="2">
        <f>VALUE(Sheet1!B186)</f>
        <v>84.58</v>
      </c>
      <c r="C187" s="9">
        <f>(B187-B186)/B186</f>
        <v>4.7314880529917246E-4</v>
      </c>
      <c r="D187" s="2">
        <f>MAX(D186,B187)</f>
        <v>103.9</v>
      </c>
      <c r="E187" s="9">
        <f>(B187-D187)/D187</f>
        <v>-0.18594802694898949</v>
      </c>
      <c r="G187" t="s">
        <v>68</v>
      </c>
      <c r="H187" s="2">
        <f>B883</f>
        <v>62.73</v>
      </c>
      <c r="I187" s="9">
        <f>(H187-H186)/H186</f>
        <v>-1.1191677175283746E-2</v>
      </c>
      <c r="J187" s="2">
        <f>MAX(J186,H187)</f>
        <v>103.9</v>
      </c>
      <c r="K187" s="9">
        <f>(H187-J187)/J187</f>
        <v>-0.39624639076034657</v>
      </c>
      <c r="AB187" s="1">
        <f>A187</f>
        <v>44830</v>
      </c>
      <c r="AC187" s="2">
        <f>B187</f>
        <v>84.58</v>
      </c>
      <c r="AD187" s="2">
        <f>185</f>
        <v>185</v>
      </c>
      <c r="AE187" s="2">
        <f>INTERCEPT($AC$3:$AC$1136,$AD$3:$AD$1136)+SLOPE($AC$3:$AC$1136,$AD$3:$AD$1136)*AD187</f>
        <v>78.842855105789923</v>
      </c>
      <c r="AF187" s="2">
        <f t="shared" si="4"/>
        <v>81.494514706192618</v>
      </c>
      <c r="AG187" s="2">
        <f t="shared" si="5"/>
        <v>76.191195505387228</v>
      </c>
      <c r="AH187" s="22">
        <f>AC187-AE187</f>
        <v>5.7371448942100756</v>
      </c>
    </row>
    <row r="188" spans="1:34" x14ac:dyDescent="0.25">
      <c r="A188" s="1">
        <f>DATEVALUE(Sheet1!A187)</f>
        <v>44831</v>
      </c>
      <c r="B188" s="2">
        <f>VALUE(Sheet1!B187)</f>
        <v>84.72</v>
      </c>
      <c r="C188" s="9">
        <f>(B188-B187)/B187</f>
        <v>1.6552376448333006E-3</v>
      </c>
      <c r="D188" s="2">
        <f>MAX(D187,B188)</f>
        <v>103.9</v>
      </c>
      <c r="E188" s="9">
        <f>(B188-D188)/D188</f>
        <v>-0.18460057747834463</v>
      </c>
      <c r="G188" t="s">
        <v>69</v>
      </c>
      <c r="H188" s="2">
        <f>B888</f>
        <v>63.56</v>
      </c>
      <c r="I188" s="9">
        <f>(H188-H187)/H187</f>
        <v>1.3231308783676159E-2</v>
      </c>
      <c r="J188" s="2">
        <f>MAX(J187,H188)</f>
        <v>103.9</v>
      </c>
      <c r="K188" s="9">
        <f>(H188-J188)/J188</f>
        <v>-0.38825794032723776</v>
      </c>
      <c r="AB188" s="1">
        <f>A188</f>
        <v>44831</v>
      </c>
      <c r="AC188" s="2">
        <f>B188</f>
        <v>84.72</v>
      </c>
      <c r="AD188" s="2">
        <f>186</f>
        <v>186</v>
      </c>
      <c r="AE188" s="2">
        <f>INTERCEPT($AC$3:$AC$1136,$AD$3:$AD$1136)+SLOPE($AC$3:$AC$1136,$AD$3:$AD$1136)*AD188</f>
        <v>78.824143142377466</v>
      </c>
      <c r="AF188" s="2">
        <f t="shared" si="4"/>
        <v>81.475802742780161</v>
      </c>
      <c r="AG188" s="2">
        <f t="shared" si="5"/>
        <v>76.172483541974771</v>
      </c>
      <c r="AH188" s="22">
        <f>AC188-AE188</f>
        <v>5.8958568576225332</v>
      </c>
    </row>
    <row r="189" spans="1:34" x14ac:dyDescent="0.25">
      <c r="A189" s="1">
        <f>DATEVALUE(Sheet1!A188)</f>
        <v>44832</v>
      </c>
      <c r="B189" s="2">
        <f>VALUE(Sheet1!B188)</f>
        <v>84.25</v>
      </c>
      <c r="C189" s="9">
        <f>(B189-B188)/B188</f>
        <v>-5.5476864966949816E-3</v>
      </c>
      <c r="D189" s="2">
        <f>MAX(D188,B189)</f>
        <v>103.9</v>
      </c>
      <c r="E189" s="9">
        <f>(B189-D189)/D189</f>
        <v>-0.1891241578440809</v>
      </c>
      <c r="G189" t="s">
        <v>70</v>
      </c>
      <c r="H189" s="2">
        <f>B893</f>
        <v>63.7</v>
      </c>
      <c r="I189" s="9">
        <f>(H189-H188)/H188</f>
        <v>2.2026431718061763E-3</v>
      </c>
      <c r="J189" s="2">
        <f>MAX(J188,H189)</f>
        <v>103.9</v>
      </c>
      <c r="K189" s="9">
        <f>(H189-J189)/J189</f>
        <v>-0.3869104908565929</v>
      </c>
      <c r="AB189" s="1">
        <f>A189</f>
        <v>44832</v>
      </c>
      <c r="AC189" s="2">
        <f>B189</f>
        <v>84.25</v>
      </c>
      <c r="AD189" s="2">
        <f>187</f>
        <v>187</v>
      </c>
      <c r="AE189" s="2">
        <f>INTERCEPT($AC$3:$AC$1136,$AD$3:$AD$1136)+SLOPE($AC$3:$AC$1136,$AD$3:$AD$1136)*AD189</f>
        <v>78.805431178965023</v>
      </c>
      <c r="AF189" s="2">
        <f t="shared" si="4"/>
        <v>81.457090779367718</v>
      </c>
      <c r="AG189" s="2">
        <f t="shared" si="5"/>
        <v>76.153771578562328</v>
      </c>
      <c r="AH189" s="22">
        <f>AC189-AE189</f>
        <v>5.4445688210349772</v>
      </c>
    </row>
    <row r="190" spans="1:34" x14ac:dyDescent="0.25">
      <c r="A190" s="1">
        <f>DATEVALUE(Sheet1!A189)</f>
        <v>44833</v>
      </c>
      <c r="B190" s="2">
        <f>VALUE(Sheet1!B189)</f>
        <v>84.24</v>
      </c>
      <c r="C190" s="9">
        <f>(B190-B189)/B189</f>
        <v>-1.1869436201786488E-4</v>
      </c>
      <c r="D190" s="2">
        <f>MAX(D189,B190)</f>
        <v>103.9</v>
      </c>
      <c r="E190" s="9">
        <f>(B190-D190)/D190</f>
        <v>-0.18922040423484129</v>
      </c>
      <c r="G190" t="s">
        <v>71</v>
      </c>
      <c r="H190" s="2">
        <f>B898</f>
        <v>64</v>
      </c>
      <c r="I190" s="9">
        <f>(H190-H189)/H189</f>
        <v>4.7095761381475221E-3</v>
      </c>
      <c r="J190" s="2">
        <f>MAX(J189,H190)</f>
        <v>103.9</v>
      </c>
      <c r="K190" s="9">
        <f>(H190-J190)/J190</f>
        <v>-0.38402309913378252</v>
      </c>
      <c r="AB190" s="1">
        <f>A190</f>
        <v>44833</v>
      </c>
      <c r="AC190" s="2">
        <f>B190</f>
        <v>84.24</v>
      </c>
      <c r="AD190" s="2">
        <f>188</f>
        <v>188</v>
      </c>
      <c r="AE190" s="2">
        <f>INTERCEPT($AC$3:$AC$1136,$AD$3:$AD$1136)+SLOPE($AC$3:$AC$1136,$AD$3:$AD$1136)*AD190</f>
        <v>78.78671921555258</v>
      </c>
      <c r="AF190" s="2">
        <f t="shared" si="4"/>
        <v>81.438378815955275</v>
      </c>
      <c r="AG190" s="2">
        <f t="shared" si="5"/>
        <v>76.135059615149885</v>
      </c>
      <c r="AH190" s="22">
        <f>AC190-AE190</f>
        <v>5.4532807844474149</v>
      </c>
    </row>
    <row r="191" spans="1:34" x14ac:dyDescent="0.25">
      <c r="A191" s="1">
        <f>DATEVALUE(Sheet1!A190)</f>
        <v>44834</v>
      </c>
      <c r="B191" s="2">
        <f>VALUE(Sheet1!B190)</f>
        <v>84.42</v>
      </c>
      <c r="C191" s="9">
        <f>(B191-B190)/B190</f>
        <v>2.1367521367522181E-3</v>
      </c>
      <c r="D191" s="2">
        <f>MAX(D190,B191)</f>
        <v>103.9</v>
      </c>
      <c r="E191" s="9">
        <f>(B191-D191)/D191</f>
        <v>-0.18748796920115499</v>
      </c>
      <c r="G191" t="s">
        <v>72</v>
      </c>
      <c r="H191" s="2">
        <f>B903</f>
        <v>63.65</v>
      </c>
      <c r="I191" s="9">
        <f>(H191-H190)/H190</f>
        <v>-5.4687500000000222E-3</v>
      </c>
      <c r="J191" s="2">
        <f>MAX(J190,H191)</f>
        <v>103.9</v>
      </c>
      <c r="K191" s="9">
        <f>(H191-J191)/J191</f>
        <v>-0.38739172281039463</v>
      </c>
      <c r="AB191" s="1">
        <f>A191</f>
        <v>44834</v>
      </c>
      <c r="AC191" s="2">
        <f>B191</f>
        <v>84.42</v>
      </c>
      <c r="AD191" s="2">
        <f>189</f>
        <v>189</v>
      </c>
      <c r="AE191" s="2">
        <f>INTERCEPT($AC$3:$AC$1136,$AD$3:$AD$1136)+SLOPE($AC$3:$AC$1136,$AD$3:$AD$1136)*AD191</f>
        <v>78.768007252140137</v>
      </c>
      <c r="AF191" s="2">
        <f t="shared" si="4"/>
        <v>81.419666852542832</v>
      </c>
      <c r="AG191" s="2">
        <f t="shared" si="5"/>
        <v>76.116347651737442</v>
      </c>
      <c r="AH191" s="22">
        <f>AC191-AE191</f>
        <v>5.6519927478598646</v>
      </c>
    </row>
    <row r="192" spans="1:34" x14ac:dyDescent="0.25">
      <c r="A192" s="1">
        <f>DATEVALUE(Sheet1!A191)</f>
        <v>44837</v>
      </c>
      <c r="B192" s="2">
        <f>VALUE(Sheet1!B191)</f>
        <v>84.14</v>
      </c>
      <c r="C192" s="9">
        <f>(B192-B191)/B191</f>
        <v>-3.3167495854063153E-3</v>
      </c>
      <c r="D192" s="2">
        <f>MAX(D191,B192)</f>
        <v>103.9</v>
      </c>
      <c r="E192" s="9">
        <f>(B192-D192)/D192</f>
        <v>-0.1901828681424447</v>
      </c>
      <c r="G192" t="s">
        <v>73</v>
      </c>
      <c r="H192" s="2">
        <f>B908</f>
        <v>63.33</v>
      </c>
      <c r="I192" s="9">
        <f>(H192-H191)/H191</f>
        <v>-5.0274941084053459E-3</v>
      </c>
      <c r="J192" s="2">
        <f>MAX(J191,H192)</f>
        <v>103.9</v>
      </c>
      <c r="K192" s="9">
        <f>(H192-J192)/J192</f>
        <v>-0.39047160731472574</v>
      </c>
      <c r="AB192" s="1">
        <f>A192</f>
        <v>44837</v>
      </c>
      <c r="AC192" s="2">
        <f>B192</f>
        <v>84.14</v>
      </c>
      <c r="AD192" s="2">
        <f>190</f>
        <v>190</v>
      </c>
      <c r="AE192" s="2">
        <f>INTERCEPT($AC$3:$AC$1136,$AD$3:$AD$1136)+SLOPE($AC$3:$AC$1136,$AD$3:$AD$1136)*AD192</f>
        <v>78.74929528872768</v>
      </c>
      <c r="AF192" s="2">
        <f t="shared" si="4"/>
        <v>81.400954889130375</v>
      </c>
      <c r="AG192" s="2">
        <f t="shared" si="5"/>
        <v>76.097635688324985</v>
      </c>
      <c r="AH192" s="22">
        <f>AC192-AE192</f>
        <v>5.3907047112723205</v>
      </c>
    </row>
    <row r="193" spans="1:34" x14ac:dyDescent="0.25">
      <c r="A193" s="1">
        <f>DATEVALUE(Sheet1!A192)</f>
        <v>44838</v>
      </c>
      <c r="B193" s="2">
        <f>VALUE(Sheet1!B192)</f>
        <v>83.27</v>
      </c>
      <c r="C193" s="9">
        <f>(B193-B192)/B192</f>
        <v>-1.0339909674352324E-2</v>
      </c>
      <c r="D193" s="2">
        <f>MAX(D192,B193)</f>
        <v>103.9</v>
      </c>
      <c r="E193" s="9">
        <f>(B193-D193)/D193</f>
        <v>-0.19855630413859487</v>
      </c>
      <c r="G193" t="s">
        <v>74</v>
      </c>
      <c r="H193" s="2">
        <f>B913</f>
        <v>64.319999999999993</v>
      </c>
      <c r="I193" s="9">
        <f>(H193-H192)/H192</f>
        <v>1.5632401705352832E-2</v>
      </c>
      <c r="J193" s="2">
        <f>MAX(J192,H193)</f>
        <v>103.9</v>
      </c>
      <c r="K193" s="9">
        <f>(H193-J193)/J193</f>
        <v>-0.38094321462945152</v>
      </c>
      <c r="AB193" s="1">
        <f>A193</f>
        <v>44838</v>
      </c>
      <c r="AC193" s="2">
        <f>B193</f>
        <v>83.27</v>
      </c>
      <c r="AD193" s="2">
        <f>191</f>
        <v>191</v>
      </c>
      <c r="AE193" s="2">
        <f>INTERCEPT($AC$3:$AC$1136,$AD$3:$AD$1136)+SLOPE($AC$3:$AC$1136,$AD$3:$AD$1136)*AD193</f>
        <v>78.730583325315237</v>
      </c>
      <c r="AF193" s="2">
        <f t="shared" si="4"/>
        <v>81.382242925717932</v>
      </c>
      <c r="AG193" s="2">
        <f t="shared" si="5"/>
        <v>76.078923724912542</v>
      </c>
      <c r="AH193" s="22">
        <f>AC193-AE193</f>
        <v>4.5394166746847588</v>
      </c>
    </row>
    <row r="194" spans="1:34" x14ac:dyDescent="0.25">
      <c r="A194" s="1">
        <f>DATEVALUE(Sheet1!A193)</f>
        <v>44839</v>
      </c>
      <c r="B194" s="2">
        <f>VALUE(Sheet1!B193)</f>
        <v>82.91</v>
      </c>
      <c r="C194" s="9">
        <f>(B194-B193)/B193</f>
        <v>-4.3232856971298118E-3</v>
      </c>
      <c r="D194" s="2">
        <f>MAX(D193,B194)</f>
        <v>103.9</v>
      </c>
      <c r="E194" s="9">
        <f>(B194-D194)/D194</f>
        <v>-0.20202117420596735</v>
      </c>
      <c r="G194" t="s">
        <v>75</v>
      </c>
      <c r="H194" s="2">
        <f>B918</f>
        <v>64.34</v>
      </c>
      <c r="I194" s="9">
        <f>(H194-H193)/H193</f>
        <v>3.109452736319999E-4</v>
      </c>
      <c r="J194" s="2">
        <f>MAX(J193,H194)</f>
        <v>103.9</v>
      </c>
      <c r="K194" s="9">
        <f>(H194-J194)/J194</f>
        <v>-0.38075072184793068</v>
      </c>
      <c r="AB194" s="1">
        <f>A194</f>
        <v>44839</v>
      </c>
      <c r="AC194" s="2">
        <f>B194</f>
        <v>82.91</v>
      </c>
      <c r="AD194" s="2">
        <f>192</f>
        <v>192</v>
      </c>
      <c r="AE194" s="2">
        <f>INTERCEPT($AC$3:$AC$1136,$AD$3:$AD$1136)+SLOPE($AC$3:$AC$1136,$AD$3:$AD$1136)*AD194</f>
        <v>78.711871361902794</v>
      </c>
      <c r="AF194" s="2">
        <f t="shared" si="4"/>
        <v>81.363530962305489</v>
      </c>
      <c r="AG194" s="2">
        <f t="shared" si="5"/>
        <v>76.060211761500099</v>
      </c>
      <c r="AH194" s="22">
        <f>AC194-AE194</f>
        <v>4.1981286380972023</v>
      </c>
    </row>
    <row r="195" spans="1:34" x14ac:dyDescent="0.25">
      <c r="A195" s="1">
        <f>DATEVALUE(Sheet1!A194)</f>
        <v>44840</v>
      </c>
      <c r="B195" s="2">
        <f>VALUE(Sheet1!B194)</f>
        <v>83.04</v>
      </c>
      <c r="C195" s="9">
        <f>(B195-B194)/B194</f>
        <v>1.5679652635388936E-3</v>
      </c>
      <c r="D195" s="2">
        <f>MAX(D194,B195)</f>
        <v>103.9</v>
      </c>
      <c r="E195" s="9">
        <f>(B195-D195)/D195</f>
        <v>-0.20076997112608275</v>
      </c>
      <c r="G195" t="s">
        <v>76</v>
      </c>
      <c r="H195" s="2">
        <f>B923</f>
        <v>64.819999999999993</v>
      </c>
      <c r="I195" s="9">
        <f>(H195-H194)/H194</f>
        <v>7.4603668013675743E-3</v>
      </c>
      <c r="J195" s="2">
        <f>MAX(J194,H195)</f>
        <v>103.9</v>
      </c>
      <c r="K195" s="9">
        <f>(H195-J195)/J195</f>
        <v>-0.37613089509143416</v>
      </c>
      <c r="AB195" s="1">
        <f>A195</f>
        <v>44840</v>
      </c>
      <c r="AC195" s="2">
        <f>B195</f>
        <v>83.04</v>
      </c>
      <c r="AD195" s="2">
        <f>193</f>
        <v>193</v>
      </c>
      <c r="AE195" s="2">
        <f>INTERCEPT($AC$3:$AC$1136,$AD$3:$AD$1136)+SLOPE($AC$3:$AC$1136,$AD$3:$AD$1136)*AD195</f>
        <v>78.693159398490351</v>
      </c>
      <c r="AF195" s="2">
        <f t="shared" si="4"/>
        <v>81.344818998893047</v>
      </c>
      <c r="AG195" s="2">
        <f t="shared" si="5"/>
        <v>76.041499798087656</v>
      </c>
      <c r="AH195" s="22">
        <f>AC195-AE195</f>
        <v>4.3468406015096548</v>
      </c>
    </row>
    <row r="196" spans="1:34" x14ac:dyDescent="0.25">
      <c r="A196" s="1">
        <f>DATEVALUE(Sheet1!A195)</f>
        <v>44841</v>
      </c>
      <c r="B196" s="2">
        <f>VALUE(Sheet1!B195)</f>
        <v>83.05</v>
      </c>
      <c r="C196" s="9">
        <f>(B196-B195)/B195</f>
        <v>1.2042389210008315E-4</v>
      </c>
      <c r="D196" s="2">
        <f>MAX(D195,B196)</f>
        <v>103.9</v>
      </c>
      <c r="E196" s="9">
        <f>(B196-D196)/D196</f>
        <v>-0.2006737247353225</v>
      </c>
      <c r="G196" t="s">
        <v>77</v>
      </c>
      <c r="H196" s="2">
        <f>B928</f>
        <v>65.08</v>
      </c>
      <c r="I196" s="9">
        <f>(H196-H195)/H195</f>
        <v>4.0111076828140257E-3</v>
      </c>
      <c r="J196" s="2">
        <f>MAX(J195,H196)</f>
        <v>103.9</v>
      </c>
      <c r="K196" s="9">
        <f>(H196-J196)/J196</f>
        <v>-0.37362848893166511</v>
      </c>
      <c r="AB196" s="1">
        <f>A196</f>
        <v>44841</v>
      </c>
      <c r="AC196" s="2">
        <f>B196</f>
        <v>83.05</v>
      </c>
      <c r="AD196" s="2">
        <f>194</f>
        <v>194</v>
      </c>
      <c r="AE196" s="2">
        <f>INTERCEPT($AC$3:$AC$1136,$AD$3:$AD$1136)+SLOPE($AC$3:$AC$1136,$AD$3:$AD$1136)*AD196</f>
        <v>78.674447435077894</v>
      </c>
      <c r="AF196" s="2">
        <f t="shared" ref="AF196:AF259" si="6">AE196+$AJ$5*$AJ$4</f>
        <v>81.32610703548059</v>
      </c>
      <c r="AG196" s="2">
        <f t="shared" ref="AG196:AG259" si="7">AE196-$AJ$5*$AJ$4</f>
        <v>76.022787834675199</v>
      </c>
      <c r="AH196" s="22">
        <f>AC196-AE196</f>
        <v>4.3755525649221028</v>
      </c>
    </row>
    <row r="197" spans="1:34" x14ac:dyDescent="0.25">
      <c r="A197" s="1">
        <f>DATEVALUE(Sheet1!A196)</f>
        <v>44844</v>
      </c>
      <c r="B197" s="2">
        <f>VALUE(Sheet1!B196)</f>
        <v>83.5</v>
      </c>
      <c r="C197" s="9">
        <f>(B197-B196)/B196</f>
        <v>5.418422636965718E-3</v>
      </c>
      <c r="D197" s="2">
        <f>MAX(D196,B197)</f>
        <v>103.9</v>
      </c>
      <c r="E197" s="9">
        <f>(B197-D197)/D197</f>
        <v>-0.19634263715110689</v>
      </c>
      <c r="G197" t="s">
        <v>78</v>
      </c>
      <c r="H197" s="2">
        <f>B933</f>
        <v>64.75</v>
      </c>
      <c r="I197" s="9">
        <f>(H197-H196)/H196</f>
        <v>-5.0706822372464395E-3</v>
      </c>
      <c r="J197" s="2">
        <f>MAX(J196,H197)</f>
        <v>103.9</v>
      </c>
      <c r="K197" s="9">
        <f>(H197-J197)/J197</f>
        <v>-0.3768046198267565</v>
      </c>
      <c r="AB197" s="1">
        <f>A197</f>
        <v>44844</v>
      </c>
      <c r="AC197" s="2">
        <f>B197</f>
        <v>83.5</v>
      </c>
      <c r="AD197" s="2">
        <f>195</f>
        <v>195</v>
      </c>
      <c r="AE197" s="2">
        <f>INTERCEPT($AC$3:$AC$1136,$AD$3:$AD$1136)+SLOPE($AC$3:$AC$1136,$AD$3:$AD$1136)*AD197</f>
        <v>78.655735471665452</v>
      </c>
      <c r="AF197" s="2">
        <f t="shared" si="6"/>
        <v>81.307395072068147</v>
      </c>
      <c r="AG197" s="2">
        <f t="shared" si="7"/>
        <v>76.004075871262756</v>
      </c>
      <c r="AH197" s="22">
        <f>AC197-AE197</f>
        <v>4.8442645283345485</v>
      </c>
    </row>
    <row r="198" spans="1:34" x14ac:dyDescent="0.25">
      <c r="A198" s="1">
        <f>DATEVALUE(Sheet1!A197)</f>
        <v>44845</v>
      </c>
      <c r="B198" s="2">
        <f>VALUE(Sheet1!B197)</f>
        <v>83.86</v>
      </c>
      <c r="C198" s="9">
        <f>(B198-B197)/B197</f>
        <v>4.311377245508975E-3</v>
      </c>
      <c r="D198" s="2">
        <f>MAX(D197,B198)</f>
        <v>103.9</v>
      </c>
      <c r="E198" s="9">
        <f>(B198-D198)/D198</f>
        <v>-0.19287776708373441</v>
      </c>
      <c r="G198" t="s">
        <v>79</v>
      </c>
      <c r="H198" s="2">
        <f>B938</f>
        <v>64.36</v>
      </c>
      <c r="I198" s="9">
        <f>(H198-H197)/H197</f>
        <v>-6.0231660231660315E-3</v>
      </c>
      <c r="J198" s="2">
        <f>MAX(J197,H198)</f>
        <v>103.9</v>
      </c>
      <c r="K198" s="9">
        <f>(H198-J198)/J198</f>
        <v>-0.38055822906641007</v>
      </c>
      <c r="AB198" s="1">
        <f>A198</f>
        <v>44845</v>
      </c>
      <c r="AC198" s="2">
        <f>B198</f>
        <v>83.86</v>
      </c>
      <c r="AD198" s="2">
        <f>196</f>
        <v>196</v>
      </c>
      <c r="AE198" s="2">
        <f>INTERCEPT($AC$3:$AC$1136,$AD$3:$AD$1136)+SLOPE($AC$3:$AC$1136,$AD$3:$AD$1136)*AD198</f>
        <v>78.637023508253009</v>
      </c>
      <c r="AF198" s="2">
        <f t="shared" si="6"/>
        <v>81.288683108655704</v>
      </c>
      <c r="AG198" s="2">
        <f t="shared" si="7"/>
        <v>75.985363907850314</v>
      </c>
      <c r="AH198" s="22">
        <f>AC198-AE198</f>
        <v>5.2229764917469907</v>
      </c>
    </row>
    <row r="199" spans="1:34" x14ac:dyDescent="0.25">
      <c r="A199" s="1">
        <f>DATEVALUE(Sheet1!A198)</f>
        <v>44847</v>
      </c>
      <c r="B199" s="2">
        <f>VALUE(Sheet1!B198)</f>
        <v>84.42</v>
      </c>
      <c r="C199" s="9">
        <f>(B199-B198)/B198</f>
        <v>6.6777963272120471E-3</v>
      </c>
      <c r="D199" s="2">
        <f>MAX(D198,B199)</f>
        <v>103.9</v>
      </c>
      <c r="E199" s="9">
        <f>(B199-D199)/D199</f>
        <v>-0.18748796920115499</v>
      </c>
      <c r="G199" t="s">
        <v>80</v>
      </c>
      <c r="H199" s="2">
        <f>B943</f>
        <v>64.930000000000007</v>
      </c>
      <c r="I199" s="9">
        <f>(H199-H198)/H198</f>
        <v>8.8564325668117998E-3</v>
      </c>
      <c r="J199" s="2">
        <f>MAX(J198,H199)</f>
        <v>103.9</v>
      </c>
      <c r="K199" s="9">
        <f>(H199-J199)/J199</f>
        <v>-0.37507218479307025</v>
      </c>
      <c r="AB199" s="1">
        <f>A199</f>
        <v>44847</v>
      </c>
      <c r="AC199" s="2">
        <f>B199</f>
        <v>84.42</v>
      </c>
      <c r="AD199" s="2">
        <f>197</f>
        <v>197</v>
      </c>
      <c r="AE199" s="2">
        <f>INTERCEPT($AC$3:$AC$1136,$AD$3:$AD$1136)+SLOPE($AC$3:$AC$1136,$AD$3:$AD$1136)*AD199</f>
        <v>78.618311544840566</v>
      </c>
      <c r="AF199" s="2">
        <f t="shared" si="6"/>
        <v>81.269971145243261</v>
      </c>
      <c r="AG199" s="2">
        <f t="shared" si="7"/>
        <v>75.966651944437871</v>
      </c>
      <c r="AH199" s="22">
        <f>AC199-AE199</f>
        <v>5.8016884551594359</v>
      </c>
    </row>
    <row r="200" spans="1:34" x14ac:dyDescent="0.25">
      <c r="A200" s="1">
        <f>DATEVALUE(Sheet1!A199)</f>
        <v>44848</v>
      </c>
      <c r="B200" s="2">
        <f>VALUE(Sheet1!B199)</f>
        <v>84.67</v>
      </c>
      <c r="C200" s="9">
        <f>(B200-B199)/B199</f>
        <v>2.9613835583984839E-3</v>
      </c>
      <c r="D200" s="2">
        <f>MAX(D199,B200)</f>
        <v>103.9</v>
      </c>
      <c r="E200" s="9">
        <f>(B200-D200)/D200</f>
        <v>-0.18508180943214633</v>
      </c>
      <c r="G200" t="s">
        <v>81</v>
      </c>
      <c r="H200" s="2">
        <f>B948</f>
        <v>65.150000000000006</v>
      </c>
      <c r="I200" s="9">
        <f>(H200-H199)/H199</f>
        <v>3.3882642846141823E-3</v>
      </c>
      <c r="J200" s="2">
        <f>MAX(J199,H200)</f>
        <v>103.9</v>
      </c>
      <c r="K200" s="9">
        <f>(H200-J200)/J200</f>
        <v>-0.3729547641963426</v>
      </c>
      <c r="AB200" s="1">
        <f>A200</f>
        <v>44848</v>
      </c>
      <c r="AC200" s="2">
        <f>B200</f>
        <v>84.67</v>
      </c>
      <c r="AD200" s="2">
        <f>198</f>
        <v>198</v>
      </c>
      <c r="AE200" s="2">
        <f>INTERCEPT($AC$3:$AC$1136,$AD$3:$AD$1136)+SLOPE($AC$3:$AC$1136,$AD$3:$AD$1136)*AD200</f>
        <v>78.599599581428109</v>
      </c>
      <c r="AF200" s="2">
        <f t="shared" si="6"/>
        <v>81.251259181830804</v>
      </c>
      <c r="AG200" s="2">
        <f t="shared" si="7"/>
        <v>75.947939981025414</v>
      </c>
      <c r="AH200" s="22">
        <f>AC200-AE200</f>
        <v>6.0704004185718929</v>
      </c>
    </row>
    <row r="201" spans="1:34" x14ac:dyDescent="0.25">
      <c r="A201" s="1">
        <f>DATEVALUE(Sheet1!A200)</f>
        <v>44851</v>
      </c>
      <c r="B201" s="2">
        <f>VALUE(Sheet1!B200)</f>
        <v>84.86</v>
      </c>
      <c r="C201" s="9">
        <f>(B201-B200)/B200</f>
        <v>2.2440061414904654E-3</v>
      </c>
      <c r="D201" s="2">
        <f>MAX(D200,B201)</f>
        <v>103.9</v>
      </c>
      <c r="E201" s="9">
        <f>(B201-D201)/D201</f>
        <v>-0.18325312800769977</v>
      </c>
      <c r="G201" t="s">
        <v>82</v>
      </c>
      <c r="H201" s="2">
        <f>B953</f>
        <v>65.489999999999995</v>
      </c>
      <c r="I201" s="9">
        <f>(H201-H200)/H200</f>
        <v>5.2187260168839473E-3</v>
      </c>
      <c r="J201" s="2">
        <f>MAX(J200,H201)</f>
        <v>103.9</v>
      </c>
      <c r="K201" s="9">
        <f>(H201-J201)/J201</f>
        <v>-0.36968238691049093</v>
      </c>
      <c r="AB201" s="1">
        <f>A201</f>
        <v>44851</v>
      </c>
      <c r="AC201" s="2">
        <f>B201</f>
        <v>84.86</v>
      </c>
      <c r="AD201" s="2">
        <f>199</f>
        <v>199</v>
      </c>
      <c r="AE201" s="2">
        <f>INTERCEPT($AC$3:$AC$1136,$AD$3:$AD$1136)+SLOPE($AC$3:$AC$1136,$AD$3:$AD$1136)*AD201</f>
        <v>78.580887618015666</v>
      </c>
      <c r="AF201" s="2">
        <f t="shared" si="6"/>
        <v>81.232547218418361</v>
      </c>
      <c r="AG201" s="2">
        <f t="shared" si="7"/>
        <v>75.929228017612971</v>
      </c>
      <c r="AH201" s="22">
        <f>AC201-AE201</f>
        <v>6.2791123819843335</v>
      </c>
    </row>
    <row r="202" spans="1:34" x14ac:dyDescent="0.25">
      <c r="A202" s="1">
        <f>DATEVALUE(Sheet1!A201)</f>
        <v>44852</v>
      </c>
      <c r="B202" s="2">
        <f>VALUE(Sheet1!B201)</f>
        <v>85.38</v>
      </c>
      <c r="C202" s="9">
        <f>(B202-B201)/B201</f>
        <v>6.1277398067404671E-3</v>
      </c>
      <c r="D202" s="2">
        <f>MAX(D201,B202)</f>
        <v>103.9</v>
      </c>
      <c r="E202" s="9">
        <f>(B202-D202)/D202</f>
        <v>-0.1782483156881618</v>
      </c>
      <c r="G202" t="s">
        <v>83</v>
      </c>
      <c r="H202" s="2">
        <f>B958</f>
        <v>65.709999999999994</v>
      </c>
      <c r="I202" s="9">
        <f>(H202-H201)/H201</f>
        <v>3.3592914948846983E-3</v>
      </c>
      <c r="J202" s="2">
        <f>MAX(J201,H202)</f>
        <v>103.9</v>
      </c>
      <c r="K202" s="9">
        <f>(H202-J202)/J202</f>
        <v>-0.36756496631376334</v>
      </c>
      <c r="AB202" s="1">
        <f>A202</f>
        <v>44852</v>
      </c>
      <c r="AC202" s="2">
        <f>B202</f>
        <v>85.38</v>
      </c>
      <c r="AD202" s="2">
        <f>200</f>
        <v>200</v>
      </c>
      <c r="AE202" s="2">
        <f>INTERCEPT($AC$3:$AC$1136,$AD$3:$AD$1136)+SLOPE($AC$3:$AC$1136,$AD$3:$AD$1136)*AD202</f>
        <v>78.562175654603223</v>
      </c>
      <c r="AF202" s="2">
        <f t="shared" si="6"/>
        <v>81.213835255005918</v>
      </c>
      <c r="AG202" s="2">
        <f t="shared" si="7"/>
        <v>75.910516054200528</v>
      </c>
      <c r="AH202" s="22">
        <f>AC202-AE202</f>
        <v>6.8178243453967724</v>
      </c>
    </row>
    <row r="203" spans="1:34" x14ac:dyDescent="0.25">
      <c r="A203" s="1">
        <f>DATEVALUE(Sheet1!A202)</f>
        <v>44853</v>
      </c>
      <c r="B203" s="2">
        <f>VALUE(Sheet1!B202)</f>
        <v>85.41</v>
      </c>
      <c r="C203" s="9">
        <f>(B203-B202)/B202</f>
        <v>3.5137034434295079E-4</v>
      </c>
      <c r="D203" s="2">
        <f>MAX(D202,B203)</f>
        <v>103.9</v>
      </c>
      <c r="E203" s="9">
        <f>(B203-D203)/D203</f>
        <v>-0.17795957651588074</v>
      </c>
      <c r="G203" t="s">
        <v>84</v>
      </c>
      <c r="H203" s="2">
        <f>B963</f>
        <v>66.430000000000007</v>
      </c>
      <c r="I203" s="9">
        <f>(H203-H202)/H202</f>
        <v>1.0957236341500733E-2</v>
      </c>
      <c r="J203" s="2">
        <f>MAX(J202,H203)</f>
        <v>103.9</v>
      </c>
      <c r="K203" s="9">
        <f>(H203-J203)/J203</f>
        <v>-0.36063522617901828</v>
      </c>
      <c r="AB203" s="1">
        <f>A203</f>
        <v>44853</v>
      </c>
      <c r="AC203" s="2">
        <f>B203</f>
        <v>85.41</v>
      </c>
      <c r="AD203" s="2">
        <f>201</f>
        <v>201</v>
      </c>
      <c r="AE203" s="2">
        <f>INTERCEPT($AC$3:$AC$1136,$AD$3:$AD$1136)+SLOPE($AC$3:$AC$1136,$AD$3:$AD$1136)*AD203</f>
        <v>78.543463691190766</v>
      </c>
      <c r="AF203" s="2">
        <f t="shared" si="6"/>
        <v>81.195123291593461</v>
      </c>
      <c r="AG203" s="2">
        <f t="shared" si="7"/>
        <v>75.891804090788071</v>
      </c>
      <c r="AH203" s="22">
        <f>AC203-AE203</f>
        <v>6.8665363088092306</v>
      </c>
    </row>
    <row r="204" spans="1:34" x14ac:dyDescent="0.25">
      <c r="A204" s="1">
        <f>DATEVALUE(Sheet1!A203)</f>
        <v>44854</v>
      </c>
      <c r="B204" s="2">
        <f>VALUE(Sheet1!B203)</f>
        <v>85.21</v>
      </c>
      <c r="C204" s="9">
        <f>(B204-B203)/B203</f>
        <v>-2.3416461772626492E-3</v>
      </c>
      <c r="D204" s="2">
        <f>MAX(D203,B204)</f>
        <v>103.9</v>
      </c>
      <c r="E204" s="9">
        <f>(B204-D204)/D204</f>
        <v>-0.17988450433108769</v>
      </c>
      <c r="G204" t="s">
        <v>85</v>
      </c>
      <c r="H204" s="2">
        <f>B968</f>
        <v>67.31</v>
      </c>
      <c r="I204" s="9">
        <f>(H204-H203)/H203</f>
        <v>1.3247026945657013E-2</v>
      </c>
      <c r="J204" s="2">
        <f>MAX(J203,H204)</f>
        <v>103.9</v>
      </c>
      <c r="K204" s="9">
        <f>(H204-J204)/J204</f>
        <v>-0.35216554379210779</v>
      </c>
      <c r="AB204" s="1">
        <f>A204</f>
        <v>44854</v>
      </c>
      <c r="AC204" s="2">
        <f>B204</f>
        <v>85.21</v>
      </c>
      <c r="AD204" s="2">
        <f>202</f>
        <v>202</v>
      </c>
      <c r="AE204" s="2">
        <f>INTERCEPT($AC$3:$AC$1136,$AD$3:$AD$1136)+SLOPE($AC$3:$AC$1136,$AD$3:$AD$1136)*AD204</f>
        <v>78.524751727778323</v>
      </c>
      <c r="AF204" s="2">
        <f t="shared" si="6"/>
        <v>81.176411328181018</v>
      </c>
      <c r="AG204" s="2">
        <f t="shared" si="7"/>
        <v>75.873092127375628</v>
      </c>
      <c r="AH204" s="22">
        <f>AC204-AE204</f>
        <v>6.6852482722216706</v>
      </c>
    </row>
    <row r="205" spans="1:34" x14ac:dyDescent="0.25">
      <c r="A205" s="1">
        <f>DATEVALUE(Sheet1!A204)</f>
        <v>44855</v>
      </c>
      <c r="B205" s="2">
        <f>VALUE(Sheet1!B204)</f>
        <v>85.28</v>
      </c>
      <c r="C205" s="9">
        <f>(B205-B204)/B204</f>
        <v>8.2149982396441021E-4</v>
      </c>
      <c r="D205" s="2">
        <f>MAX(D204,B205)</f>
        <v>103.9</v>
      </c>
      <c r="E205" s="9">
        <f>(B205-D205)/D205</f>
        <v>-0.1792107795957652</v>
      </c>
      <c r="G205" t="s">
        <v>86</v>
      </c>
      <c r="H205" s="2">
        <f>B973</f>
        <v>67.62</v>
      </c>
      <c r="I205" s="9">
        <f>(H205-H204)/H204</f>
        <v>4.6055563809241163E-3</v>
      </c>
      <c r="J205" s="2">
        <f>MAX(J204,H205)</f>
        <v>103.9</v>
      </c>
      <c r="K205" s="9">
        <f>(H205-J205)/J205</f>
        <v>-0.34918190567853702</v>
      </c>
      <c r="AB205" s="1">
        <f>A205</f>
        <v>44855</v>
      </c>
      <c r="AC205" s="2">
        <f>B205</f>
        <v>85.28</v>
      </c>
      <c r="AD205" s="2">
        <f>203</f>
        <v>203</v>
      </c>
      <c r="AE205" s="2">
        <f>INTERCEPT($AC$3:$AC$1136,$AD$3:$AD$1136)+SLOPE($AC$3:$AC$1136,$AD$3:$AD$1136)*AD205</f>
        <v>78.50603976436588</v>
      </c>
      <c r="AF205" s="2">
        <f t="shared" si="6"/>
        <v>81.157699364768575</v>
      </c>
      <c r="AG205" s="2">
        <f t="shared" si="7"/>
        <v>75.854380163963185</v>
      </c>
      <c r="AH205" s="22">
        <f>AC205-AE205</f>
        <v>6.7739602356341209</v>
      </c>
    </row>
    <row r="206" spans="1:34" x14ac:dyDescent="0.25">
      <c r="A206" s="1">
        <f>DATEVALUE(Sheet1!A205)</f>
        <v>44858</v>
      </c>
      <c r="B206" s="2">
        <f>VALUE(Sheet1!B205)</f>
        <v>85.08</v>
      </c>
      <c r="C206" s="9">
        <f>(B206-B205)/B205</f>
        <v>-2.3452157598499394E-3</v>
      </c>
      <c r="D206" s="2">
        <f>MAX(D205,B206)</f>
        <v>103.9</v>
      </c>
      <c r="E206" s="9">
        <f>(B206-D206)/D206</f>
        <v>-0.18113570741097215</v>
      </c>
      <c r="G206" t="s">
        <v>87</v>
      </c>
      <c r="H206" s="2">
        <f>B977</f>
        <v>67.819999999999993</v>
      </c>
      <c r="I206" s="9">
        <f>(H206-H205)/H205</f>
        <v>2.95770482105869E-3</v>
      </c>
      <c r="J206" s="2">
        <f>MAX(J205,H206)</f>
        <v>103.9</v>
      </c>
      <c r="K206" s="9">
        <f>(H206-J206)/J206</f>
        <v>-0.34725697786333021</v>
      </c>
      <c r="AB206" s="1">
        <f>A206</f>
        <v>44858</v>
      </c>
      <c r="AC206" s="2">
        <f>B206</f>
        <v>85.08</v>
      </c>
      <c r="AD206" s="2">
        <f>204</f>
        <v>204</v>
      </c>
      <c r="AE206" s="2">
        <f>INTERCEPT($AC$3:$AC$1136,$AD$3:$AD$1136)+SLOPE($AC$3:$AC$1136,$AD$3:$AD$1136)*AD206</f>
        <v>78.487327800953437</v>
      </c>
      <c r="AF206" s="2">
        <f t="shared" si="6"/>
        <v>81.138987401356133</v>
      </c>
      <c r="AG206" s="2">
        <f t="shared" si="7"/>
        <v>75.835668200550742</v>
      </c>
      <c r="AH206" s="22">
        <f>AC206-AE206</f>
        <v>6.5926721990465609</v>
      </c>
    </row>
    <row r="207" spans="1:34" x14ac:dyDescent="0.25">
      <c r="A207" s="1">
        <f>DATEVALUE(Sheet1!A206)</f>
        <v>44859</v>
      </c>
      <c r="B207" s="2">
        <f>VALUE(Sheet1!B206)</f>
        <v>84.91</v>
      </c>
      <c r="C207" s="9">
        <f>(B207-B206)/B206</f>
        <v>-1.9981194170192959E-3</v>
      </c>
      <c r="D207" s="2">
        <f>MAX(D206,B207)</f>
        <v>103.9</v>
      </c>
      <c r="E207" s="9">
        <f>(B207-D207)/D207</f>
        <v>-0.18277189605389807</v>
      </c>
      <c r="G207" t="s">
        <v>88</v>
      </c>
      <c r="H207" s="2">
        <f>B982</f>
        <v>69.040000000000006</v>
      </c>
      <c r="I207" s="9">
        <f>(H207-H206)/H206</f>
        <v>1.7988793866116383E-2</v>
      </c>
      <c r="J207" s="2">
        <f>MAX(J206,H207)</f>
        <v>103.9</v>
      </c>
      <c r="K207" s="9">
        <f>(H207-J207)/J207</f>
        <v>-0.33551491819056783</v>
      </c>
      <c r="AB207" s="1">
        <f>A207</f>
        <v>44859</v>
      </c>
      <c r="AC207" s="2">
        <f>B207</f>
        <v>84.91</v>
      </c>
      <c r="AD207" s="2">
        <f>205</f>
        <v>205</v>
      </c>
      <c r="AE207" s="2">
        <f>INTERCEPT($AC$3:$AC$1136,$AD$3:$AD$1136)+SLOPE($AC$3:$AC$1136,$AD$3:$AD$1136)*AD207</f>
        <v>78.46861583754098</v>
      </c>
      <c r="AF207" s="2">
        <f t="shared" si="6"/>
        <v>81.120275437943675</v>
      </c>
      <c r="AG207" s="2">
        <f t="shared" si="7"/>
        <v>75.816956237138285</v>
      </c>
      <c r="AH207" s="22">
        <f>AC207-AE207</f>
        <v>6.4413841624590162</v>
      </c>
    </row>
    <row r="208" spans="1:34" x14ac:dyDescent="0.25">
      <c r="A208" s="1">
        <f>DATEVALUE(Sheet1!A207)</f>
        <v>44860</v>
      </c>
      <c r="B208" s="2">
        <f>VALUE(Sheet1!B207)</f>
        <v>85.12</v>
      </c>
      <c r="C208" s="9">
        <f>(B208-B207)/B207</f>
        <v>2.4732069249794836E-3</v>
      </c>
      <c r="D208" s="2">
        <f>MAX(D207,B208)</f>
        <v>103.9</v>
      </c>
      <c r="E208" s="9">
        <f>(B208-D208)/D208</f>
        <v>-0.1807507218479307</v>
      </c>
      <c r="G208" t="s">
        <v>89</v>
      </c>
      <c r="H208" s="2">
        <f>B987</f>
        <v>70.150000000000006</v>
      </c>
      <c r="I208" s="9">
        <f>(H208-H207)/H207</f>
        <v>1.6077636152954797E-2</v>
      </c>
      <c r="J208" s="2">
        <f>MAX(J207,H208)</f>
        <v>103.9</v>
      </c>
      <c r="K208" s="9">
        <f>(H208-J208)/J208</f>
        <v>-0.32483156881616937</v>
      </c>
      <c r="AB208" s="1">
        <f>A208</f>
        <v>44860</v>
      </c>
      <c r="AC208" s="2">
        <f>B208</f>
        <v>85.12</v>
      </c>
      <c r="AD208" s="2">
        <f>206</f>
        <v>206</v>
      </c>
      <c r="AE208" s="2">
        <f>INTERCEPT($AC$3:$AC$1136,$AD$3:$AD$1136)+SLOPE($AC$3:$AC$1136,$AD$3:$AD$1136)*AD208</f>
        <v>78.449903874128537</v>
      </c>
      <c r="AF208" s="2">
        <f t="shared" si="6"/>
        <v>81.101563474531233</v>
      </c>
      <c r="AG208" s="2">
        <f t="shared" si="7"/>
        <v>75.798244273725842</v>
      </c>
      <c r="AH208" s="22">
        <f>AC208-AE208</f>
        <v>6.6700961258714671</v>
      </c>
    </row>
    <row r="209" spans="1:34" x14ac:dyDescent="0.25">
      <c r="A209" s="1">
        <f>DATEVALUE(Sheet1!A208)</f>
        <v>44861</v>
      </c>
      <c r="B209" s="2">
        <f>VALUE(Sheet1!B208)</f>
        <v>85.35</v>
      </c>
      <c r="C209" s="9">
        <f>(B209-B208)/B208</f>
        <v>2.7020676691728121E-3</v>
      </c>
      <c r="D209" s="2">
        <f>MAX(D208,B209)</f>
        <v>103.9</v>
      </c>
      <c r="E209" s="9">
        <f>(B209-D209)/D209</f>
        <v>-0.17853705486044283</v>
      </c>
      <c r="G209" t="s">
        <v>90</v>
      </c>
      <c r="H209" s="2">
        <f>B992</f>
        <v>69.709999999999994</v>
      </c>
      <c r="I209" s="9">
        <f>(H209-H208)/H208</f>
        <v>-6.2722736992161356E-3</v>
      </c>
      <c r="J209" s="2">
        <f>MAX(J208,H209)</f>
        <v>103.9</v>
      </c>
      <c r="K209" s="9">
        <f>(H209-J209)/J209</f>
        <v>-0.32906641000962472</v>
      </c>
      <c r="AB209" s="1">
        <f>A209</f>
        <v>44861</v>
      </c>
      <c r="AC209" s="2">
        <f>B209</f>
        <v>85.35</v>
      </c>
      <c r="AD209" s="2">
        <f>207</f>
        <v>207</v>
      </c>
      <c r="AE209" s="2">
        <f>INTERCEPT($AC$3:$AC$1136,$AD$3:$AD$1136)+SLOPE($AC$3:$AC$1136,$AD$3:$AD$1136)*AD209</f>
        <v>78.431191910716095</v>
      </c>
      <c r="AF209" s="2">
        <f t="shared" si="6"/>
        <v>81.08285151111879</v>
      </c>
      <c r="AG209" s="2">
        <f t="shared" si="7"/>
        <v>75.7795323103134</v>
      </c>
      <c r="AH209" s="22">
        <f>AC209-AE209</f>
        <v>6.9188080892838997</v>
      </c>
    </row>
    <row r="210" spans="1:34" x14ac:dyDescent="0.25">
      <c r="A210" s="1">
        <f>DATEVALUE(Sheet1!A209)</f>
        <v>44862</v>
      </c>
      <c r="B210" s="2">
        <f>VALUE(Sheet1!B209)</f>
        <v>85.69</v>
      </c>
      <c r="C210" s="9">
        <f>(B210-B209)/B209</f>
        <v>3.9835969537200169E-3</v>
      </c>
      <c r="D210" s="2">
        <f>MAX(D209,B210)</f>
        <v>103.9</v>
      </c>
      <c r="E210" s="9">
        <f>(B210-D210)/D210</f>
        <v>-0.17526467757459102</v>
      </c>
      <c r="G210" t="s">
        <v>91</v>
      </c>
      <c r="H210" s="2">
        <f>B997</f>
        <v>69.47</v>
      </c>
      <c r="I210" s="9">
        <f>(H210-H209)/H209</f>
        <v>-3.4428346004876619E-3</v>
      </c>
      <c r="J210" s="2">
        <f>MAX(J209,H210)</f>
        <v>103.9</v>
      </c>
      <c r="K210" s="9">
        <f>(H210-J210)/J210</f>
        <v>-0.33137632338787298</v>
      </c>
      <c r="AB210" s="1">
        <f>A210</f>
        <v>44862</v>
      </c>
      <c r="AC210" s="2">
        <f>B210</f>
        <v>85.69</v>
      </c>
      <c r="AD210" s="2">
        <f>208</f>
        <v>208</v>
      </c>
      <c r="AE210" s="2">
        <f>INTERCEPT($AC$3:$AC$1136,$AD$3:$AD$1136)+SLOPE($AC$3:$AC$1136,$AD$3:$AD$1136)*AD210</f>
        <v>78.412479947303652</v>
      </c>
      <c r="AF210" s="2">
        <f t="shared" si="6"/>
        <v>81.064139547706347</v>
      </c>
      <c r="AG210" s="2">
        <f t="shared" si="7"/>
        <v>75.760820346900957</v>
      </c>
      <c r="AH210" s="22">
        <f>AC210-AE210</f>
        <v>7.2775200526963459</v>
      </c>
    </row>
    <row r="211" spans="1:34" x14ac:dyDescent="0.25">
      <c r="A211" s="1">
        <f>DATEVALUE(Sheet1!A210)</f>
        <v>44865</v>
      </c>
      <c r="B211" s="2">
        <f>VALUE(Sheet1!B210)</f>
        <v>85.35</v>
      </c>
      <c r="C211" s="9">
        <f>(B211-B210)/B210</f>
        <v>-3.9677908740810295E-3</v>
      </c>
      <c r="D211" s="2">
        <f>MAX(D210,B211)</f>
        <v>103.9</v>
      </c>
      <c r="E211" s="9">
        <f>(B211-D211)/D211</f>
        <v>-0.17853705486044283</v>
      </c>
      <c r="G211" t="s">
        <v>92</v>
      </c>
      <c r="H211" s="2">
        <f>B1000</f>
        <v>69.459999999999994</v>
      </c>
      <c r="I211" s="9">
        <f>(H211-H210)/H210</f>
        <v>-1.4394702749395591E-4</v>
      </c>
      <c r="J211" s="2">
        <f>MAX(J210,H211)</f>
        <v>103.9</v>
      </c>
      <c r="K211" s="9">
        <f>(H211-J211)/J211</f>
        <v>-0.33147256977863337</v>
      </c>
      <c r="AB211" s="1">
        <f>A211</f>
        <v>44865</v>
      </c>
      <c r="AC211" s="2">
        <f>B211</f>
        <v>85.35</v>
      </c>
      <c r="AD211" s="2">
        <f>209</f>
        <v>209</v>
      </c>
      <c r="AE211" s="2">
        <f>INTERCEPT($AC$3:$AC$1136,$AD$3:$AD$1136)+SLOPE($AC$3:$AC$1136,$AD$3:$AD$1136)*AD211</f>
        <v>78.393767983891195</v>
      </c>
      <c r="AF211" s="2">
        <f t="shared" si="6"/>
        <v>81.04542758429389</v>
      </c>
      <c r="AG211" s="2">
        <f t="shared" si="7"/>
        <v>75.7421083834885</v>
      </c>
      <c r="AH211" s="22">
        <f>AC211-AE211</f>
        <v>6.9562320161087996</v>
      </c>
    </row>
    <row r="212" spans="1:34" x14ac:dyDescent="0.25">
      <c r="A212" s="1">
        <f>DATEVALUE(Sheet1!A211)</f>
        <v>44866</v>
      </c>
      <c r="B212" s="2">
        <f>VALUE(Sheet1!B211)</f>
        <v>85.11</v>
      </c>
      <c r="C212" s="9">
        <f>(B212-B211)/B211</f>
        <v>-2.8119507908611003E-3</v>
      </c>
      <c r="D212" s="2">
        <f>MAX(D211,B212)</f>
        <v>103.9</v>
      </c>
      <c r="E212" s="9">
        <f>(B212-D212)/D212</f>
        <v>-0.18084696823869109</v>
      </c>
      <c r="G212" t="s">
        <v>94</v>
      </c>
      <c r="H212" s="2">
        <f>B1003</f>
        <v>69.38</v>
      </c>
      <c r="I212" s="9">
        <f>(H212-H211)/H211</f>
        <v>-1.1517420097897826E-3</v>
      </c>
      <c r="J212" s="2">
        <f>MAX(J211,H212)</f>
        <v>103.9</v>
      </c>
      <c r="K212" s="9">
        <f>(H212-J212)/J212</f>
        <v>-0.33224254090471617</v>
      </c>
      <c r="AB212" s="1">
        <f>A212</f>
        <v>44866</v>
      </c>
      <c r="AC212" s="2">
        <f>B212</f>
        <v>85.11</v>
      </c>
      <c r="AD212" s="2">
        <f>210</f>
        <v>210</v>
      </c>
      <c r="AE212" s="2">
        <f>INTERCEPT($AC$3:$AC$1136,$AD$3:$AD$1136)+SLOPE($AC$3:$AC$1136,$AD$3:$AD$1136)*AD212</f>
        <v>78.375056020478752</v>
      </c>
      <c r="AF212" s="2">
        <f t="shared" si="6"/>
        <v>81.026715620881447</v>
      </c>
      <c r="AG212" s="2">
        <f t="shared" si="7"/>
        <v>75.723396420076057</v>
      </c>
      <c r="AH212" s="22">
        <f>AC212-AE212</f>
        <v>6.7349439795212476</v>
      </c>
    </row>
    <row r="213" spans="1:34" x14ac:dyDescent="0.25">
      <c r="A213" s="1">
        <f>DATEVALUE(Sheet1!A212)</f>
        <v>44868</v>
      </c>
      <c r="B213" s="2">
        <f>VALUE(Sheet1!B212)</f>
        <v>84.76</v>
      </c>
      <c r="C213" s="9">
        <f>(B213-B212)/B212</f>
        <v>-4.1123252261778204E-3</v>
      </c>
      <c r="D213" s="2">
        <f>MAX(D212,B213)</f>
        <v>103.9</v>
      </c>
      <c r="E213" s="9">
        <f>(B213-D213)/D213</f>
        <v>-0.18421559191530318</v>
      </c>
      <c r="G213" t="s">
        <v>95</v>
      </c>
      <c r="H213" s="2">
        <f>B1008</f>
        <v>68.84</v>
      </c>
      <c r="I213" s="9">
        <f>(H213-H212)/H212</f>
        <v>-7.7832228307868562E-3</v>
      </c>
      <c r="J213" s="2">
        <f>MAX(J212,H213)</f>
        <v>103.9</v>
      </c>
      <c r="K213" s="9">
        <f>(H213-J213)/J213</f>
        <v>-0.33743984600577481</v>
      </c>
      <c r="AB213" s="1">
        <f>A213</f>
        <v>44868</v>
      </c>
      <c r="AC213" s="2">
        <f>B213</f>
        <v>84.76</v>
      </c>
      <c r="AD213" s="2">
        <f>211</f>
        <v>211</v>
      </c>
      <c r="AE213" s="2">
        <f>INTERCEPT($AC$3:$AC$1136,$AD$3:$AD$1136)+SLOPE($AC$3:$AC$1136,$AD$3:$AD$1136)*AD213</f>
        <v>78.356344057066309</v>
      </c>
      <c r="AF213" s="2">
        <f t="shared" si="6"/>
        <v>81.008003657469004</v>
      </c>
      <c r="AG213" s="2">
        <f t="shared" si="7"/>
        <v>75.704684456663614</v>
      </c>
      <c r="AH213" s="22">
        <f>AC213-AE213</f>
        <v>6.4036559429336961</v>
      </c>
    </row>
    <row r="214" spans="1:34" x14ac:dyDescent="0.25">
      <c r="A214" s="1">
        <f>DATEVALUE(Sheet1!A213)</f>
        <v>44869</v>
      </c>
      <c r="B214" s="2">
        <f>VALUE(Sheet1!B213)</f>
        <v>84.95</v>
      </c>
      <c r="C214" s="9">
        <f>(B214-B213)/B213</f>
        <v>2.241623407267552E-3</v>
      </c>
      <c r="D214" s="2">
        <f>MAX(D213,B214)</f>
        <v>103.9</v>
      </c>
      <c r="E214" s="9">
        <f>(B214-D214)/D214</f>
        <v>-0.18238691049085662</v>
      </c>
      <c r="G214" t="s">
        <v>96</v>
      </c>
      <c r="H214" s="2">
        <f>B1013</f>
        <v>68.12</v>
      </c>
      <c r="I214" s="9">
        <f>(H214-H213)/H213</f>
        <v>-1.0459035444508989E-2</v>
      </c>
      <c r="J214" s="2">
        <f>MAX(J213,H214)</f>
        <v>103.9</v>
      </c>
      <c r="K214" s="9">
        <f>(H214-J214)/J214</f>
        <v>-0.34436958614051971</v>
      </c>
      <c r="AB214" s="1">
        <f>A214</f>
        <v>44869</v>
      </c>
      <c r="AC214" s="2">
        <f>B214</f>
        <v>84.95</v>
      </c>
      <c r="AD214" s="2">
        <f>212</f>
        <v>212</v>
      </c>
      <c r="AE214" s="2">
        <f>INTERCEPT($AC$3:$AC$1136,$AD$3:$AD$1136)+SLOPE($AC$3:$AC$1136,$AD$3:$AD$1136)*AD214</f>
        <v>78.337632093653852</v>
      </c>
      <c r="AF214" s="2">
        <f t="shared" si="6"/>
        <v>80.989291694056547</v>
      </c>
      <c r="AG214" s="2">
        <f t="shared" si="7"/>
        <v>75.685972493251157</v>
      </c>
      <c r="AH214" s="22">
        <f>AC214-AE214</f>
        <v>6.6123679063461509</v>
      </c>
    </row>
    <row r="215" spans="1:34" x14ac:dyDescent="0.25">
      <c r="A215" s="1">
        <f>DATEVALUE(Sheet1!A214)</f>
        <v>44872</v>
      </c>
      <c r="B215" s="2">
        <f>VALUE(Sheet1!B214)</f>
        <v>85.19</v>
      </c>
      <c r="C215" s="9">
        <f>(B215-B214)/B214</f>
        <v>2.8251912889934653E-3</v>
      </c>
      <c r="D215" s="2">
        <f>MAX(D214,B215)</f>
        <v>103.9</v>
      </c>
      <c r="E215" s="9">
        <f>(B215-D215)/D215</f>
        <v>-0.18007699711260836</v>
      </c>
      <c r="G215" t="s">
        <v>97</v>
      </c>
      <c r="H215" s="2">
        <f>B1018</f>
        <v>66.69</v>
      </c>
      <c r="I215" s="9">
        <f>(H215-H214)/H214</f>
        <v>-2.0992366412213838E-2</v>
      </c>
      <c r="J215" s="2">
        <f>MAX(J214,H215)</f>
        <v>103.9</v>
      </c>
      <c r="K215" s="9">
        <f>(H215-J215)/J215</f>
        <v>-0.35813282001924934</v>
      </c>
      <c r="AB215" s="1">
        <f>A215</f>
        <v>44872</v>
      </c>
      <c r="AC215" s="2">
        <f>B215</f>
        <v>85.19</v>
      </c>
      <c r="AD215" s="2">
        <f>213</f>
        <v>213</v>
      </c>
      <c r="AE215" s="2">
        <f>INTERCEPT($AC$3:$AC$1136,$AD$3:$AD$1136)+SLOPE($AC$3:$AC$1136,$AD$3:$AD$1136)*AD215</f>
        <v>78.318920130241409</v>
      </c>
      <c r="AF215" s="2">
        <f t="shared" si="6"/>
        <v>80.970579730644104</v>
      </c>
      <c r="AG215" s="2">
        <f t="shared" si="7"/>
        <v>75.667260529838714</v>
      </c>
      <c r="AH215" s="22">
        <f>AC215-AE215</f>
        <v>6.8710798697585886</v>
      </c>
    </row>
    <row r="216" spans="1:34" x14ac:dyDescent="0.25">
      <c r="A216" s="1">
        <f>DATEVALUE(Sheet1!A215)</f>
        <v>44873</v>
      </c>
      <c r="B216" s="2">
        <f>VALUE(Sheet1!B215)</f>
        <v>85.3</v>
      </c>
      <c r="C216" s="9">
        <f>(B216-B215)/B215</f>
        <v>1.2912313651837004E-3</v>
      </c>
      <c r="D216" s="2">
        <f>MAX(D215,B216)</f>
        <v>103.9</v>
      </c>
      <c r="E216" s="9">
        <f>(B216-D216)/D216</f>
        <v>-0.17901828681424453</v>
      </c>
      <c r="G216" t="s">
        <v>98</v>
      </c>
      <c r="H216" s="2">
        <f>B1023</f>
        <v>66.17</v>
      </c>
      <c r="I216" s="9">
        <f>(H216-H215)/H215</f>
        <v>-7.7972709551656326E-3</v>
      </c>
      <c r="J216" s="2">
        <f>MAX(J215,H216)</f>
        <v>103.9</v>
      </c>
      <c r="K216" s="9">
        <f>(H216-J216)/J216</f>
        <v>-0.36313763233878732</v>
      </c>
      <c r="AB216" s="1">
        <f>A216</f>
        <v>44873</v>
      </c>
      <c r="AC216" s="2">
        <f>B216</f>
        <v>85.3</v>
      </c>
      <c r="AD216" s="2">
        <f>214</f>
        <v>214</v>
      </c>
      <c r="AE216" s="2">
        <f>INTERCEPT($AC$3:$AC$1136,$AD$3:$AD$1136)+SLOPE($AC$3:$AC$1136,$AD$3:$AD$1136)*AD216</f>
        <v>78.300208166828966</v>
      </c>
      <c r="AF216" s="2">
        <f t="shared" si="6"/>
        <v>80.951867767231661</v>
      </c>
      <c r="AG216" s="2">
        <f t="shared" si="7"/>
        <v>75.648548566426271</v>
      </c>
      <c r="AH216" s="22">
        <f>AC216-AE216</f>
        <v>6.9997918331710309</v>
      </c>
    </row>
    <row r="217" spans="1:34" x14ac:dyDescent="0.25">
      <c r="A217" s="1">
        <f>DATEVALUE(Sheet1!A216)</f>
        <v>44874</v>
      </c>
      <c r="B217" s="2">
        <f>VALUE(Sheet1!B216)</f>
        <v>84.76</v>
      </c>
      <c r="C217" s="9">
        <f>(B217-B216)/B216</f>
        <v>-6.3305978898006102E-3</v>
      </c>
      <c r="D217" s="2">
        <f>MAX(D216,B217)</f>
        <v>103.9</v>
      </c>
      <c r="E217" s="9">
        <f>(B217-D217)/D217</f>
        <v>-0.18421559191530318</v>
      </c>
      <c r="G217" t="s">
        <v>99</v>
      </c>
      <c r="H217" s="2">
        <f>B1028</f>
        <v>67.09</v>
      </c>
      <c r="I217" s="9">
        <f>(H217-H216)/H216</f>
        <v>1.3903581683542417E-2</v>
      </c>
      <c r="J217" s="2">
        <f>MAX(J216,H217)</f>
        <v>103.9</v>
      </c>
      <c r="K217" s="9">
        <f>(H217-J217)/J217</f>
        <v>-0.35428296438883544</v>
      </c>
      <c r="AB217" s="1">
        <f>A217</f>
        <v>44874</v>
      </c>
      <c r="AC217" s="2">
        <f>B217</f>
        <v>84.76</v>
      </c>
      <c r="AD217" s="2">
        <f>215</f>
        <v>215</v>
      </c>
      <c r="AE217" s="2">
        <f>INTERCEPT($AC$3:$AC$1136,$AD$3:$AD$1136)+SLOPE($AC$3:$AC$1136,$AD$3:$AD$1136)*AD217</f>
        <v>78.281496203416523</v>
      </c>
      <c r="AF217" s="2">
        <f t="shared" si="6"/>
        <v>80.933155803819218</v>
      </c>
      <c r="AG217" s="2">
        <f t="shared" si="7"/>
        <v>75.629836603013828</v>
      </c>
      <c r="AH217" s="22">
        <f>AC217-AE217</f>
        <v>6.4785037965834817</v>
      </c>
    </row>
    <row r="218" spans="1:34" x14ac:dyDescent="0.25">
      <c r="A218" s="1">
        <f>DATEVALUE(Sheet1!A217)</f>
        <v>44875</v>
      </c>
      <c r="B218" s="2">
        <f>VALUE(Sheet1!B217)</f>
        <v>84.48</v>
      </c>
      <c r="C218" s="9">
        <f>(B218-B217)/B217</f>
        <v>-3.3034450212364457E-3</v>
      </c>
      <c r="D218" s="2">
        <f>MAX(D217,B218)</f>
        <v>103.9</v>
      </c>
      <c r="E218" s="9">
        <f>(B218-D218)/D218</f>
        <v>-0.18691049085659289</v>
      </c>
      <c r="G218" t="s">
        <v>100</v>
      </c>
      <c r="H218" s="2">
        <f>B1032</f>
        <v>68.14</v>
      </c>
      <c r="I218" s="9">
        <f>(H218-H217)/H217</f>
        <v>1.5650618572067329E-2</v>
      </c>
      <c r="J218" s="2">
        <f>MAX(J217,H218)</f>
        <v>103.9</v>
      </c>
      <c r="K218" s="9">
        <f>(H218-J218)/J218</f>
        <v>-0.34417709335899904</v>
      </c>
      <c r="AB218" s="1">
        <f>A218</f>
        <v>44875</v>
      </c>
      <c r="AC218" s="2">
        <f>B218</f>
        <v>84.48</v>
      </c>
      <c r="AD218" s="2">
        <f>216</f>
        <v>216</v>
      </c>
      <c r="AE218" s="2">
        <f>INTERCEPT($AC$3:$AC$1136,$AD$3:$AD$1136)+SLOPE($AC$3:$AC$1136,$AD$3:$AD$1136)*AD218</f>
        <v>78.262784240004066</v>
      </c>
      <c r="AF218" s="2">
        <f t="shared" si="6"/>
        <v>80.914443840406761</v>
      </c>
      <c r="AG218" s="2">
        <f t="shared" si="7"/>
        <v>75.611124639601371</v>
      </c>
      <c r="AH218" s="22">
        <f>AC218-AE218</f>
        <v>6.2172157599959377</v>
      </c>
    </row>
    <row r="219" spans="1:34" x14ac:dyDescent="0.25">
      <c r="A219" s="1">
        <f>DATEVALUE(Sheet1!A218)</f>
        <v>44876</v>
      </c>
      <c r="B219" s="2">
        <f>VALUE(Sheet1!B218)</f>
        <v>83.74</v>
      </c>
      <c r="C219" s="9">
        <f>(B219-B218)/B218</f>
        <v>-8.7594696969698037E-3</v>
      </c>
      <c r="D219" s="2">
        <f>MAX(D218,B219)</f>
        <v>103.9</v>
      </c>
      <c r="E219" s="9">
        <f>(B219-D219)/D219</f>
        <v>-0.1940327237728586</v>
      </c>
      <c r="G219" t="s">
        <v>101</v>
      </c>
      <c r="H219" s="2">
        <f>B1036</f>
        <v>69.02</v>
      </c>
      <c r="I219" s="9">
        <f>(H219-H218)/H218</f>
        <v>1.2914587613736359E-2</v>
      </c>
      <c r="J219" s="2">
        <f>MAX(J218,H219)</f>
        <v>103.9</v>
      </c>
      <c r="K219" s="9">
        <f>(H219-J219)/J219</f>
        <v>-0.33570741097208862</v>
      </c>
      <c r="AB219" s="1">
        <f>A219</f>
        <v>44876</v>
      </c>
      <c r="AC219" s="2">
        <f>B219</f>
        <v>83.74</v>
      </c>
      <c r="AD219" s="2">
        <f>217</f>
        <v>217</v>
      </c>
      <c r="AE219" s="2">
        <f>INTERCEPT($AC$3:$AC$1136,$AD$3:$AD$1136)+SLOPE($AC$3:$AC$1136,$AD$3:$AD$1136)*AD219</f>
        <v>78.244072276591623</v>
      </c>
      <c r="AF219" s="2">
        <f t="shared" si="6"/>
        <v>80.895731876994319</v>
      </c>
      <c r="AG219" s="2">
        <f t="shared" si="7"/>
        <v>75.592412676188928</v>
      </c>
      <c r="AH219" s="22">
        <f>AC219-AE219</f>
        <v>5.4959277234083714</v>
      </c>
    </row>
    <row r="220" spans="1:34" x14ac:dyDescent="0.25">
      <c r="A220" s="1">
        <f>DATEVALUE(Sheet1!A219)</f>
        <v>44879</v>
      </c>
      <c r="B220" s="2">
        <f>VALUE(Sheet1!B219)</f>
        <v>84</v>
      </c>
      <c r="C220" s="9">
        <f>(B220-B219)/B219</f>
        <v>3.1048483401003718E-3</v>
      </c>
      <c r="D220" s="2">
        <f>MAX(D219,B220)</f>
        <v>103.9</v>
      </c>
      <c r="E220" s="9">
        <f>(B220-D220)/D220</f>
        <v>-0.19153031761308956</v>
      </c>
      <c r="G220" t="s">
        <v>102</v>
      </c>
      <c r="H220" s="2">
        <f>B1041</f>
        <v>69.75</v>
      </c>
      <c r="I220" s="9">
        <f>(H220-H219)/H219</f>
        <v>1.0576644450883859E-2</v>
      </c>
      <c r="J220" s="2">
        <f>MAX(J219,H220)</f>
        <v>103.9</v>
      </c>
      <c r="K220" s="9">
        <f>(H220-J220)/J220</f>
        <v>-0.32868142444658327</v>
      </c>
      <c r="AB220" s="1">
        <f>A220</f>
        <v>44879</v>
      </c>
      <c r="AC220" s="2">
        <f>B220</f>
        <v>84</v>
      </c>
      <c r="AD220" s="2">
        <f>218</f>
        <v>218</v>
      </c>
      <c r="AE220" s="2">
        <f>INTERCEPT($AC$3:$AC$1136,$AD$3:$AD$1136)+SLOPE($AC$3:$AC$1136,$AD$3:$AD$1136)*AD220</f>
        <v>78.225360313179181</v>
      </c>
      <c r="AF220" s="2">
        <f t="shared" si="6"/>
        <v>80.877019913581876</v>
      </c>
      <c r="AG220" s="2">
        <f t="shared" si="7"/>
        <v>75.573700712776485</v>
      </c>
      <c r="AH220" s="22">
        <f>AC220-AE220</f>
        <v>5.7746396868208194</v>
      </c>
    </row>
    <row r="221" spans="1:34" x14ac:dyDescent="0.25">
      <c r="A221" s="1">
        <f>DATEVALUE(Sheet1!A220)</f>
        <v>44881</v>
      </c>
      <c r="B221" s="2">
        <f>VALUE(Sheet1!B220)</f>
        <v>83.69</v>
      </c>
      <c r="C221" s="9">
        <f>(B221-B220)/B220</f>
        <v>-3.6904761904762175E-3</v>
      </c>
      <c r="D221" s="2">
        <f>MAX(D220,B221)</f>
        <v>103.9</v>
      </c>
      <c r="E221" s="9">
        <f>(B221-D221)/D221</f>
        <v>-0.1945139557266603</v>
      </c>
      <c r="G221" t="s">
        <v>103</v>
      </c>
      <c r="H221" s="2">
        <f>B1046</f>
        <v>70.63</v>
      </c>
      <c r="I221" s="9">
        <f>(H221-H220)/H220</f>
        <v>1.2616487455197067E-2</v>
      </c>
      <c r="J221" s="2">
        <f>MAX(J220,H221)</f>
        <v>103.9</v>
      </c>
      <c r="K221" s="9">
        <f>(H221-J221)/J221</f>
        <v>-0.32021174205967284</v>
      </c>
      <c r="AB221" s="1">
        <f>A221</f>
        <v>44881</v>
      </c>
      <c r="AC221" s="2">
        <f>B221</f>
        <v>83.69</v>
      </c>
      <c r="AD221" s="2">
        <f>219</f>
        <v>219</v>
      </c>
      <c r="AE221" s="2">
        <f>INTERCEPT($AC$3:$AC$1136,$AD$3:$AD$1136)+SLOPE($AC$3:$AC$1136,$AD$3:$AD$1136)*AD221</f>
        <v>78.206648349766738</v>
      </c>
      <c r="AF221" s="2">
        <f t="shared" si="6"/>
        <v>80.858307950169433</v>
      </c>
      <c r="AG221" s="2">
        <f t="shared" si="7"/>
        <v>75.554988749364043</v>
      </c>
      <c r="AH221" s="22">
        <f>AC221-AE221</f>
        <v>5.48335165023326</v>
      </c>
    </row>
    <row r="222" spans="1:34" x14ac:dyDescent="0.25">
      <c r="A222" s="1">
        <f>DATEVALUE(Sheet1!A221)</f>
        <v>44882</v>
      </c>
      <c r="B222" s="2">
        <f>VALUE(Sheet1!B221)</f>
        <v>84.06</v>
      </c>
      <c r="C222" s="9">
        <f>(B222-B221)/B221</f>
        <v>4.4210777870713888E-3</v>
      </c>
      <c r="D222" s="2">
        <f>MAX(D221,B222)</f>
        <v>103.9</v>
      </c>
      <c r="E222" s="9">
        <f>(B222-D222)/D222</f>
        <v>-0.19095283926852746</v>
      </c>
      <c r="G222" t="s">
        <v>104</v>
      </c>
      <c r="H222" s="2">
        <f>B1051</f>
        <v>72.099999999999994</v>
      </c>
      <c r="I222" s="9">
        <f>(H222-H221)/H221</f>
        <v>2.0812685827552017E-2</v>
      </c>
      <c r="J222" s="2">
        <f>MAX(J221,H222)</f>
        <v>103.9</v>
      </c>
      <c r="K222" s="9">
        <f>(H222-J222)/J222</f>
        <v>-0.30606352261790193</v>
      </c>
      <c r="AB222" s="1">
        <f>A222</f>
        <v>44882</v>
      </c>
      <c r="AC222" s="2">
        <f>B222</f>
        <v>84.06</v>
      </c>
      <c r="AD222" s="2">
        <f>220</f>
        <v>220</v>
      </c>
      <c r="AE222" s="2">
        <f>INTERCEPT($AC$3:$AC$1136,$AD$3:$AD$1136)+SLOPE($AC$3:$AC$1136,$AD$3:$AD$1136)*AD222</f>
        <v>78.187936386354281</v>
      </c>
      <c r="AF222" s="2">
        <f t="shared" si="6"/>
        <v>80.839595986756976</v>
      </c>
      <c r="AG222" s="2">
        <f t="shared" si="7"/>
        <v>75.536276785951586</v>
      </c>
      <c r="AH222" s="22">
        <f>AC222-AE222</f>
        <v>5.8720636136457216</v>
      </c>
    </row>
    <row r="223" spans="1:34" x14ac:dyDescent="0.25">
      <c r="A223" s="1">
        <f>DATEVALUE(Sheet1!A222)</f>
        <v>44883</v>
      </c>
      <c r="B223" s="2">
        <f>VALUE(Sheet1!B222)</f>
        <v>84.77</v>
      </c>
      <c r="C223" s="9">
        <f>(B223-B222)/B222</f>
        <v>8.4463478467760381E-3</v>
      </c>
      <c r="D223" s="2">
        <f>MAX(D222,B223)</f>
        <v>103.9</v>
      </c>
      <c r="E223" s="9">
        <f>(B223-D223)/D223</f>
        <v>-0.1841193455245429</v>
      </c>
      <c r="G223" t="s">
        <v>105</v>
      </c>
      <c r="H223" s="2">
        <f>B1056</f>
        <v>71.25</v>
      </c>
      <c r="I223" s="9">
        <f>(H223-H222)/H222</f>
        <v>-1.1789181692094235E-2</v>
      </c>
      <c r="J223" s="2">
        <f>MAX(J222,H223)</f>
        <v>103.9</v>
      </c>
      <c r="K223" s="9">
        <f>(H223-J223)/J223</f>
        <v>-0.31424446583253129</v>
      </c>
      <c r="AB223" s="1">
        <f>A223</f>
        <v>44883</v>
      </c>
      <c r="AC223" s="2">
        <f>B223</f>
        <v>84.77</v>
      </c>
      <c r="AD223" s="2">
        <f>221</f>
        <v>221</v>
      </c>
      <c r="AE223" s="2">
        <f>INTERCEPT($AC$3:$AC$1136,$AD$3:$AD$1136)+SLOPE($AC$3:$AC$1136,$AD$3:$AD$1136)*AD223</f>
        <v>78.169224422941838</v>
      </c>
      <c r="AF223" s="2">
        <f t="shared" si="6"/>
        <v>80.820884023344533</v>
      </c>
      <c r="AG223" s="2">
        <f t="shared" si="7"/>
        <v>75.517564822539143</v>
      </c>
      <c r="AH223" s="22">
        <f>AC223-AE223</f>
        <v>6.6007755770581582</v>
      </c>
    </row>
    <row r="224" spans="1:34" x14ac:dyDescent="0.25">
      <c r="A224" s="1">
        <f>DATEVALUE(Sheet1!A223)</f>
        <v>44886</v>
      </c>
      <c r="B224" s="2">
        <f>VALUE(Sheet1!B223)</f>
        <v>85.08</v>
      </c>
      <c r="C224" s="9">
        <f>(B224-B223)/B223</f>
        <v>3.6569541111242457E-3</v>
      </c>
      <c r="D224" s="2">
        <f>MAX(D223,B224)</f>
        <v>103.9</v>
      </c>
      <c r="E224" s="9">
        <f>(B224-D224)/D224</f>
        <v>-0.18113570741097215</v>
      </c>
      <c r="G224" t="s">
        <v>106</v>
      </c>
      <c r="H224" s="2">
        <f>B1061</f>
        <v>70.290000000000006</v>
      </c>
      <c r="I224" s="9">
        <f>(H224-H223)/H223</f>
        <v>-1.3473684210526228E-2</v>
      </c>
      <c r="J224" s="2">
        <f>MAX(J223,H224)</f>
        <v>103.9</v>
      </c>
      <c r="K224" s="9">
        <f>(H224-J224)/J224</f>
        <v>-0.32348411934552451</v>
      </c>
      <c r="AB224" s="1">
        <f>A224</f>
        <v>44886</v>
      </c>
      <c r="AC224" s="2">
        <f>B224</f>
        <v>85.08</v>
      </c>
      <c r="AD224" s="2">
        <f>222</f>
        <v>222</v>
      </c>
      <c r="AE224" s="2">
        <f>INTERCEPT($AC$3:$AC$1136,$AD$3:$AD$1136)+SLOPE($AC$3:$AC$1136,$AD$3:$AD$1136)*AD224</f>
        <v>78.150512459529395</v>
      </c>
      <c r="AF224" s="2">
        <f t="shared" si="6"/>
        <v>80.80217205993209</v>
      </c>
      <c r="AG224" s="2">
        <f t="shared" si="7"/>
        <v>75.4988528591267</v>
      </c>
      <c r="AH224" s="22">
        <f>AC224-AE224</f>
        <v>6.9294875404706033</v>
      </c>
    </row>
    <row r="225" spans="1:34" x14ac:dyDescent="0.25">
      <c r="A225" s="1">
        <f>DATEVALUE(Sheet1!A224)</f>
        <v>44887</v>
      </c>
      <c r="B225" s="2">
        <f>VALUE(Sheet1!B224)</f>
        <v>85.19</v>
      </c>
      <c r="C225" s="9">
        <f>(B225-B224)/B224</f>
        <v>1.2929007992477602E-3</v>
      </c>
      <c r="D225" s="2">
        <f>MAX(D224,B225)</f>
        <v>103.9</v>
      </c>
      <c r="E225" s="9">
        <f>(B225-D225)/D225</f>
        <v>-0.18007699711260836</v>
      </c>
      <c r="G225" t="s">
        <v>107</v>
      </c>
      <c r="H225" s="2">
        <f>B1065</f>
        <v>69.88</v>
      </c>
      <c r="I225" s="9">
        <f>(H225-H224)/H224</f>
        <v>-5.8329776639637326E-3</v>
      </c>
      <c r="J225" s="2">
        <f>MAX(J224,H225)</f>
        <v>103.9</v>
      </c>
      <c r="K225" s="9">
        <f>(H225-J225)/J225</f>
        <v>-0.3274302213666988</v>
      </c>
      <c r="AB225" s="1">
        <f>A225</f>
        <v>44887</v>
      </c>
      <c r="AC225" s="2">
        <f>B225</f>
        <v>85.19</v>
      </c>
      <c r="AD225" s="2">
        <f>223</f>
        <v>223</v>
      </c>
      <c r="AE225" s="2">
        <f>INTERCEPT($AC$3:$AC$1136,$AD$3:$AD$1136)+SLOPE($AC$3:$AC$1136,$AD$3:$AD$1136)*AD225</f>
        <v>78.131800496116938</v>
      </c>
      <c r="AF225" s="2">
        <f t="shared" si="6"/>
        <v>80.783460096519633</v>
      </c>
      <c r="AG225" s="2">
        <f t="shared" si="7"/>
        <v>75.480140895714243</v>
      </c>
      <c r="AH225" s="22">
        <f>AC225-AE225</f>
        <v>7.0581995038830598</v>
      </c>
    </row>
    <row r="226" spans="1:34" x14ac:dyDescent="0.25">
      <c r="A226" s="1">
        <f>DATEVALUE(Sheet1!A225)</f>
        <v>44888</v>
      </c>
      <c r="B226" s="2">
        <f>VALUE(Sheet1!B225)</f>
        <v>85.51</v>
      </c>
      <c r="C226" s="9">
        <f>(B226-B225)/B225</f>
        <v>3.7563094259890528E-3</v>
      </c>
      <c r="D226" s="2">
        <f>MAX(D225,B226)</f>
        <v>103.9</v>
      </c>
      <c r="E226" s="9">
        <f>(B226-D226)/D226</f>
        <v>-0.17699711260827719</v>
      </c>
      <c r="G226" t="s">
        <v>108</v>
      </c>
      <c r="H226" s="2">
        <f>B1070</f>
        <v>68.78</v>
      </c>
      <c r="I226" s="9">
        <f>(H226-H225)/H225</f>
        <v>-1.5741270749856817E-2</v>
      </c>
      <c r="J226" s="2">
        <f>MAX(J225,H226)</f>
        <v>103.9</v>
      </c>
      <c r="K226" s="9">
        <f>(H226-J226)/J226</f>
        <v>-0.33801732435033688</v>
      </c>
      <c r="AB226" s="1">
        <f>A226</f>
        <v>44888</v>
      </c>
      <c r="AC226" s="2">
        <f>B226</f>
        <v>85.51</v>
      </c>
      <c r="AD226" s="2">
        <f>224</f>
        <v>224</v>
      </c>
      <c r="AE226" s="2">
        <f>INTERCEPT($AC$3:$AC$1136,$AD$3:$AD$1136)+SLOPE($AC$3:$AC$1136,$AD$3:$AD$1136)*AD226</f>
        <v>78.113088532704495</v>
      </c>
      <c r="AF226" s="2">
        <f t="shared" si="6"/>
        <v>80.76474813310719</v>
      </c>
      <c r="AG226" s="2">
        <f t="shared" si="7"/>
        <v>75.4614289323018</v>
      </c>
      <c r="AH226" s="22">
        <f>AC226-AE226</f>
        <v>7.3969114672955101</v>
      </c>
    </row>
    <row r="227" spans="1:34" x14ac:dyDescent="0.25">
      <c r="A227" s="1">
        <f>DATEVALUE(Sheet1!A226)</f>
        <v>44889</v>
      </c>
      <c r="B227" s="2">
        <f>VALUE(Sheet1!B226)</f>
        <v>85.87</v>
      </c>
      <c r="C227" s="9">
        <f>(B227-B226)/B226</f>
        <v>4.2100339141620795E-3</v>
      </c>
      <c r="D227" s="2">
        <f>MAX(D226,B227)</f>
        <v>103.9</v>
      </c>
      <c r="E227" s="9">
        <f>(B227-D227)/D227</f>
        <v>-0.17353224254090471</v>
      </c>
      <c r="G227" t="s">
        <v>109</v>
      </c>
      <c r="H227" s="2">
        <f>B1075</f>
        <v>66.45</v>
      </c>
      <c r="I227" s="9">
        <f>(H227-H226)/H226</f>
        <v>-3.3876126781040974E-2</v>
      </c>
      <c r="J227" s="2">
        <f>MAX(J226,H227)</f>
        <v>103.9</v>
      </c>
      <c r="K227" s="9">
        <f>(H227-J227)/J227</f>
        <v>-0.36044273339749761</v>
      </c>
      <c r="AB227" s="1">
        <f>A227</f>
        <v>44889</v>
      </c>
      <c r="AC227" s="2">
        <f>B227</f>
        <v>85.87</v>
      </c>
      <c r="AD227" s="2">
        <f>225</f>
        <v>225</v>
      </c>
      <c r="AE227" s="2">
        <f>INTERCEPT($AC$3:$AC$1136,$AD$3:$AD$1136)+SLOPE($AC$3:$AC$1136,$AD$3:$AD$1136)*AD227</f>
        <v>78.094376569292052</v>
      </c>
      <c r="AF227" s="2">
        <f t="shared" si="6"/>
        <v>80.746036169694747</v>
      </c>
      <c r="AG227" s="2">
        <f t="shared" si="7"/>
        <v>75.442716968889357</v>
      </c>
      <c r="AH227" s="22">
        <f>AC227-AE227</f>
        <v>7.7756234307079524</v>
      </c>
    </row>
    <row r="228" spans="1:34" x14ac:dyDescent="0.25">
      <c r="A228" s="1">
        <f>DATEVALUE(Sheet1!A227)</f>
        <v>44890</v>
      </c>
      <c r="B228" s="2">
        <f>VALUE(Sheet1!B227)</f>
        <v>85.48</v>
      </c>
      <c r="C228" s="9">
        <f>(B228-B227)/B227</f>
        <v>-4.5417491557004841E-3</v>
      </c>
      <c r="D228" s="2">
        <f>MAX(D227,B228)</f>
        <v>103.9</v>
      </c>
      <c r="E228" s="9">
        <f>(B228-D228)/D228</f>
        <v>-0.17728585178055822</v>
      </c>
      <c r="G228" t="s">
        <v>110</v>
      </c>
      <c r="H228" s="2">
        <f>B1079</f>
        <v>66.67</v>
      </c>
      <c r="I228" s="9">
        <f>(H228-H227)/H227</f>
        <v>3.310759969902165E-3</v>
      </c>
      <c r="J228" s="2">
        <f>MAX(J227,H228)</f>
        <v>103.9</v>
      </c>
      <c r="K228" s="9">
        <f>(H228-J228)/J228</f>
        <v>-0.35832531280077001</v>
      </c>
      <c r="AB228" s="1">
        <f>A228</f>
        <v>44890</v>
      </c>
      <c r="AC228" s="2">
        <f>B228</f>
        <v>85.48</v>
      </c>
      <c r="AD228" s="2">
        <f>226</f>
        <v>226</v>
      </c>
      <c r="AE228" s="2">
        <f>INTERCEPT($AC$3:$AC$1136,$AD$3:$AD$1136)+SLOPE($AC$3:$AC$1136,$AD$3:$AD$1136)*AD228</f>
        <v>78.075664605879609</v>
      </c>
      <c r="AF228" s="2">
        <f t="shared" si="6"/>
        <v>80.727324206282304</v>
      </c>
      <c r="AG228" s="2">
        <f t="shared" si="7"/>
        <v>75.424005005476914</v>
      </c>
      <c r="AH228" s="22">
        <f>AC228-AE228</f>
        <v>7.4043353941203947</v>
      </c>
    </row>
    <row r="229" spans="1:34" x14ac:dyDescent="0.25">
      <c r="A229" s="1">
        <f>DATEVALUE(Sheet1!A228)</f>
        <v>44893</v>
      </c>
      <c r="B229" s="2">
        <f>VALUE(Sheet1!B228)</f>
        <v>85.96</v>
      </c>
      <c r="C229" s="9">
        <f>(B229-B228)/B228</f>
        <v>5.615348619560011E-3</v>
      </c>
      <c r="D229" s="2">
        <f>MAX(D228,B229)</f>
        <v>103.9</v>
      </c>
      <c r="E229" s="9">
        <f>(B229-D229)/D229</f>
        <v>-0.1726660250240617</v>
      </c>
      <c r="G229" t="s">
        <v>111</v>
      </c>
      <c r="H229" s="2">
        <f>B1083</f>
        <v>67.05</v>
      </c>
      <c r="I229" s="9">
        <f>(H229-H228)/H228</f>
        <v>5.6997150142492192E-3</v>
      </c>
      <c r="J229" s="2">
        <f>MAX(J228,H229)</f>
        <v>103.9</v>
      </c>
      <c r="K229" s="9">
        <f>(H229-J229)/J229</f>
        <v>-0.35466794995187689</v>
      </c>
      <c r="AB229" s="1">
        <f>A229</f>
        <v>44893</v>
      </c>
      <c r="AC229" s="2">
        <f>B229</f>
        <v>85.96</v>
      </c>
      <c r="AD229" s="2">
        <f>227</f>
        <v>227</v>
      </c>
      <c r="AE229" s="2">
        <f>INTERCEPT($AC$3:$AC$1136,$AD$3:$AD$1136)+SLOPE($AC$3:$AC$1136,$AD$3:$AD$1136)*AD229</f>
        <v>78.056952642467152</v>
      </c>
      <c r="AF229" s="2">
        <f t="shared" si="6"/>
        <v>80.708612242869847</v>
      </c>
      <c r="AG229" s="2">
        <f t="shared" si="7"/>
        <v>75.405293042064457</v>
      </c>
      <c r="AH229" s="22">
        <f>AC229-AE229</f>
        <v>7.9030473575328415</v>
      </c>
    </row>
    <row r="230" spans="1:34" x14ac:dyDescent="0.25">
      <c r="A230" s="1">
        <f>DATEVALUE(Sheet1!A229)</f>
        <v>44894</v>
      </c>
      <c r="B230" s="2">
        <f>VALUE(Sheet1!B229)</f>
        <v>85.76</v>
      </c>
      <c r="C230" s="9">
        <f>(B230-B229)/B229</f>
        <v>-2.3266635644484486E-3</v>
      </c>
      <c r="D230" s="2">
        <f>MAX(D229,B230)</f>
        <v>103.9</v>
      </c>
      <c r="E230" s="9">
        <f>(B230-D230)/D230</f>
        <v>-0.17459095283926851</v>
      </c>
      <c r="G230" t="s">
        <v>112</v>
      </c>
      <c r="H230" s="2">
        <f>B1088</f>
        <v>65.92</v>
      </c>
      <c r="I230" s="9">
        <f>(H230-H229)/H229</f>
        <v>-1.6853094705443633E-2</v>
      </c>
      <c r="J230" s="2">
        <f>MAX(J229,H230)</f>
        <v>103.9</v>
      </c>
      <c r="K230" s="9">
        <f>(H230-J230)/J230</f>
        <v>-0.36554379210779597</v>
      </c>
      <c r="AB230" s="1">
        <f>A230</f>
        <v>44894</v>
      </c>
      <c r="AC230" s="2">
        <f>B230</f>
        <v>85.76</v>
      </c>
      <c r="AD230" s="2">
        <f>228</f>
        <v>228</v>
      </c>
      <c r="AE230" s="2">
        <f>INTERCEPT($AC$3:$AC$1136,$AD$3:$AD$1136)+SLOPE($AC$3:$AC$1136,$AD$3:$AD$1136)*AD230</f>
        <v>78.038240679054709</v>
      </c>
      <c r="AF230" s="2">
        <f t="shared" si="6"/>
        <v>80.689900279457405</v>
      </c>
      <c r="AG230" s="2">
        <f t="shared" si="7"/>
        <v>75.386581078652014</v>
      </c>
      <c r="AH230" s="22">
        <f>AC230-AE230</f>
        <v>7.7217593209452957</v>
      </c>
    </row>
    <row r="231" spans="1:34" x14ac:dyDescent="0.25">
      <c r="A231" s="1">
        <f>DATEVALUE(Sheet1!A230)</f>
        <v>44895</v>
      </c>
      <c r="B231" s="2">
        <f>VALUE(Sheet1!B230)</f>
        <v>86.2</v>
      </c>
      <c r="C231" s="9">
        <f>(B231-B230)/B230</f>
        <v>5.1305970149253463E-3</v>
      </c>
      <c r="D231" s="2">
        <f>MAX(D230,B231)</f>
        <v>103.9</v>
      </c>
      <c r="E231" s="9">
        <f>(B231-D231)/D231</f>
        <v>-0.1703561116458133</v>
      </c>
      <c r="G231" t="s">
        <v>113</v>
      </c>
      <c r="H231" s="2">
        <f>B1093</f>
        <v>65.319999999999993</v>
      </c>
      <c r="I231" s="9">
        <f>(H231-H230)/H230</f>
        <v>-9.1019417475729451E-3</v>
      </c>
      <c r="J231" s="2">
        <f>MAX(J230,H231)</f>
        <v>103.9</v>
      </c>
      <c r="K231" s="9">
        <f>(H231-J231)/J231</f>
        <v>-0.37131857555341685</v>
      </c>
      <c r="AB231" s="1">
        <f>A231</f>
        <v>44895</v>
      </c>
      <c r="AC231" s="2">
        <f>B231</f>
        <v>86.2</v>
      </c>
      <c r="AD231" s="2">
        <f>229</f>
        <v>229</v>
      </c>
      <c r="AE231" s="2">
        <f>INTERCEPT($AC$3:$AC$1136,$AD$3:$AD$1136)+SLOPE($AC$3:$AC$1136,$AD$3:$AD$1136)*AD231</f>
        <v>78.019528715642267</v>
      </c>
      <c r="AF231" s="2">
        <f t="shared" si="6"/>
        <v>80.671188316044962</v>
      </c>
      <c r="AG231" s="2">
        <f t="shared" si="7"/>
        <v>75.367869115239571</v>
      </c>
      <c r="AH231" s="22">
        <f>AC231-AE231</f>
        <v>8.1804712843577363</v>
      </c>
    </row>
    <row r="232" spans="1:34" x14ac:dyDescent="0.25">
      <c r="A232" s="1">
        <f>DATEVALUE(Sheet1!A231)</f>
        <v>44896</v>
      </c>
      <c r="B232" s="2">
        <f>VALUE(Sheet1!B231)</f>
        <v>86</v>
      </c>
      <c r="C232" s="9">
        <f>(B232-B231)/B231</f>
        <v>-2.3201856148492208E-3</v>
      </c>
      <c r="D232" s="2">
        <f>MAX(D231,B232)</f>
        <v>103.9</v>
      </c>
      <c r="E232" s="9">
        <f>(B232-D232)/D232</f>
        <v>-0.17228103946102025</v>
      </c>
      <c r="G232" t="s">
        <v>114</v>
      </c>
      <c r="H232" s="2">
        <f>B1098</f>
        <v>65.39</v>
      </c>
      <c r="I232" s="9">
        <f>(H232-H231)/H231</f>
        <v>1.0716472749541855E-3</v>
      </c>
      <c r="J232" s="2">
        <f>MAX(J231,H232)</f>
        <v>103.9</v>
      </c>
      <c r="K232" s="9">
        <f>(H232-J232)/J232</f>
        <v>-0.37064485081809434</v>
      </c>
      <c r="AB232" s="1">
        <f>A232</f>
        <v>44896</v>
      </c>
      <c r="AC232" s="2">
        <f>B232</f>
        <v>86</v>
      </c>
      <c r="AD232" s="2">
        <f>230</f>
        <v>230</v>
      </c>
      <c r="AE232" s="2">
        <f>INTERCEPT($AC$3:$AC$1136,$AD$3:$AD$1136)+SLOPE($AC$3:$AC$1136,$AD$3:$AD$1136)*AD232</f>
        <v>78.000816752229824</v>
      </c>
      <c r="AF232" s="2">
        <f t="shared" si="6"/>
        <v>80.652476352632519</v>
      </c>
      <c r="AG232" s="2">
        <f t="shared" si="7"/>
        <v>75.349157151827129</v>
      </c>
      <c r="AH232" s="22">
        <f>AC232-AE232</f>
        <v>7.9991832477701763</v>
      </c>
    </row>
    <row r="233" spans="1:34" x14ac:dyDescent="0.25">
      <c r="A233" s="1">
        <f>DATEVALUE(Sheet1!A232)</f>
        <v>44897</v>
      </c>
      <c r="B233" s="2">
        <f>VALUE(Sheet1!B232)</f>
        <v>86.03</v>
      </c>
      <c r="C233" s="9">
        <f>(B233-B232)/B232</f>
        <v>3.4883720930233881E-4</v>
      </c>
      <c r="D233" s="2">
        <f>MAX(D232,B233)</f>
        <v>103.9</v>
      </c>
      <c r="E233" s="9">
        <f>(B233-D233)/D233</f>
        <v>-0.17199230028873921</v>
      </c>
      <c r="G233" t="s">
        <v>115</v>
      </c>
      <c r="H233" s="2">
        <f>B1103</f>
        <v>64.760000000000005</v>
      </c>
      <c r="I233" s="9">
        <f>(H233-H232)/H232</f>
        <v>-9.6345006881785513E-3</v>
      </c>
      <c r="J233" s="2">
        <f>MAX(J232,H233)</f>
        <v>103.9</v>
      </c>
      <c r="K233" s="9">
        <f>(H233-J233)/J233</f>
        <v>-0.37670837343599611</v>
      </c>
      <c r="AB233" s="1">
        <f>A233</f>
        <v>44897</v>
      </c>
      <c r="AC233" s="2">
        <f>B233</f>
        <v>86.03</v>
      </c>
      <c r="AD233" s="2">
        <f>231</f>
        <v>231</v>
      </c>
      <c r="AE233" s="2">
        <f>INTERCEPT($AC$3:$AC$1136,$AD$3:$AD$1136)+SLOPE($AC$3:$AC$1136,$AD$3:$AD$1136)*AD233</f>
        <v>77.982104788817367</v>
      </c>
      <c r="AF233" s="2">
        <f t="shared" si="6"/>
        <v>80.633764389220062</v>
      </c>
      <c r="AG233" s="2">
        <f t="shared" si="7"/>
        <v>75.330445188414672</v>
      </c>
      <c r="AH233" s="22">
        <f>AC233-AE233</f>
        <v>8.0478952111826345</v>
      </c>
    </row>
    <row r="234" spans="1:34" x14ac:dyDescent="0.25">
      <c r="A234" s="1">
        <f>DATEVALUE(Sheet1!A233)</f>
        <v>44900</v>
      </c>
      <c r="B234" s="2">
        <f>VALUE(Sheet1!B233)</f>
        <v>85.54</v>
      </c>
      <c r="C234" s="9">
        <f>(B234-B233)/B233</f>
        <v>-5.6956875508542932E-3</v>
      </c>
      <c r="D234" s="2">
        <f>MAX(D233,B234)</f>
        <v>103.9</v>
      </c>
      <c r="E234" s="9">
        <f>(B234-D234)/D234</f>
        <v>-0.17670837343599613</v>
      </c>
      <c r="G234" t="s">
        <v>116</v>
      </c>
      <c r="H234" s="2">
        <f>B1107</f>
        <v>64.540000000000006</v>
      </c>
      <c r="I234" s="9">
        <f>(H234-H233)/H233</f>
        <v>-3.397158739962922E-3</v>
      </c>
      <c r="J234" s="2">
        <f>MAX(J233,H234)</f>
        <v>103.9</v>
      </c>
      <c r="K234" s="9">
        <f>(H234-J234)/J234</f>
        <v>-0.37882579403272376</v>
      </c>
      <c r="AB234" s="1">
        <f>A234</f>
        <v>44900</v>
      </c>
      <c r="AC234" s="2">
        <f>B234</f>
        <v>85.54</v>
      </c>
      <c r="AD234" s="2">
        <f>232</f>
        <v>232</v>
      </c>
      <c r="AE234" s="2">
        <f>INTERCEPT($AC$3:$AC$1136,$AD$3:$AD$1136)+SLOPE($AC$3:$AC$1136,$AD$3:$AD$1136)*AD234</f>
        <v>77.963392825404924</v>
      </c>
      <c r="AF234" s="2">
        <f t="shared" si="6"/>
        <v>80.615052425807619</v>
      </c>
      <c r="AG234" s="2">
        <f t="shared" si="7"/>
        <v>75.311733225002229</v>
      </c>
      <c r="AH234" s="22">
        <f>AC234-AE234</f>
        <v>7.5766071745950825</v>
      </c>
    </row>
    <row r="235" spans="1:34" x14ac:dyDescent="0.25">
      <c r="A235" s="1">
        <f>DATEVALUE(Sheet1!A234)</f>
        <v>44901</v>
      </c>
      <c r="B235" s="2">
        <f>VALUE(Sheet1!B234)</f>
        <v>86.1</v>
      </c>
      <c r="C235" s="9">
        <f>(B235-B234)/B234</f>
        <v>6.5466448445170447E-3</v>
      </c>
      <c r="D235" s="2">
        <f>MAX(D234,B235)</f>
        <v>103.9</v>
      </c>
      <c r="E235" s="9">
        <f>(B235-D235)/D235</f>
        <v>-0.17131857555341684</v>
      </c>
      <c r="G235" t="s">
        <v>117</v>
      </c>
      <c r="H235" s="2">
        <f>B1112</f>
        <v>62.97</v>
      </c>
      <c r="I235" s="9">
        <f>(H235-H234)/H234</f>
        <v>-2.4325999380229429E-2</v>
      </c>
      <c r="J235" s="2">
        <f>MAX(J234,H235)</f>
        <v>103.9</v>
      </c>
      <c r="K235" s="9">
        <f>(H235-J235)/J235</f>
        <v>-0.39393647738209819</v>
      </c>
      <c r="AB235" s="1">
        <f>A235</f>
        <v>44901</v>
      </c>
      <c r="AC235" s="2">
        <f>B235</f>
        <v>86.1</v>
      </c>
      <c r="AD235" s="2">
        <f>233</f>
        <v>233</v>
      </c>
      <c r="AE235" s="2">
        <f>INTERCEPT($AC$3:$AC$1136,$AD$3:$AD$1136)+SLOPE($AC$3:$AC$1136,$AD$3:$AD$1136)*AD235</f>
        <v>77.944680861992481</v>
      </c>
      <c r="AF235" s="2">
        <f t="shared" si="6"/>
        <v>80.596340462395176</v>
      </c>
      <c r="AG235" s="2">
        <f t="shared" si="7"/>
        <v>75.293021261589786</v>
      </c>
      <c r="AH235" s="22">
        <f>AC235-AE235</f>
        <v>8.1553191380075134</v>
      </c>
    </row>
    <row r="236" spans="1:34" x14ac:dyDescent="0.25">
      <c r="A236" s="1">
        <f>DATEVALUE(Sheet1!A235)</f>
        <v>44902</v>
      </c>
      <c r="B236" s="2">
        <f>VALUE(Sheet1!B235)</f>
        <v>86.19</v>
      </c>
      <c r="C236" s="9">
        <f>(B236-B235)/B235</f>
        <v>1.0452961672474264E-3</v>
      </c>
      <c r="D236" s="2">
        <f>MAX(D235,B236)</f>
        <v>103.9</v>
      </c>
      <c r="E236" s="9">
        <f>(B236-D236)/D236</f>
        <v>-0.17045235803657369</v>
      </c>
      <c r="G236" t="s">
        <v>118</v>
      </c>
      <c r="H236" s="2">
        <f>B1117</f>
        <v>63.04</v>
      </c>
      <c r="I236" s="9">
        <f>(H236-H235)/H235</f>
        <v>1.1116404637128837E-3</v>
      </c>
      <c r="J236" s="2">
        <f>MAX(J235,H236)</f>
        <v>103.9</v>
      </c>
      <c r="K236" s="9">
        <f>(H236-J236)/J236</f>
        <v>-0.39326275264677579</v>
      </c>
      <c r="AB236" s="1">
        <f>A236</f>
        <v>44902</v>
      </c>
      <c r="AC236" s="2">
        <f>B236</f>
        <v>86.19</v>
      </c>
      <c r="AD236" s="2">
        <f>234</f>
        <v>234</v>
      </c>
      <c r="AE236" s="2">
        <f>INTERCEPT($AC$3:$AC$1136,$AD$3:$AD$1136)+SLOPE($AC$3:$AC$1136,$AD$3:$AD$1136)*AD236</f>
        <v>77.925968898580038</v>
      </c>
      <c r="AF236" s="2">
        <f t="shared" si="6"/>
        <v>80.577628498982733</v>
      </c>
      <c r="AG236" s="2">
        <f t="shared" si="7"/>
        <v>75.274309298177343</v>
      </c>
      <c r="AH236" s="22">
        <f>AC236-AE236</f>
        <v>8.2640311014199597</v>
      </c>
    </row>
    <row r="237" spans="1:34" x14ac:dyDescent="0.25">
      <c r="A237" s="1">
        <f>DATEVALUE(Sheet1!A236)</f>
        <v>44903</v>
      </c>
      <c r="B237" s="2">
        <f>VALUE(Sheet1!B236)</f>
        <v>85.9</v>
      </c>
      <c r="C237" s="9">
        <f>(B237-B236)/B236</f>
        <v>-3.3646594732566659E-3</v>
      </c>
      <c r="D237" s="2">
        <f>MAX(D236,B237)</f>
        <v>103.9</v>
      </c>
      <c r="E237" s="9">
        <f>(B237-D237)/D237</f>
        <v>-0.17324350336862368</v>
      </c>
      <c r="G237" t="s">
        <v>119</v>
      </c>
      <c r="H237" s="2">
        <f>B1122</f>
        <v>63.4</v>
      </c>
      <c r="I237" s="9">
        <f>(H237-H236)/H236</f>
        <v>5.7106598984771485E-3</v>
      </c>
      <c r="J237" s="2">
        <f>MAX(J236,H237)</f>
        <v>103.9</v>
      </c>
      <c r="K237" s="9">
        <f>(H237-J237)/J237</f>
        <v>-0.38979788257940334</v>
      </c>
      <c r="AB237" s="1">
        <f>A237</f>
        <v>44903</v>
      </c>
      <c r="AC237" s="2">
        <f>B237</f>
        <v>85.9</v>
      </c>
      <c r="AD237" s="2">
        <f>235</f>
        <v>235</v>
      </c>
      <c r="AE237" s="2">
        <f>INTERCEPT($AC$3:$AC$1136,$AD$3:$AD$1136)+SLOPE($AC$3:$AC$1136,$AD$3:$AD$1136)*AD237</f>
        <v>77.907256935167581</v>
      </c>
      <c r="AF237" s="2">
        <f t="shared" si="6"/>
        <v>80.558916535570276</v>
      </c>
      <c r="AG237" s="2">
        <f t="shared" si="7"/>
        <v>75.255597334764886</v>
      </c>
      <c r="AH237" s="22">
        <f>AC237-AE237</f>
        <v>7.9927430648324247</v>
      </c>
    </row>
    <row r="238" spans="1:34" x14ac:dyDescent="0.25">
      <c r="A238" s="1">
        <f>DATEVALUE(Sheet1!A237)</f>
        <v>44904</v>
      </c>
      <c r="B238" s="2">
        <f>VALUE(Sheet1!B237)</f>
        <v>86.08</v>
      </c>
      <c r="C238" s="9">
        <f>(B238-B237)/B237</f>
        <v>2.0954598370197045E-3</v>
      </c>
      <c r="D238" s="2">
        <f>MAX(D237,B238)</f>
        <v>103.9</v>
      </c>
      <c r="E238" s="9">
        <f>(B238-D238)/D238</f>
        <v>-0.17151106833493751</v>
      </c>
      <c r="G238" t="s">
        <v>120</v>
      </c>
      <c r="H238" s="2">
        <f>B1127</f>
        <v>64</v>
      </c>
      <c r="I238" s="9">
        <f>(H238-H237)/H237</f>
        <v>9.4637223974763634E-3</v>
      </c>
      <c r="J238" s="2">
        <f>MAX(J237,H238)</f>
        <v>103.9</v>
      </c>
      <c r="K238" s="9">
        <f>(H238-J238)/J238</f>
        <v>-0.38402309913378252</v>
      </c>
      <c r="AB238" s="1">
        <f>A238</f>
        <v>44904</v>
      </c>
      <c r="AC238" s="2">
        <f>B238</f>
        <v>86.08</v>
      </c>
      <c r="AD238" s="2">
        <f>236</f>
        <v>236</v>
      </c>
      <c r="AE238" s="2">
        <f>INTERCEPT($AC$3:$AC$1136,$AD$3:$AD$1136)+SLOPE($AC$3:$AC$1136,$AD$3:$AD$1136)*AD238</f>
        <v>77.888544971755138</v>
      </c>
      <c r="AF238" s="2">
        <f t="shared" si="6"/>
        <v>80.540204572157833</v>
      </c>
      <c r="AG238" s="2">
        <f t="shared" si="7"/>
        <v>75.236885371352443</v>
      </c>
      <c r="AH238" s="22">
        <f>AC238-AE238</f>
        <v>8.1914550282448602</v>
      </c>
    </row>
    <row r="239" spans="1:34" x14ac:dyDescent="0.25">
      <c r="A239" s="1">
        <f>DATEVALUE(Sheet1!A238)</f>
        <v>44907</v>
      </c>
      <c r="B239" s="2">
        <f>VALUE(Sheet1!B238)</f>
        <v>86.15</v>
      </c>
      <c r="C239" s="9">
        <f>(B239-B238)/B238</f>
        <v>8.1319702602239072E-4</v>
      </c>
      <c r="D239" s="2">
        <f>MAX(D238,B239)</f>
        <v>103.9</v>
      </c>
      <c r="E239" s="9">
        <f>(B239-D239)/D239</f>
        <v>-0.170837343599615</v>
      </c>
      <c r="G239" t="s">
        <v>121</v>
      </c>
      <c r="H239" s="2">
        <f>B1132</f>
        <v>64.62</v>
      </c>
      <c r="I239" s="9">
        <f>(H239-H238)/H238</f>
        <v>9.6875000000000711E-3</v>
      </c>
      <c r="J239" s="2">
        <f>MAX(J238,H239)</f>
        <v>103.9</v>
      </c>
      <c r="K239" s="9">
        <f>(H239-J239)/J239</f>
        <v>-0.37805582290664097</v>
      </c>
      <c r="AB239" s="1">
        <f>A239</f>
        <v>44907</v>
      </c>
      <c r="AC239" s="2">
        <f>B239</f>
        <v>86.15</v>
      </c>
      <c r="AD239" s="2">
        <f>237</f>
        <v>237</v>
      </c>
      <c r="AE239" s="2">
        <f>INTERCEPT($AC$3:$AC$1136,$AD$3:$AD$1136)+SLOPE($AC$3:$AC$1136,$AD$3:$AD$1136)*AD239</f>
        <v>77.869833008342695</v>
      </c>
      <c r="AF239" s="2">
        <f t="shared" si="6"/>
        <v>80.52149260874539</v>
      </c>
      <c r="AG239" s="2">
        <f t="shared" si="7"/>
        <v>75.21817340794</v>
      </c>
      <c r="AH239" s="22">
        <f>AC239-AE239</f>
        <v>8.2801669916573104</v>
      </c>
    </row>
    <row r="240" spans="1:34" x14ac:dyDescent="0.25">
      <c r="A240" s="1">
        <f>DATEVALUE(Sheet1!A239)</f>
        <v>44908</v>
      </c>
      <c r="B240" s="2">
        <f>VALUE(Sheet1!B239)</f>
        <v>86</v>
      </c>
      <c r="C240" s="9">
        <f>(B240-B239)/B239</f>
        <v>-1.7411491584446393E-3</v>
      </c>
      <c r="D240" s="2">
        <f>MAX(D239,B240)</f>
        <v>103.9</v>
      </c>
      <c r="E240" s="9">
        <f>(B240-D240)/D240</f>
        <v>-0.17228103946102025</v>
      </c>
      <c r="G240" t="s">
        <v>122</v>
      </c>
      <c r="H240" s="2">
        <f>B1136</f>
        <v>64.94</v>
      </c>
      <c r="I240" s="9">
        <f>(H240-H239)/H239</f>
        <v>4.952027236149693E-3</v>
      </c>
      <c r="J240" s="2">
        <f>MAX(J239,H240)</f>
        <v>103.9</v>
      </c>
      <c r="K240" s="9">
        <f>(H240-J240)/J240</f>
        <v>-0.37497593840230997</v>
      </c>
      <c r="AB240" s="1">
        <f>A240</f>
        <v>44908</v>
      </c>
      <c r="AC240" s="2">
        <f>B240</f>
        <v>86</v>
      </c>
      <c r="AD240" s="2">
        <f>238</f>
        <v>238</v>
      </c>
      <c r="AE240" s="2">
        <f>INTERCEPT($AC$3:$AC$1136,$AD$3:$AD$1136)+SLOPE($AC$3:$AC$1136,$AD$3:$AD$1136)*AD240</f>
        <v>77.851121044930238</v>
      </c>
      <c r="AF240" s="2">
        <f t="shared" si="6"/>
        <v>80.502780645332933</v>
      </c>
      <c r="AG240" s="2">
        <f t="shared" si="7"/>
        <v>75.199461444527543</v>
      </c>
      <c r="AH240" s="22">
        <f>AC240-AE240</f>
        <v>8.1488789550697618</v>
      </c>
    </row>
    <row r="241" spans="1:34" x14ac:dyDescent="0.25">
      <c r="A241" s="1">
        <f>DATEVALUE(Sheet1!A240)</f>
        <v>44909</v>
      </c>
      <c r="B241" s="2">
        <f>VALUE(Sheet1!B240)</f>
        <v>85.79</v>
      </c>
      <c r="C241" s="9">
        <f>(B241-B240)/B240</f>
        <v>-2.4418604651162065E-3</v>
      </c>
      <c r="D241" s="2">
        <f>MAX(D240,B241)</f>
        <v>103.9</v>
      </c>
      <c r="E241" s="9">
        <f>(B241-D241)/D241</f>
        <v>-0.17430221366698748</v>
      </c>
      <c r="AB241" s="1">
        <f>A241</f>
        <v>44909</v>
      </c>
      <c r="AC241" s="2">
        <f>B241</f>
        <v>85.79</v>
      </c>
      <c r="AD241" s="2">
        <f>239</f>
        <v>239</v>
      </c>
      <c r="AE241" s="2">
        <f>INTERCEPT($AC$3:$AC$1136,$AD$3:$AD$1136)+SLOPE($AC$3:$AC$1136,$AD$3:$AD$1136)*AD241</f>
        <v>77.832409081517795</v>
      </c>
      <c r="AF241" s="2">
        <f t="shared" si="6"/>
        <v>80.48406868192049</v>
      </c>
      <c r="AG241" s="2">
        <f t="shared" si="7"/>
        <v>75.1807494811151</v>
      </c>
      <c r="AH241" s="22">
        <f>AC241-AE241</f>
        <v>7.9575909184822109</v>
      </c>
    </row>
    <row r="242" spans="1:34" x14ac:dyDescent="0.25">
      <c r="A242" s="1">
        <f>DATEVALUE(Sheet1!A241)</f>
        <v>44910</v>
      </c>
      <c r="B242" s="2">
        <f>VALUE(Sheet1!B241)</f>
        <v>85.91</v>
      </c>
      <c r="C242" s="9">
        <f>(B242-B241)/B241</f>
        <v>1.3987644247580176E-3</v>
      </c>
      <c r="D242" s="2">
        <f>MAX(D241,B242)</f>
        <v>103.9</v>
      </c>
      <c r="E242" s="9">
        <f>(B242-D242)/D242</f>
        <v>-0.1731472569778634</v>
      </c>
      <c r="AB242" s="1">
        <f>A242</f>
        <v>44910</v>
      </c>
      <c r="AC242" s="2">
        <f>B242</f>
        <v>85.91</v>
      </c>
      <c r="AD242" s="2">
        <f>240</f>
        <v>240</v>
      </c>
      <c r="AE242" s="2">
        <f>INTERCEPT($AC$3:$AC$1136,$AD$3:$AD$1136)+SLOPE($AC$3:$AC$1136,$AD$3:$AD$1136)*AD242</f>
        <v>77.813697118105353</v>
      </c>
      <c r="AF242" s="2">
        <f t="shared" si="6"/>
        <v>80.465356718508048</v>
      </c>
      <c r="AG242" s="2">
        <f t="shared" si="7"/>
        <v>75.162037517702657</v>
      </c>
      <c r="AH242" s="22">
        <f>AC242-AE242</f>
        <v>8.0963028818946441</v>
      </c>
    </row>
    <row r="243" spans="1:34" x14ac:dyDescent="0.25">
      <c r="A243" s="1">
        <f>DATEVALUE(Sheet1!A242)</f>
        <v>44911</v>
      </c>
      <c r="B243" s="2">
        <f>VALUE(Sheet1!B242)</f>
        <v>86.44</v>
      </c>
      <c r="C243" s="9">
        <f>(B243-B242)/B242</f>
        <v>6.1692468862763489E-3</v>
      </c>
      <c r="D243" s="2">
        <f>MAX(D242,B243)</f>
        <v>103.9</v>
      </c>
      <c r="E243" s="9">
        <f>(B243-D243)/D243</f>
        <v>-0.16804619826756503</v>
      </c>
      <c r="AB243" s="1">
        <f>A243</f>
        <v>44911</v>
      </c>
      <c r="AC243" s="2">
        <f>B243</f>
        <v>86.44</v>
      </c>
      <c r="AD243" s="2">
        <f>241</f>
        <v>241</v>
      </c>
      <c r="AE243" s="2">
        <f>INTERCEPT($AC$3:$AC$1136,$AD$3:$AD$1136)+SLOPE($AC$3:$AC$1136,$AD$3:$AD$1136)*AD243</f>
        <v>77.79498515469291</v>
      </c>
      <c r="AF243" s="2">
        <f t="shared" si="6"/>
        <v>80.446644755095605</v>
      </c>
      <c r="AG243" s="2">
        <f t="shared" si="7"/>
        <v>75.143325554290215</v>
      </c>
      <c r="AH243" s="22">
        <f>AC243-AE243</f>
        <v>8.6450148453070881</v>
      </c>
    </row>
    <row r="244" spans="1:34" x14ac:dyDescent="0.25">
      <c r="A244" s="1">
        <f>DATEVALUE(Sheet1!A243)</f>
        <v>44914</v>
      </c>
      <c r="B244" s="2">
        <f>VALUE(Sheet1!B243)</f>
        <v>86.05</v>
      </c>
      <c r="C244" s="9">
        <f>(B244-B243)/B243</f>
        <v>-4.5118000925497524E-3</v>
      </c>
      <c r="D244" s="2">
        <f>MAX(D243,B244)</f>
        <v>103.9</v>
      </c>
      <c r="E244" s="9">
        <f>(B244-D244)/D244</f>
        <v>-0.17179980750721854</v>
      </c>
      <c r="AB244" s="1">
        <f>A244</f>
        <v>44914</v>
      </c>
      <c r="AC244" s="2">
        <f>B244</f>
        <v>86.05</v>
      </c>
      <c r="AD244" s="2">
        <f>242</f>
        <v>242</v>
      </c>
      <c r="AE244" s="2">
        <f>INTERCEPT($AC$3:$AC$1136,$AD$3:$AD$1136)+SLOPE($AC$3:$AC$1136,$AD$3:$AD$1136)*AD244</f>
        <v>77.776273191280453</v>
      </c>
      <c r="AF244" s="2">
        <f t="shared" si="6"/>
        <v>80.427932791683148</v>
      </c>
      <c r="AG244" s="2">
        <f t="shared" si="7"/>
        <v>75.124613590877757</v>
      </c>
      <c r="AH244" s="22">
        <f>AC244-AE244</f>
        <v>8.2737268087195446</v>
      </c>
    </row>
    <row r="245" spans="1:34" x14ac:dyDescent="0.25">
      <c r="A245" s="1">
        <f>DATEVALUE(Sheet1!A244)</f>
        <v>44915</v>
      </c>
      <c r="B245" s="2">
        <f>VALUE(Sheet1!B244)</f>
        <v>85.98</v>
      </c>
      <c r="C245" s="9">
        <f>(B245-B244)/B244</f>
        <v>-8.1348053457284345E-4</v>
      </c>
      <c r="D245" s="2">
        <f>MAX(D244,B245)</f>
        <v>103.9</v>
      </c>
      <c r="E245" s="9">
        <f>(B245-D245)/D245</f>
        <v>-0.17247353224254092</v>
      </c>
      <c r="AB245" s="1">
        <f>A245</f>
        <v>44915</v>
      </c>
      <c r="AC245" s="2">
        <f>B245</f>
        <v>85.98</v>
      </c>
      <c r="AD245" s="2">
        <f>243</f>
        <v>243</v>
      </c>
      <c r="AE245" s="2">
        <f>INTERCEPT($AC$3:$AC$1136,$AD$3:$AD$1136)+SLOPE($AC$3:$AC$1136,$AD$3:$AD$1136)*AD245</f>
        <v>77.75756122786801</v>
      </c>
      <c r="AF245" s="2">
        <f t="shared" si="6"/>
        <v>80.409220828270705</v>
      </c>
      <c r="AG245" s="2">
        <f t="shared" si="7"/>
        <v>75.105901627465315</v>
      </c>
      <c r="AH245" s="22">
        <f>AC245-AE245</f>
        <v>8.2224387721319943</v>
      </c>
    </row>
    <row r="246" spans="1:34" x14ac:dyDescent="0.25">
      <c r="A246" s="1">
        <f>DATEVALUE(Sheet1!A245)</f>
        <v>44916</v>
      </c>
      <c r="B246" s="2">
        <f>VALUE(Sheet1!B245)</f>
        <v>85.82</v>
      </c>
      <c r="C246" s="9">
        <f>(B246-B245)/B245</f>
        <v>-1.8608978832287833E-3</v>
      </c>
      <c r="D246" s="2">
        <f>MAX(D245,B246)</f>
        <v>103.9</v>
      </c>
      <c r="E246" s="9">
        <f>(B246-D246)/D246</f>
        <v>-0.17401347449470655</v>
      </c>
      <c r="AB246" s="1">
        <f>A246</f>
        <v>44916</v>
      </c>
      <c r="AC246" s="2">
        <f>B246</f>
        <v>85.82</v>
      </c>
      <c r="AD246" s="2">
        <f>244</f>
        <v>244</v>
      </c>
      <c r="AE246" s="2">
        <f>INTERCEPT($AC$3:$AC$1136,$AD$3:$AD$1136)+SLOPE($AC$3:$AC$1136,$AD$3:$AD$1136)*AD246</f>
        <v>77.738849264455567</v>
      </c>
      <c r="AF246" s="2">
        <f t="shared" si="6"/>
        <v>80.390508864858262</v>
      </c>
      <c r="AG246" s="2">
        <f t="shared" si="7"/>
        <v>75.087189664052872</v>
      </c>
      <c r="AH246" s="22">
        <f>AC246-AE246</f>
        <v>8.0811507355444263</v>
      </c>
    </row>
    <row r="247" spans="1:34" x14ac:dyDescent="0.25">
      <c r="A247" s="1">
        <f>DATEVALUE(Sheet1!A246)</f>
        <v>44917</v>
      </c>
      <c r="B247" s="2">
        <f>VALUE(Sheet1!B246)</f>
        <v>85.58</v>
      </c>
      <c r="C247" s="9">
        <f>(B247-B246)/B246</f>
        <v>-2.7965509205312854E-3</v>
      </c>
      <c r="D247" s="2">
        <f>MAX(D246,B247)</f>
        <v>103.9</v>
      </c>
      <c r="E247" s="9">
        <f>(B247-D247)/D247</f>
        <v>-0.17632338787295482</v>
      </c>
      <c r="AB247" s="1">
        <f>A247</f>
        <v>44917</v>
      </c>
      <c r="AC247" s="2">
        <f>B247</f>
        <v>85.58</v>
      </c>
      <c r="AD247" s="2">
        <f>245</f>
        <v>245</v>
      </c>
      <c r="AE247" s="2">
        <f>INTERCEPT($AC$3:$AC$1136,$AD$3:$AD$1136)+SLOPE($AC$3:$AC$1136,$AD$3:$AD$1136)*AD247</f>
        <v>77.72013730104311</v>
      </c>
      <c r="AF247" s="2">
        <f t="shared" si="6"/>
        <v>80.371796901445805</v>
      </c>
      <c r="AG247" s="2">
        <f t="shared" si="7"/>
        <v>75.068477700640415</v>
      </c>
      <c r="AH247" s="22">
        <f>AC247-AE247</f>
        <v>7.8598626989568885</v>
      </c>
    </row>
    <row r="248" spans="1:34" x14ac:dyDescent="0.25">
      <c r="A248" s="1">
        <f>DATEVALUE(Sheet1!A247)</f>
        <v>44918</v>
      </c>
      <c r="B248" s="2">
        <f>VALUE(Sheet1!B247)</f>
        <v>85.8</v>
      </c>
      <c r="C248" s="9">
        <f>(B248-B247)/B247</f>
        <v>2.5706940874035858E-3</v>
      </c>
      <c r="D248" s="2">
        <f>MAX(D247,B248)</f>
        <v>103.9</v>
      </c>
      <c r="E248" s="9">
        <f>(B248-D248)/D248</f>
        <v>-0.17420596727622722</v>
      </c>
      <c r="AB248" s="1">
        <f>A248</f>
        <v>44918</v>
      </c>
      <c r="AC248" s="2">
        <f>B248</f>
        <v>85.8</v>
      </c>
      <c r="AD248" s="2">
        <f>246</f>
        <v>246</v>
      </c>
      <c r="AE248" s="2">
        <f>INTERCEPT($AC$3:$AC$1136,$AD$3:$AD$1136)+SLOPE($AC$3:$AC$1136,$AD$3:$AD$1136)*AD248</f>
        <v>77.701425337630667</v>
      </c>
      <c r="AF248" s="2">
        <f t="shared" si="6"/>
        <v>80.353084938033362</v>
      </c>
      <c r="AG248" s="2">
        <f t="shared" si="7"/>
        <v>75.049765737227972</v>
      </c>
      <c r="AH248" s="22">
        <f>AC248-AE248</f>
        <v>8.0985746623693302</v>
      </c>
    </row>
    <row r="249" spans="1:34" x14ac:dyDescent="0.25">
      <c r="A249" s="1">
        <f>DATEVALUE(Sheet1!A248)</f>
        <v>44921</v>
      </c>
      <c r="B249" s="2">
        <f>VALUE(Sheet1!B248)</f>
        <v>85.79</v>
      </c>
      <c r="C249" s="9">
        <f>(B249-B248)/B248</f>
        <v>-1.1655011655001056E-4</v>
      </c>
      <c r="D249" s="2">
        <f>MAX(D248,B249)</f>
        <v>103.9</v>
      </c>
      <c r="E249" s="9">
        <f>(B249-D249)/D249</f>
        <v>-0.17430221366698748</v>
      </c>
      <c r="AB249" s="1">
        <f>A249</f>
        <v>44921</v>
      </c>
      <c r="AC249" s="2">
        <f>B249</f>
        <v>85.79</v>
      </c>
      <c r="AD249" s="2">
        <f>247</f>
        <v>247</v>
      </c>
      <c r="AE249" s="2">
        <f>INTERCEPT($AC$3:$AC$1136,$AD$3:$AD$1136)+SLOPE($AC$3:$AC$1136,$AD$3:$AD$1136)*AD249</f>
        <v>77.682713374218224</v>
      </c>
      <c r="AF249" s="2">
        <f t="shared" si="6"/>
        <v>80.334372974620919</v>
      </c>
      <c r="AG249" s="2">
        <f t="shared" si="7"/>
        <v>75.031053773815529</v>
      </c>
      <c r="AH249" s="22">
        <f>AC249-AE249</f>
        <v>8.1072866257817822</v>
      </c>
    </row>
    <row r="250" spans="1:34" x14ac:dyDescent="0.25">
      <c r="A250" s="1">
        <f>DATEVALUE(Sheet1!A249)</f>
        <v>44922</v>
      </c>
      <c r="B250" s="2">
        <f>VALUE(Sheet1!B249)</f>
        <v>86.61</v>
      </c>
      <c r="C250" s="9">
        <f>(B250-B249)/B249</f>
        <v>9.5582235691804764E-3</v>
      </c>
      <c r="D250" s="2">
        <f>MAX(D249,B250)</f>
        <v>103.9</v>
      </c>
      <c r="E250" s="9">
        <f>(B250-D250)/D250</f>
        <v>-0.16641000962463912</v>
      </c>
      <c r="AB250" s="1">
        <f>A250</f>
        <v>44922</v>
      </c>
      <c r="AC250" s="2">
        <f>B250</f>
        <v>86.61</v>
      </c>
      <c r="AD250" s="2">
        <f>248</f>
        <v>248</v>
      </c>
      <c r="AE250" s="2">
        <f>INTERCEPT($AC$3:$AC$1136,$AD$3:$AD$1136)+SLOPE($AC$3:$AC$1136,$AD$3:$AD$1136)*AD250</f>
        <v>77.664001410805781</v>
      </c>
      <c r="AF250" s="2">
        <f t="shared" si="6"/>
        <v>80.315661011208476</v>
      </c>
      <c r="AG250" s="2">
        <f t="shared" si="7"/>
        <v>75.012341810403086</v>
      </c>
      <c r="AH250" s="22">
        <f>AC250-AE250</f>
        <v>8.9459985891942182</v>
      </c>
    </row>
    <row r="251" spans="1:34" x14ac:dyDescent="0.25">
      <c r="A251" s="1">
        <f>DATEVALUE(Sheet1!A250)</f>
        <v>44923</v>
      </c>
      <c r="B251" s="2">
        <f>VALUE(Sheet1!B250)</f>
        <v>86.42</v>
      </c>
      <c r="C251" s="9">
        <f>(B251-B250)/B250</f>
        <v>-2.1937420621175124E-3</v>
      </c>
      <c r="D251" s="2">
        <f>MAX(D250,B251)</f>
        <v>103.9</v>
      </c>
      <c r="E251" s="9">
        <f>(B251-D251)/D251</f>
        <v>-0.16823869104908568</v>
      </c>
      <c r="AB251" s="1">
        <f>A251</f>
        <v>44923</v>
      </c>
      <c r="AC251" s="2">
        <f>B251</f>
        <v>86.42</v>
      </c>
      <c r="AD251" s="2">
        <f>249</f>
        <v>249</v>
      </c>
      <c r="AE251" s="2">
        <f>INTERCEPT($AC$3:$AC$1136,$AD$3:$AD$1136)+SLOPE($AC$3:$AC$1136,$AD$3:$AD$1136)*AD251</f>
        <v>77.645289447393324</v>
      </c>
      <c r="AF251" s="2">
        <f t="shared" si="6"/>
        <v>80.296949047796019</v>
      </c>
      <c r="AG251" s="2">
        <f t="shared" si="7"/>
        <v>74.993629846990629</v>
      </c>
      <c r="AH251" s="22">
        <f>AC251-AE251</f>
        <v>8.7747105526066775</v>
      </c>
    </row>
    <row r="252" spans="1:34" x14ac:dyDescent="0.25">
      <c r="A252" s="1">
        <f>DATEVALUE(Sheet1!A251)</f>
        <v>44924</v>
      </c>
      <c r="B252" s="2">
        <f>VALUE(Sheet1!B251)</f>
        <v>86.07</v>
      </c>
      <c r="C252" s="9">
        <f>(B252-B251)/B251</f>
        <v>-4.0499884286045885E-3</v>
      </c>
      <c r="D252" s="2">
        <f>MAX(D251,B252)</f>
        <v>103.9</v>
      </c>
      <c r="E252" s="9">
        <f>(B252-D252)/D252</f>
        <v>-0.1716073147256979</v>
      </c>
      <c r="AB252" s="1">
        <f>A252</f>
        <v>44924</v>
      </c>
      <c r="AC252" s="2">
        <f>B252</f>
        <v>86.07</v>
      </c>
      <c r="AD252" s="2">
        <f>250</f>
        <v>250</v>
      </c>
      <c r="AE252" s="2">
        <f>INTERCEPT($AC$3:$AC$1136,$AD$3:$AD$1136)+SLOPE($AC$3:$AC$1136,$AD$3:$AD$1136)*AD252</f>
        <v>77.626577483980881</v>
      </c>
      <c r="AF252" s="2">
        <f t="shared" si="6"/>
        <v>80.278237084383576</v>
      </c>
      <c r="AG252" s="2">
        <f t="shared" si="7"/>
        <v>74.974917883578186</v>
      </c>
      <c r="AH252" s="22">
        <f>AC252-AE252</f>
        <v>8.4434225160191119</v>
      </c>
    </row>
    <row r="253" spans="1:34" x14ac:dyDescent="0.25">
      <c r="A253" s="1">
        <f>DATEVALUE(Sheet1!A252)</f>
        <v>44928</v>
      </c>
      <c r="B253" s="2">
        <f>VALUE(Sheet1!B252)</f>
        <v>86.09</v>
      </c>
      <c r="C253" s="9">
        <f>(B253-B252)/B252</f>
        <v>2.3236900197525542E-4</v>
      </c>
      <c r="D253" s="2">
        <f>MAX(D252,B253)</f>
        <v>103.9</v>
      </c>
      <c r="E253" s="9">
        <f>(B253-D253)/D253</f>
        <v>-0.17141482194417709</v>
      </c>
      <c r="AB253" s="1">
        <f>A253</f>
        <v>44928</v>
      </c>
      <c r="AC253" s="2">
        <f>B253</f>
        <v>86.09</v>
      </c>
      <c r="AD253" s="2">
        <f>251</f>
        <v>251</v>
      </c>
      <c r="AE253" s="2">
        <f>INTERCEPT($AC$3:$AC$1136,$AD$3:$AD$1136)+SLOPE($AC$3:$AC$1136,$AD$3:$AD$1136)*AD253</f>
        <v>77.607865520568438</v>
      </c>
      <c r="AF253" s="2">
        <f t="shared" si="6"/>
        <v>80.259525120971134</v>
      </c>
      <c r="AG253" s="2">
        <f t="shared" si="7"/>
        <v>74.956205920165743</v>
      </c>
      <c r="AH253" s="22">
        <f>AC253-AE253</f>
        <v>8.482134479431565</v>
      </c>
    </row>
    <row r="254" spans="1:34" x14ac:dyDescent="0.25">
      <c r="A254" s="1">
        <f>DATEVALUE(Sheet1!A253)</f>
        <v>44929</v>
      </c>
      <c r="B254" s="2">
        <f>VALUE(Sheet1!B253)</f>
        <v>86.07</v>
      </c>
      <c r="C254" s="9">
        <f>(B254-B253)/B253</f>
        <v>-2.3231501916610791E-4</v>
      </c>
      <c r="D254" s="2">
        <f>MAX(D253,B254)</f>
        <v>103.9</v>
      </c>
      <c r="E254" s="9">
        <f>(B254-D254)/D254</f>
        <v>-0.1716073147256979</v>
      </c>
      <c r="AB254" s="1">
        <f>A254</f>
        <v>44929</v>
      </c>
      <c r="AC254" s="2">
        <f>B254</f>
        <v>86.07</v>
      </c>
      <c r="AD254" s="2">
        <f>252</f>
        <v>252</v>
      </c>
      <c r="AE254" s="2">
        <f>INTERCEPT($AC$3:$AC$1136,$AD$3:$AD$1136)+SLOPE($AC$3:$AC$1136,$AD$3:$AD$1136)*AD254</f>
        <v>77.589153557155996</v>
      </c>
      <c r="AF254" s="2">
        <f t="shared" si="6"/>
        <v>80.240813157558691</v>
      </c>
      <c r="AG254" s="2">
        <f t="shared" si="7"/>
        <v>74.9374939567533</v>
      </c>
      <c r="AH254" s="22">
        <f>AC254-AE254</f>
        <v>8.4808464428439976</v>
      </c>
    </row>
    <row r="255" spans="1:34" x14ac:dyDescent="0.25">
      <c r="A255" s="1">
        <f>DATEVALUE(Sheet1!A254)</f>
        <v>44930</v>
      </c>
      <c r="B255" s="2">
        <f>VALUE(Sheet1!B254)</f>
        <v>86.35</v>
      </c>
      <c r="C255" s="9">
        <f>(B255-B254)/B254</f>
        <v>3.2531660276519246E-3</v>
      </c>
      <c r="D255" s="2">
        <f>MAX(D254,B255)</f>
        <v>103.9</v>
      </c>
      <c r="E255" s="9">
        <f>(B255-D255)/D255</f>
        <v>-0.16891241578440819</v>
      </c>
      <c r="AB255" s="1">
        <f>A255</f>
        <v>44930</v>
      </c>
      <c r="AC255" s="2">
        <f>B255</f>
        <v>86.35</v>
      </c>
      <c r="AD255" s="2">
        <f>253</f>
        <v>253</v>
      </c>
      <c r="AE255" s="2">
        <f>INTERCEPT($AC$3:$AC$1136,$AD$3:$AD$1136)+SLOPE($AC$3:$AC$1136,$AD$3:$AD$1136)*AD255</f>
        <v>77.570441593743539</v>
      </c>
      <c r="AF255" s="2">
        <f t="shared" si="6"/>
        <v>80.222101194146234</v>
      </c>
      <c r="AG255" s="2">
        <f t="shared" si="7"/>
        <v>74.918781993340843</v>
      </c>
      <c r="AH255" s="22">
        <f>AC255-AE255</f>
        <v>8.7795584062564558</v>
      </c>
    </row>
    <row r="256" spans="1:34" x14ac:dyDescent="0.25">
      <c r="A256" s="1">
        <f>DATEVALUE(Sheet1!A255)</f>
        <v>44931</v>
      </c>
      <c r="B256" s="2">
        <f>VALUE(Sheet1!B255)</f>
        <v>87.72</v>
      </c>
      <c r="C256" s="9">
        <f>(B256-B255)/B255</f>
        <v>1.5865662999421014E-2</v>
      </c>
      <c r="D256" s="2">
        <f>MAX(D255,B256)</f>
        <v>103.9</v>
      </c>
      <c r="E256" s="9">
        <f>(B256-D256)/D256</f>
        <v>-0.15572666025024068</v>
      </c>
      <c r="AB256" s="1">
        <f>A256</f>
        <v>44931</v>
      </c>
      <c r="AC256" s="2">
        <f>B256</f>
        <v>87.72</v>
      </c>
      <c r="AD256" s="2">
        <f>254</f>
        <v>254</v>
      </c>
      <c r="AE256" s="2">
        <f>INTERCEPT($AC$3:$AC$1136,$AD$3:$AD$1136)+SLOPE($AC$3:$AC$1136,$AD$3:$AD$1136)*AD256</f>
        <v>77.551729630331096</v>
      </c>
      <c r="AF256" s="2">
        <f t="shared" si="6"/>
        <v>80.203389230733791</v>
      </c>
      <c r="AG256" s="2">
        <f t="shared" si="7"/>
        <v>74.900070029928401</v>
      </c>
      <c r="AH256" s="22">
        <f>AC256-AE256</f>
        <v>10.168270369668903</v>
      </c>
    </row>
    <row r="257" spans="1:34" x14ac:dyDescent="0.25">
      <c r="A257" s="1">
        <f>DATEVALUE(Sheet1!A256)</f>
        <v>44932</v>
      </c>
      <c r="B257" s="2">
        <f>VALUE(Sheet1!B256)</f>
        <v>87.5</v>
      </c>
      <c r="C257" s="9">
        <f>(B257-B256)/B256</f>
        <v>-2.5079799361604977E-3</v>
      </c>
      <c r="D257" s="2">
        <f>MAX(D256,B257)</f>
        <v>103.9</v>
      </c>
      <c r="E257" s="9">
        <f>(B257-D257)/D257</f>
        <v>-0.15784408084696827</v>
      </c>
      <c r="AB257" s="1">
        <f>A257</f>
        <v>44932</v>
      </c>
      <c r="AC257" s="2">
        <f>B257</f>
        <v>87.5</v>
      </c>
      <c r="AD257" s="2">
        <f>255</f>
        <v>255</v>
      </c>
      <c r="AE257" s="2">
        <f>INTERCEPT($AC$3:$AC$1136,$AD$3:$AD$1136)+SLOPE($AC$3:$AC$1136,$AD$3:$AD$1136)*AD257</f>
        <v>77.533017666918653</v>
      </c>
      <c r="AF257" s="2">
        <f t="shared" si="6"/>
        <v>80.184677267321348</v>
      </c>
      <c r="AG257" s="2">
        <f t="shared" si="7"/>
        <v>74.881358066515958</v>
      </c>
      <c r="AH257" s="22">
        <f>AC257-AE257</f>
        <v>9.9669823330813472</v>
      </c>
    </row>
    <row r="258" spans="1:34" x14ac:dyDescent="0.25">
      <c r="A258" s="1">
        <f>DATEVALUE(Sheet1!A257)</f>
        <v>44935</v>
      </c>
      <c r="B258" s="2">
        <f>VALUE(Sheet1!B257)</f>
        <v>87.27</v>
      </c>
      <c r="C258" s="9">
        <f>(B258-B257)/B257</f>
        <v>-2.628571428571474E-3</v>
      </c>
      <c r="D258" s="2">
        <f>MAX(D257,B258)</f>
        <v>103.9</v>
      </c>
      <c r="E258" s="9">
        <f>(B258-D258)/D258</f>
        <v>-0.16005774783445628</v>
      </c>
      <c r="AB258" s="1">
        <f>A258</f>
        <v>44935</v>
      </c>
      <c r="AC258" s="2">
        <f>B258</f>
        <v>87.27</v>
      </c>
      <c r="AD258" s="2">
        <f>256</f>
        <v>256</v>
      </c>
      <c r="AE258" s="2">
        <f>INTERCEPT($AC$3:$AC$1136,$AD$3:$AD$1136)+SLOPE($AC$3:$AC$1136,$AD$3:$AD$1136)*AD258</f>
        <v>77.51430570350621</v>
      </c>
      <c r="AF258" s="2">
        <f t="shared" si="6"/>
        <v>80.165965303908905</v>
      </c>
      <c r="AG258" s="2">
        <f t="shared" si="7"/>
        <v>74.862646103103515</v>
      </c>
      <c r="AH258" s="22">
        <f>AC258-AE258</f>
        <v>9.7556942964937861</v>
      </c>
    </row>
    <row r="259" spans="1:34" x14ac:dyDescent="0.25">
      <c r="A259" s="1">
        <f>DATEVALUE(Sheet1!A258)</f>
        <v>44936</v>
      </c>
      <c r="B259" s="2">
        <f>VALUE(Sheet1!B258)</f>
        <v>87.33</v>
      </c>
      <c r="C259" s="9">
        <f>(B259-B258)/B258</f>
        <v>6.8752148504643376E-4</v>
      </c>
      <c r="D259" s="2">
        <f>MAX(D258,B259)</f>
        <v>103.9</v>
      </c>
      <c r="E259" s="9">
        <f>(B259-D259)/D259</f>
        <v>-0.15948026948989419</v>
      </c>
      <c r="AB259" s="1">
        <f>A259</f>
        <v>44936</v>
      </c>
      <c r="AC259" s="2">
        <f>B259</f>
        <v>87.33</v>
      </c>
      <c r="AD259" s="2">
        <f>257</f>
        <v>257</v>
      </c>
      <c r="AE259" s="2">
        <f>INTERCEPT($AC$3:$AC$1136,$AD$3:$AD$1136)+SLOPE($AC$3:$AC$1136,$AD$3:$AD$1136)*AD259</f>
        <v>77.495593740093753</v>
      </c>
      <c r="AF259" s="2">
        <f t="shared" si="6"/>
        <v>80.147253340496448</v>
      </c>
      <c r="AG259" s="2">
        <f t="shared" si="7"/>
        <v>74.843934139691058</v>
      </c>
      <c r="AH259" s="22">
        <f>AC259-AE259</f>
        <v>9.8344062599062454</v>
      </c>
    </row>
    <row r="260" spans="1:34" x14ac:dyDescent="0.25">
      <c r="A260" s="1">
        <f>DATEVALUE(Sheet1!A259)</f>
        <v>44937</v>
      </c>
      <c r="B260" s="2">
        <f>VALUE(Sheet1!B259)</f>
        <v>87.19</v>
      </c>
      <c r="C260" s="9">
        <f>(B260-B259)/B259</f>
        <v>-1.6031146226955294E-3</v>
      </c>
      <c r="D260" s="2">
        <f>MAX(D259,B260)</f>
        <v>103.9</v>
      </c>
      <c r="E260" s="9">
        <f>(B260-D260)/D260</f>
        <v>-0.16082771896053905</v>
      </c>
      <c r="AB260" s="1">
        <f>A260</f>
        <v>44937</v>
      </c>
      <c r="AC260" s="2">
        <f>B260</f>
        <v>87.19</v>
      </c>
      <c r="AD260" s="2">
        <f>258</f>
        <v>258</v>
      </c>
      <c r="AE260" s="2">
        <f>INTERCEPT($AC$3:$AC$1136,$AD$3:$AD$1136)+SLOPE($AC$3:$AC$1136,$AD$3:$AD$1136)*AD260</f>
        <v>77.47688177668131</v>
      </c>
      <c r="AF260" s="2">
        <f t="shared" ref="AF260:AF323" si="8">AE260+$AJ$5*$AJ$4</f>
        <v>80.128541377084005</v>
      </c>
      <c r="AG260" s="2">
        <f t="shared" ref="AG260:AG323" si="9">AE260-$AJ$5*$AJ$4</f>
        <v>74.825222176278615</v>
      </c>
      <c r="AH260" s="22">
        <f>AC260-AE260</f>
        <v>9.7131182233186877</v>
      </c>
    </row>
    <row r="261" spans="1:34" x14ac:dyDescent="0.25">
      <c r="A261" s="1">
        <f>DATEVALUE(Sheet1!A260)</f>
        <v>44938</v>
      </c>
      <c r="B261" s="2">
        <f>VALUE(Sheet1!B260)</f>
        <v>86.86</v>
      </c>
      <c r="C261" s="9">
        <f>(B261-B260)/B260</f>
        <v>-3.7848377107466257E-3</v>
      </c>
      <c r="D261" s="2">
        <f>MAX(D260,B261)</f>
        <v>103.9</v>
      </c>
      <c r="E261" s="9">
        <f>(B261-D261)/D261</f>
        <v>-0.16400384985563046</v>
      </c>
      <c r="AB261" s="1">
        <f>A261</f>
        <v>44938</v>
      </c>
      <c r="AC261" s="2">
        <f>B261</f>
        <v>86.86</v>
      </c>
      <c r="AD261" s="2">
        <f>259</f>
        <v>259</v>
      </c>
      <c r="AE261" s="2">
        <f>INTERCEPT($AC$3:$AC$1136,$AD$3:$AD$1136)+SLOPE($AC$3:$AC$1136,$AD$3:$AD$1136)*AD261</f>
        <v>77.458169813268867</v>
      </c>
      <c r="AF261" s="2">
        <f t="shared" si="8"/>
        <v>80.109829413671562</v>
      </c>
      <c r="AG261" s="2">
        <f t="shared" si="9"/>
        <v>74.806510212866172</v>
      </c>
      <c r="AH261" s="22">
        <f>AC261-AE261</f>
        <v>9.4018301867311322</v>
      </c>
    </row>
    <row r="262" spans="1:34" x14ac:dyDescent="0.25">
      <c r="A262" s="1">
        <f>DATEVALUE(Sheet1!A261)</f>
        <v>44939</v>
      </c>
      <c r="B262" s="2">
        <f>VALUE(Sheet1!B261)</f>
        <v>86.87</v>
      </c>
      <c r="C262" s="9">
        <f>(B262-B261)/B261</f>
        <v>1.1512779184901123E-4</v>
      </c>
      <c r="D262" s="2">
        <f>MAX(D261,B262)</f>
        <v>103.9</v>
      </c>
      <c r="E262" s="9">
        <f>(B262-D262)/D262</f>
        <v>-0.16390760346487007</v>
      </c>
      <c r="AB262" s="1">
        <f>A262</f>
        <v>44939</v>
      </c>
      <c r="AC262" s="2">
        <f>B262</f>
        <v>86.87</v>
      </c>
      <c r="AD262" s="2">
        <f>260</f>
        <v>260</v>
      </c>
      <c r="AE262" s="2">
        <f>INTERCEPT($AC$3:$AC$1136,$AD$3:$AD$1136)+SLOPE($AC$3:$AC$1136,$AD$3:$AD$1136)*AD262</f>
        <v>77.43945784985641</v>
      </c>
      <c r="AF262" s="2">
        <f t="shared" si="8"/>
        <v>80.091117450259105</v>
      </c>
      <c r="AG262" s="2">
        <f t="shared" si="9"/>
        <v>74.787798249453715</v>
      </c>
      <c r="AH262" s="22">
        <f>AC262-AE262</f>
        <v>9.4305421501435944</v>
      </c>
    </row>
    <row r="263" spans="1:34" x14ac:dyDescent="0.25">
      <c r="A263" s="1">
        <f>DATEVALUE(Sheet1!A262)</f>
        <v>44942</v>
      </c>
      <c r="B263" s="2">
        <f>VALUE(Sheet1!B262)</f>
        <v>86.39</v>
      </c>
      <c r="C263" s="9">
        <f>(B263-B262)/B262</f>
        <v>-5.5254978703810744E-3</v>
      </c>
      <c r="D263" s="2">
        <f>MAX(D262,B263)</f>
        <v>103.9</v>
      </c>
      <c r="E263" s="9">
        <f>(B263-D263)/D263</f>
        <v>-0.16852743022136674</v>
      </c>
      <c r="AB263" s="1">
        <f>A263</f>
        <v>44942</v>
      </c>
      <c r="AC263" s="2">
        <f>B263</f>
        <v>86.39</v>
      </c>
      <c r="AD263" s="2">
        <f>261</f>
        <v>261</v>
      </c>
      <c r="AE263" s="2">
        <f>INTERCEPT($AC$3:$AC$1136,$AD$3:$AD$1136)+SLOPE($AC$3:$AC$1136,$AD$3:$AD$1136)*AD263</f>
        <v>77.420745886443967</v>
      </c>
      <c r="AF263" s="2">
        <f t="shared" si="8"/>
        <v>80.072405486846662</v>
      </c>
      <c r="AG263" s="2">
        <f t="shared" si="9"/>
        <v>74.769086286041272</v>
      </c>
      <c r="AH263" s="22">
        <f>AC263-AE263</f>
        <v>8.9692541135560333</v>
      </c>
    </row>
    <row r="264" spans="1:34" x14ac:dyDescent="0.25">
      <c r="A264" s="1">
        <f>DATEVALUE(Sheet1!A263)</f>
        <v>44943</v>
      </c>
      <c r="B264" s="2">
        <f>VALUE(Sheet1!B263)</f>
        <v>86.19</v>
      </c>
      <c r="C264" s="9">
        <f>(B264-B263)/B263</f>
        <v>-2.3150827642088533E-3</v>
      </c>
      <c r="D264" s="2">
        <f>MAX(D263,B264)</f>
        <v>103.9</v>
      </c>
      <c r="E264" s="9">
        <f>(B264-D264)/D264</f>
        <v>-0.17045235803657369</v>
      </c>
      <c r="AB264" s="1">
        <f>A264</f>
        <v>44943</v>
      </c>
      <c r="AC264" s="2">
        <f>B264</f>
        <v>86.19</v>
      </c>
      <c r="AD264" s="2">
        <f>262</f>
        <v>262</v>
      </c>
      <c r="AE264" s="2">
        <f>INTERCEPT($AC$3:$AC$1136,$AD$3:$AD$1136)+SLOPE($AC$3:$AC$1136,$AD$3:$AD$1136)*AD264</f>
        <v>77.402033923031524</v>
      </c>
      <c r="AF264" s="2">
        <f t="shared" si="8"/>
        <v>80.05369352343422</v>
      </c>
      <c r="AG264" s="2">
        <f t="shared" si="9"/>
        <v>74.750374322628829</v>
      </c>
      <c r="AH264" s="22">
        <f>AC264-AE264</f>
        <v>8.7879660769684733</v>
      </c>
    </row>
    <row r="265" spans="1:34" x14ac:dyDescent="0.25">
      <c r="A265" s="1">
        <f>DATEVALUE(Sheet1!A264)</f>
        <v>44944</v>
      </c>
      <c r="B265" s="2">
        <f>VALUE(Sheet1!B264)</f>
        <v>85.9</v>
      </c>
      <c r="C265" s="9">
        <f>(B265-B264)/B264</f>
        <v>-3.3646594732566659E-3</v>
      </c>
      <c r="D265" s="2">
        <f>MAX(D264,B265)</f>
        <v>103.9</v>
      </c>
      <c r="E265" s="9">
        <f>(B265-D265)/D265</f>
        <v>-0.17324350336862368</v>
      </c>
      <c r="AB265" s="1">
        <f>A265</f>
        <v>44944</v>
      </c>
      <c r="AC265" s="2">
        <f>B265</f>
        <v>85.9</v>
      </c>
      <c r="AD265" s="2">
        <f>263</f>
        <v>263</v>
      </c>
      <c r="AE265" s="2">
        <f>INTERCEPT($AC$3:$AC$1136,$AD$3:$AD$1136)+SLOPE($AC$3:$AC$1136,$AD$3:$AD$1136)*AD265</f>
        <v>77.383321959619082</v>
      </c>
      <c r="AF265" s="2">
        <f t="shared" si="8"/>
        <v>80.034981560021777</v>
      </c>
      <c r="AG265" s="2">
        <f t="shared" si="9"/>
        <v>74.731662359216386</v>
      </c>
      <c r="AH265" s="22">
        <f>AC265-AE265</f>
        <v>8.5166780403809241</v>
      </c>
    </row>
    <row r="266" spans="1:34" x14ac:dyDescent="0.25">
      <c r="A266" s="1">
        <f>DATEVALUE(Sheet1!A265)</f>
        <v>44945</v>
      </c>
      <c r="B266" s="2">
        <f>VALUE(Sheet1!B265)</f>
        <v>85.38</v>
      </c>
      <c r="C266" s="9">
        <f>(B266-B265)/B265</f>
        <v>-6.053550640279513E-3</v>
      </c>
      <c r="D266" s="2">
        <f>MAX(D265,B266)</f>
        <v>103.9</v>
      </c>
      <c r="E266" s="9">
        <f>(B266-D266)/D266</f>
        <v>-0.1782483156881618</v>
      </c>
      <c r="AB266" s="1">
        <f>A266</f>
        <v>44945</v>
      </c>
      <c r="AC266" s="2">
        <f>B266</f>
        <v>85.38</v>
      </c>
      <c r="AD266" s="2">
        <f>264</f>
        <v>264</v>
      </c>
      <c r="AE266" s="2">
        <f>INTERCEPT($AC$3:$AC$1136,$AD$3:$AD$1136)+SLOPE($AC$3:$AC$1136,$AD$3:$AD$1136)*AD266</f>
        <v>77.364609996206624</v>
      </c>
      <c r="AF266" s="2">
        <f t="shared" si="8"/>
        <v>80.01626959660932</v>
      </c>
      <c r="AG266" s="2">
        <f t="shared" si="9"/>
        <v>74.712950395803929</v>
      </c>
      <c r="AH266" s="22">
        <f>AC266-AE266</f>
        <v>8.015390003793371</v>
      </c>
    </row>
    <row r="267" spans="1:34" x14ac:dyDescent="0.25">
      <c r="A267" s="1">
        <f>DATEVALUE(Sheet1!A266)</f>
        <v>44946</v>
      </c>
      <c r="B267" s="2">
        <f>VALUE(Sheet1!B266)</f>
        <v>85.33</v>
      </c>
      <c r="C267" s="9">
        <f>(B267-B266)/B266</f>
        <v>-5.8561724057152914E-4</v>
      </c>
      <c r="D267" s="2">
        <f>MAX(D266,B267)</f>
        <v>103.9</v>
      </c>
      <c r="E267" s="9">
        <f>(B267-D267)/D267</f>
        <v>-0.1787295476419635</v>
      </c>
      <c r="AB267" s="1">
        <f>A267</f>
        <v>44946</v>
      </c>
      <c r="AC267" s="2">
        <f>B267</f>
        <v>85.33</v>
      </c>
      <c r="AD267" s="2">
        <f>265</f>
        <v>265</v>
      </c>
      <c r="AE267" s="2">
        <f>INTERCEPT($AC$3:$AC$1136,$AD$3:$AD$1136)+SLOPE($AC$3:$AC$1136,$AD$3:$AD$1136)*AD267</f>
        <v>77.345898032794182</v>
      </c>
      <c r="AF267" s="2">
        <f t="shared" si="8"/>
        <v>79.997557633196877</v>
      </c>
      <c r="AG267" s="2">
        <f t="shared" si="9"/>
        <v>74.694238432391487</v>
      </c>
      <c r="AH267" s="22">
        <f>AC267-AE267</f>
        <v>7.9841019672058167</v>
      </c>
    </row>
    <row r="268" spans="1:34" x14ac:dyDescent="0.25">
      <c r="A268" s="1">
        <f>DATEVALUE(Sheet1!A267)</f>
        <v>44949</v>
      </c>
      <c r="B268" s="2">
        <f>VALUE(Sheet1!B267)</f>
        <v>85.43</v>
      </c>
      <c r="C268" s="9">
        <f>(B268-B267)/B267</f>
        <v>1.1719207781554965E-3</v>
      </c>
      <c r="D268" s="2">
        <f>MAX(D267,B268)</f>
        <v>103.9</v>
      </c>
      <c r="E268" s="9">
        <f>(B268-D268)/D268</f>
        <v>-0.17776708373435995</v>
      </c>
      <c r="AB268" s="1">
        <f>A268</f>
        <v>44949</v>
      </c>
      <c r="AC268" s="2">
        <f>B268</f>
        <v>85.43</v>
      </c>
      <c r="AD268" s="2">
        <f>266</f>
        <v>266</v>
      </c>
      <c r="AE268" s="2">
        <f>INTERCEPT($AC$3:$AC$1136,$AD$3:$AD$1136)+SLOPE($AC$3:$AC$1136,$AD$3:$AD$1136)*AD268</f>
        <v>77.327186069381739</v>
      </c>
      <c r="AF268" s="2">
        <f t="shared" si="8"/>
        <v>79.978845669784434</v>
      </c>
      <c r="AG268" s="2">
        <f t="shared" si="9"/>
        <v>74.675526468979044</v>
      </c>
      <c r="AH268" s="22">
        <f>AC268-AE268</f>
        <v>8.102813930618268</v>
      </c>
    </row>
    <row r="269" spans="1:34" x14ac:dyDescent="0.25">
      <c r="A269" s="1">
        <f>DATEVALUE(Sheet1!A268)</f>
        <v>44950</v>
      </c>
      <c r="B269" s="2">
        <f>VALUE(Sheet1!B268)</f>
        <v>85.17</v>
      </c>
      <c r="C269" s="9">
        <f>(B269-B268)/B268</f>
        <v>-3.0434273674353868E-3</v>
      </c>
      <c r="D269" s="2">
        <f>MAX(D268,B269)</f>
        <v>103.9</v>
      </c>
      <c r="E269" s="9">
        <f>(B269-D269)/D269</f>
        <v>-0.180269489894129</v>
      </c>
      <c r="AB269" s="1">
        <f>A269</f>
        <v>44950</v>
      </c>
      <c r="AC269" s="2">
        <f>B269</f>
        <v>85.17</v>
      </c>
      <c r="AD269" s="2">
        <f>267</f>
        <v>267</v>
      </c>
      <c r="AE269" s="2">
        <f>INTERCEPT($AC$3:$AC$1136,$AD$3:$AD$1136)+SLOPE($AC$3:$AC$1136,$AD$3:$AD$1136)*AD269</f>
        <v>77.308474105969282</v>
      </c>
      <c r="AF269" s="2">
        <f t="shared" si="8"/>
        <v>79.960133706371977</v>
      </c>
      <c r="AG269" s="2">
        <f t="shared" si="9"/>
        <v>74.656814505566587</v>
      </c>
      <c r="AH269" s="22">
        <f>AC269-AE269</f>
        <v>7.86152589403072</v>
      </c>
    </row>
    <row r="270" spans="1:34" x14ac:dyDescent="0.25">
      <c r="A270" s="1">
        <f>DATEVALUE(Sheet1!A269)</f>
        <v>44951</v>
      </c>
      <c r="B270" s="2">
        <f>VALUE(Sheet1!B269)</f>
        <v>85.22</v>
      </c>
      <c r="C270" s="9">
        <f>(B270-B269)/B269</f>
        <v>5.8706117177406551E-4</v>
      </c>
      <c r="D270" s="2">
        <f>MAX(D269,B270)</f>
        <v>103.9</v>
      </c>
      <c r="E270" s="9">
        <f>(B270-D270)/D270</f>
        <v>-0.1797882579403273</v>
      </c>
      <c r="AB270" s="1">
        <f>A270</f>
        <v>44951</v>
      </c>
      <c r="AC270" s="2">
        <f>B270</f>
        <v>85.22</v>
      </c>
      <c r="AD270" s="2">
        <f>268</f>
        <v>268</v>
      </c>
      <c r="AE270" s="2">
        <f>INTERCEPT($AC$3:$AC$1136,$AD$3:$AD$1136)+SLOPE($AC$3:$AC$1136,$AD$3:$AD$1136)*AD270</f>
        <v>77.289762142556839</v>
      </c>
      <c r="AF270" s="2">
        <f t="shared" si="8"/>
        <v>79.941421742959534</v>
      </c>
      <c r="AG270" s="2">
        <f t="shared" si="9"/>
        <v>74.638102542154144</v>
      </c>
      <c r="AH270" s="22">
        <f>AC270-AE270</f>
        <v>7.93023785744316</v>
      </c>
    </row>
    <row r="271" spans="1:34" x14ac:dyDescent="0.25">
      <c r="A271" s="1">
        <f>DATEVALUE(Sheet1!A270)</f>
        <v>44952</v>
      </c>
      <c r="B271" s="2">
        <f>VALUE(Sheet1!B270)</f>
        <v>84.88</v>
      </c>
      <c r="C271" s="9">
        <f>(B271-B270)/B270</f>
        <v>-3.9896737854964023E-3</v>
      </c>
      <c r="D271" s="2">
        <f>MAX(D270,B271)</f>
        <v>103.9</v>
      </c>
      <c r="E271" s="9">
        <f>(B271-D271)/D271</f>
        <v>-0.1830606352261791</v>
      </c>
      <c r="AB271" s="1">
        <f>A271</f>
        <v>44952</v>
      </c>
      <c r="AC271" s="2">
        <f>B271</f>
        <v>84.88</v>
      </c>
      <c r="AD271" s="2">
        <f>269</f>
        <v>269</v>
      </c>
      <c r="AE271" s="2">
        <f>INTERCEPT($AC$3:$AC$1136,$AD$3:$AD$1136)+SLOPE($AC$3:$AC$1136,$AD$3:$AD$1136)*AD271</f>
        <v>77.271050179144396</v>
      </c>
      <c r="AF271" s="2">
        <f t="shared" si="8"/>
        <v>79.922709779547091</v>
      </c>
      <c r="AG271" s="2">
        <f t="shared" si="9"/>
        <v>74.619390578741701</v>
      </c>
      <c r="AH271" s="22">
        <f>AC271-AE271</f>
        <v>7.6089498208555995</v>
      </c>
    </row>
    <row r="272" spans="1:34" x14ac:dyDescent="0.25">
      <c r="A272" s="1">
        <f>DATEVALUE(Sheet1!A271)</f>
        <v>44953</v>
      </c>
      <c r="B272" s="2">
        <f>VALUE(Sheet1!B271)</f>
        <v>84.74</v>
      </c>
      <c r="C272" s="9">
        <f>(B272-B271)/B271</f>
        <v>-1.6493873704052848E-3</v>
      </c>
      <c r="D272" s="2">
        <f>MAX(D271,B272)</f>
        <v>103.9</v>
      </c>
      <c r="E272" s="9">
        <f>(B272-D272)/D272</f>
        <v>-0.18440808469682396</v>
      </c>
      <c r="AB272" s="1">
        <f>A272</f>
        <v>44953</v>
      </c>
      <c r="AC272" s="2">
        <f>B272</f>
        <v>84.74</v>
      </c>
      <c r="AD272" s="2">
        <f>270</f>
        <v>270</v>
      </c>
      <c r="AE272" s="2">
        <f>INTERCEPT($AC$3:$AC$1136,$AD$3:$AD$1136)+SLOPE($AC$3:$AC$1136,$AD$3:$AD$1136)*AD272</f>
        <v>77.252338215731953</v>
      </c>
      <c r="AF272" s="2">
        <f t="shared" si="8"/>
        <v>79.903997816134648</v>
      </c>
      <c r="AG272" s="2">
        <f t="shared" si="9"/>
        <v>74.600678615329258</v>
      </c>
      <c r="AH272" s="22">
        <f>AC272-AE272</f>
        <v>7.4876617842680417</v>
      </c>
    </row>
    <row r="273" spans="1:34" x14ac:dyDescent="0.25">
      <c r="A273" s="1">
        <f>DATEVALUE(Sheet1!A272)</f>
        <v>44956</v>
      </c>
      <c r="B273" s="2">
        <f>VALUE(Sheet1!B272)</f>
        <v>84.95</v>
      </c>
      <c r="C273" s="9">
        <f>(B273-B272)/B272</f>
        <v>2.4781685154591452E-3</v>
      </c>
      <c r="D273" s="2">
        <f>MAX(D272,B273)</f>
        <v>103.9</v>
      </c>
      <c r="E273" s="9">
        <f>(B273-D273)/D273</f>
        <v>-0.18238691049085662</v>
      </c>
      <c r="AB273" s="1">
        <f>A273</f>
        <v>44956</v>
      </c>
      <c r="AC273" s="2">
        <f>B273</f>
        <v>84.95</v>
      </c>
      <c r="AD273" s="2">
        <f>271</f>
        <v>271</v>
      </c>
      <c r="AE273" s="2">
        <f>INTERCEPT($AC$3:$AC$1136,$AD$3:$AD$1136)+SLOPE($AC$3:$AC$1136,$AD$3:$AD$1136)*AD273</f>
        <v>77.233626252319496</v>
      </c>
      <c r="AF273" s="2">
        <f t="shared" si="8"/>
        <v>79.885285852722191</v>
      </c>
      <c r="AG273" s="2">
        <f t="shared" si="9"/>
        <v>74.581966651916801</v>
      </c>
      <c r="AH273" s="22">
        <f>AC273-AE273</f>
        <v>7.7163737476805068</v>
      </c>
    </row>
    <row r="274" spans="1:34" x14ac:dyDescent="0.25">
      <c r="A274" s="1">
        <f>DATEVALUE(Sheet1!A273)</f>
        <v>44957</v>
      </c>
      <c r="B274" s="2">
        <f>VALUE(Sheet1!B273)</f>
        <v>85.49</v>
      </c>
      <c r="C274" s="9">
        <f>(B274-B273)/B273</f>
        <v>6.3566804002353388E-3</v>
      </c>
      <c r="D274" s="2">
        <f>MAX(D273,B274)</f>
        <v>103.9</v>
      </c>
      <c r="E274" s="9">
        <f>(B274-D274)/D274</f>
        <v>-0.17718960538979797</v>
      </c>
      <c r="AB274" s="1">
        <f>A274</f>
        <v>44957</v>
      </c>
      <c r="AC274" s="2">
        <f>B274</f>
        <v>85.49</v>
      </c>
      <c r="AD274" s="2">
        <f>272</f>
        <v>272</v>
      </c>
      <c r="AE274" s="2">
        <f>INTERCEPT($AC$3:$AC$1136,$AD$3:$AD$1136)+SLOPE($AC$3:$AC$1136,$AD$3:$AD$1136)*AD274</f>
        <v>77.214914288907053</v>
      </c>
      <c r="AF274" s="2">
        <f t="shared" si="8"/>
        <v>79.866573889309748</v>
      </c>
      <c r="AG274" s="2">
        <f t="shared" si="9"/>
        <v>74.563254688504358</v>
      </c>
      <c r="AH274" s="22">
        <f>AC274-AE274</f>
        <v>8.2750857110929417</v>
      </c>
    </row>
    <row r="275" spans="1:34" x14ac:dyDescent="0.25">
      <c r="A275" s="1">
        <f>DATEVALUE(Sheet1!A274)</f>
        <v>44958</v>
      </c>
      <c r="B275" s="2">
        <f>VALUE(Sheet1!B274)</f>
        <v>85.76</v>
      </c>
      <c r="C275" s="9">
        <f>(B275-B274)/B274</f>
        <v>3.158264124459121E-3</v>
      </c>
      <c r="D275" s="2">
        <f>MAX(D274,B275)</f>
        <v>103.9</v>
      </c>
      <c r="E275" s="9">
        <f>(B275-D275)/D275</f>
        <v>-0.17459095283926851</v>
      </c>
      <c r="AB275" s="1">
        <f>A275</f>
        <v>44958</v>
      </c>
      <c r="AC275" s="2">
        <f>B275</f>
        <v>85.76</v>
      </c>
      <c r="AD275" s="2">
        <f>273</f>
        <v>273</v>
      </c>
      <c r="AE275" s="2">
        <f>INTERCEPT($AC$3:$AC$1136,$AD$3:$AD$1136)+SLOPE($AC$3:$AC$1136,$AD$3:$AD$1136)*AD275</f>
        <v>77.19620232549461</v>
      </c>
      <c r="AF275" s="2">
        <f t="shared" si="8"/>
        <v>79.847861925897305</v>
      </c>
      <c r="AG275" s="2">
        <f t="shared" si="9"/>
        <v>74.544542725091915</v>
      </c>
      <c r="AH275" s="22">
        <f>AC275-AE275</f>
        <v>8.5637976745053948</v>
      </c>
    </row>
    <row r="276" spans="1:34" x14ac:dyDescent="0.25">
      <c r="A276" s="1">
        <f>DATEVALUE(Sheet1!A275)</f>
        <v>44959</v>
      </c>
      <c r="B276" s="2">
        <f>VALUE(Sheet1!B275)</f>
        <v>85.04</v>
      </c>
      <c r="C276" s="9">
        <f>(B276-B275)/B275</f>
        <v>-8.3955223880596876E-3</v>
      </c>
      <c r="D276" s="2">
        <f>MAX(D275,B276)</f>
        <v>103.9</v>
      </c>
      <c r="E276" s="9">
        <f>(B276-D276)/D276</f>
        <v>-0.18152069297401346</v>
      </c>
      <c r="AB276" s="1">
        <f>A276</f>
        <v>44959</v>
      </c>
      <c r="AC276" s="2">
        <f>B276</f>
        <v>85.04</v>
      </c>
      <c r="AD276" s="2">
        <f>274</f>
        <v>274</v>
      </c>
      <c r="AE276" s="2">
        <f>INTERCEPT($AC$3:$AC$1136,$AD$3:$AD$1136)+SLOPE($AC$3:$AC$1136,$AD$3:$AD$1136)*AD276</f>
        <v>77.177490362082168</v>
      </c>
      <c r="AF276" s="2">
        <f t="shared" si="8"/>
        <v>79.829149962484863</v>
      </c>
      <c r="AG276" s="2">
        <f t="shared" si="9"/>
        <v>74.525830761679472</v>
      </c>
      <c r="AH276" s="22">
        <f>AC276-AE276</f>
        <v>7.8625096379178387</v>
      </c>
    </row>
    <row r="277" spans="1:34" x14ac:dyDescent="0.25">
      <c r="A277" s="1">
        <f>DATEVALUE(Sheet1!A276)</f>
        <v>44960</v>
      </c>
      <c r="B277" s="2">
        <f>VALUE(Sheet1!B276)</f>
        <v>84.98</v>
      </c>
      <c r="C277" s="9">
        <f>(B277-B276)/B276</f>
        <v>-7.0555032925684704E-4</v>
      </c>
      <c r="D277" s="2">
        <f>MAX(D276,B277)</f>
        <v>103.9</v>
      </c>
      <c r="E277" s="9">
        <f>(B277-D277)/D277</f>
        <v>-0.18209817131857556</v>
      </c>
      <c r="AB277" s="1">
        <f>A277</f>
        <v>44960</v>
      </c>
      <c r="AC277" s="2">
        <f>B277</f>
        <v>84.98</v>
      </c>
      <c r="AD277" s="2">
        <f>275</f>
        <v>275</v>
      </c>
      <c r="AE277" s="2">
        <f>INTERCEPT($AC$3:$AC$1136,$AD$3:$AD$1136)+SLOPE($AC$3:$AC$1136,$AD$3:$AD$1136)*AD277</f>
        <v>77.15877839866971</v>
      </c>
      <c r="AF277" s="2">
        <f t="shared" si="8"/>
        <v>79.810437999072406</v>
      </c>
      <c r="AG277" s="2">
        <f t="shared" si="9"/>
        <v>74.507118798267015</v>
      </c>
      <c r="AH277" s="22">
        <f>AC277-AE277</f>
        <v>7.8212216013302935</v>
      </c>
    </row>
    <row r="278" spans="1:34" x14ac:dyDescent="0.25">
      <c r="A278" s="1">
        <f>DATEVALUE(Sheet1!A277)</f>
        <v>44963</v>
      </c>
      <c r="B278" s="2">
        <f>VALUE(Sheet1!B277)</f>
        <v>85.12</v>
      </c>
      <c r="C278" s="9">
        <f>(B278-B277)/B277</f>
        <v>1.6474464579901218E-3</v>
      </c>
      <c r="D278" s="2">
        <f>MAX(D277,B278)</f>
        <v>103.9</v>
      </c>
      <c r="E278" s="9">
        <f>(B278-D278)/D278</f>
        <v>-0.1807507218479307</v>
      </c>
      <c r="AB278" s="1">
        <f>A278</f>
        <v>44963</v>
      </c>
      <c r="AC278" s="2">
        <f>B278</f>
        <v>85.12</v>
      </c>
      <c r="AD278" s="2">
        <f>276</f>
        <v>276</v>
      </c>
      <c r="AE278" s="2">
        <f>INTERCEPT($AC$3:$AC$1136,$AD$3:$AD$1136)+SLOPE($AC$3:$AC$1136,$AD$3:$AD$1136)*AD278</f>
        <v>77.140066435257268</v>
      </c>
      <c r="AF278" s="2">
        <f t="shared" si="8"/>
        <v>79.791726035659963</v>
      </c>
      <c r="AG278" s="2">
        <f t="shared" si="9"/>
        <v>74.488406834854572</v>
      </c>
      <c r="AH278" s="22">
        <f>AC278-AE278</f>
        <v>7.979933564742737</v>
      </c>
    </row>
    <row r="279" spans="1:34" x14ac:dyDescent="0.25">
      <c r="A279" s="1">
        <f>DATEVALUE(Sheet1!A278)</f>
        <v>44964</v>
      </c>
      <c r="B279" s="2">
        <f>VALUE(Sheet1!B278)</f>
        <v>84.87</v>
      </c>
      <c r="C279" s="9">
        <f>(B279-B278)/B278</f>
        <v>-2.9370300751879698E-3</v>
      </c>
      <c r="D279" s="2">
        <f>MAX(D278,B279)</f>
        <v>103.9</v>
      </c>
      <c r="E279" s="9">
        <f>(B279-D279)/D279</f>
        <v>-0.18315688161693935</v>
      </c>
      <c r="AB279" s="1">
        <f>A279</f>
        <v>44964</v>
      </c>
      <c r="AC279" s="2">
        <f>B279</f>
        <v>84.87</v>
      </c>
      <c r="AD279" s="2">
        <f>277</f>
        <v>277</v>
      </c>
      <c r="AE279" s="2">
        <f>INTERCEPT($AC$3:$AC$1136,$AD$3:$AD$1136)+SLOPE($AC$3:$AC$1136,$AD$3:$AD$1136)*AD279</f>
        <v>77.121354471844825</v>
      </c>
      <c r="AF279" s="2">
        <f t="shared" si="8"/>
        <v>79.77301407224752</v>
      </c>
      <c r="AG279" s="2">
        <f t="shared" si="9"/>
        <v>74.46969487144213</v>
      </c>
      <c r="AH279" s="22">
        <f>AC279-AE279</f>
        <v>7.7486455281551798</v>
      </c>
    </row>
    <row r="280" spans="1:34" x14ac:dyDescent="0.25">
      <c r="A280" s="1">
        <f>DATEVALUE(Sheet1!A279)</f>
        <v>44965</v>
      </c>
      <c r="B280" s="2">
        <f>VALUE(Sheet1!B279)</f>
        <v>84.9</v>
      </c>
      <c r="C280" s="9">
        <f>(B280-B279)/B279</f>
        <v>3.5348179568753544E-4</v>
      </c>
      <c r="D280" s="2">
        <f>MAX(D279,B280)</f>
        <v>103.9</v>
      </c>
      <c r="E280" s="9">
        <f>(B280-D280)/D280</f>
        <v>-0.18286814244465832</v>
      </c>
      <c r="AB280" s="1">
        <f>A280</f>
        <v>44965</v>
      </c>
      <c r="AC280" s="2">
        <f>B280</f>
        <v>84.9</v>
      </c>
      <c r="AD280" s="2">
        <f>278</f>
        <v>278</v>
      </c>
      <c r="AE280" s="2">
        <f>INTERCEPT($AC$3:$AC$1136,$AD$3:$AD$1136)+SLOPE($AC$3:$AC$1136,$AD$3:$AD$1136)*AD280</f>
        <v>77.102642508432382</v>
      </c>
      <c r="AF280" s="2">
        <f t="shared" si="8"/>
        <v>79.754302108835077</v>
      </c>
      <c r="AG280" s="2">
        <f t="shared" si="9"/>
        <v>74.450982908029687</v>
      </c>
      <c r="AH280" s="22">
        <f>AC280-AE280</f>
        <v>7.7973574915676238</v>
      </c>
    </row>
    <row r="281" spans="1:34" x14ac:dyDescent="0.25">
      <c r="A281" s="1">
        <f>DATEVALUE(Sheet1!A280)</f>
        <v>44966</v>
      </c>
      <c r="B281" s="2">
        <f>VALUE(Sheet1!B280)</f>
        <v>85.96</v>
      </c>
      <c r="C281" s="9">
        <f>(B281-B280)/B280</f>
        <v>1.2485276796230719E-2</v>
      </c>
      <c r="D281" s="2">
        <f>MAX(D280,B281)</f>
        <v>103.9</v>
      </c>
      <c r="E281" s="9">
        <f>(B281-D281)/D281</f>
        <v>-0.1726660250240617</v>
      </c>
      <c r="AB281" s="1">
        <f>A281</f>
        <v>44966</v>
      </c>
      <c r="AC281" s="2">
        <f>B281</f>
        <v>85.96</v>
      </c>
      <c r="AD281" s="2">
        <f>279</f>
        <v>279</v>
      </c>
      <c r="AE281" s="2">
        <f>INTERCEPT($AC$3:$AC$1136,$AD$3:$AD$1136)+SLOPE($AC$3:$AC$1136,$AD$3:$AD$1136)*AD281</f>
        <v>77.083930545019925</v>
      </c>
      <c r="AF281" s="2">
        <f t="shared" si="8"/>
        <v>79.73559014542262</v>
      </c>
      <c r="AG281" s="2">
        <f t="shared" si="9"/>
        <v>74.43227094461723</v>
      </c>
      <c r="AH281" s="22">
        <f>AC281-AE281</f>
        <v>8.8760694549800689</v>
      </c>
    </row>
    <row r="282" spans="1:34" x14ac:dyDescent="0.25">
      <c r="A282" s="1">
        <f>DATEVALUE(Sheet1!A281)</f>
        <v>44967</v>
      </c>
      <c r="B282" s="2">
        <f>VALUE(Sheet1!B281)</f>
        <v>86.03</v>
      </c>
      <c r="C282" s="9">
        <f>(B282-B281)/B281</f>
        <v>8.1433224755708927E-4</v>
      </c>
      <c r="D282" s="2">
        <f>MAX(D281,B282)</f>
        <v>103.9</v>
      </c>
      <c r="E282" s="9">
        <f>(B282-D282)/D282</f>
        <v>-0.17199230028873921</v>
      </c>
      <c r="AB282" s="1">
        <f>A282</f>
        <v>44967</v>
      </c>
      <c r="AC282" s="2">
        <f>B282</f>
        <v>86.03</v>
      </c>
      <c r="AD282" s="2">
        <f>280</f>
        <v>280</v>
      </c>
      <c r="AE282" s="2">
        <f>INTERCEPT($AC$3:$AC$1136,$AD$3:$AD$1136)+SLOPE($AC$3:$AC$1136,$AD$3:$AD$1136)*AD282</f>
        <v>77.065218581607482</v>
      </c>
      <c r="AF282" s="2">
        <f t="shared" si="8"/>
        <v>79.716878182010177</v>
      </c>
      <c r="AG282" s="2">
        <f t="shared" si="9"/>
        <v>74.413558981204787</v>
      </c>
      <c r="AH282" s="22">
        <f>AC282-AE282</f>
        <v>8.9647814183925192</v>
      </c>
    </row>
    <row r="283" spans="1:34" x14ac:dyDescent="0.25">
      <c r="A283" s="1">
        <f>DATEVALUE(Sheet1!A282)</f>
        <v>44970</v>
      </c>
      <c r="B283" s="2">
        <f>VALUE(Sheet1!B282)</f>
        <v>85.86</v>
      </c>
      <c r="C283" s="9">
        <f>(B283-B282)/B282</f>
        <v>-1.9760548645821425E-3</v>
      </c>
      <c r="D283" s="2">
        <f>MAX(D282,B283)</f>
        <v>103.9</v>
      </c>
      <c r="E283" s="9">
        <f>(B283-D283)/D283</f>
        <v>-0.1736284889316651</v>
      </c>
      <c r="AB283" s="1">
        <f>A283</f>
        <v>44970</v>
      </c>
      <c r="AC283" s="2">
        <f>B283</f>
        <v>85.86</v>
      </c>
      <c r="AD283" s="2">
        <f>281</f>
        <v>281</v>
      </c>
      <c r="AE283" s="2">
        <f>INTERCEPT($AC$3:$AC$1136,$AD$3:$AD$1136)+SLOPE($AC$3:$AC$1136,$AD$3:$AD$1136)*AD283</f>
        <v>77.046506618195039</v>
      </c>
      <c r="AF283" s="2">
        <f t="shared" si="8"/>
        <v>79.698166218597734</v>
      </c>
      <c r="AG283" s="2">
        <f t="shared" si="9"/>
        <v>74.394847017792344</v>
      </c>
      <c r="AH283" s="22">
        <f>AC283-AE283</f>
        <v>8.8134933818049603</v>
      </c>
    </row>
    <row r="284" spans="1:34" x14ac:dyDescent="0.25">
      <c r="A284" s="1">
        <f>DATEVALUE(Sheet1!A283)</f>
        <v>44971</v>
      </c>
      <c r="B284" s="2">
        <f>VALUE(Sheet1!B283)</f>
        <v>86.26</v>
      </c>
      <c r="C284" s="9">
        <f>(B284-B283)/B283</f>
        <v>4.6587467971116433E-3</v>
      </c>
      <c r="D284" s="2">
        <f>MAX(D283,B284)</f>
        <v>103.9</v>
      </c>
      <c r="E284" s="9">
        <f>(B284-D284)/D284</f>
        <v>-0.1697786333012512</v>
      </c>
      <c r="AB284" s="1">
        <f>A284</f>
        <v>44971</v>
      </c>
      <c r="AC284" s="2">
        <f>B284</f>
        <v>86.26</v>
      </c>
      <c r="AD284" s="2">
        <f>282</f>
        <v>282</v>
      </c>
      <c r="AE284" s="2">
        <f>INTERCEPT($AC$3:$AC$1136,$AD$3:$AD$1136)+SLOPE($AC$3:$AC$1136,$AD$3:$AD$1136)*AD284</f>
        <v>77.027794654782582</v>
      </c>
      <c r="AF284" s="2">
        <f t="shared" si="8"/>
        <v>79.679454255185277</v>
      </c>
      <c r="AG284" s="2">
        <f t="shared" si="9"/>
        <v>74.376135054379887</v>
      </c>
      <c r="AH284" s="22">
        <f>AC284-AE284</f>
        <v>9.2322053452174231</v>
      </c>
    </row>
    <row r="285" spans="1:34" x14ac:dyDescent="0.25">
      <c r="A285" s="1">
        <f>DATEVALUE(Sheet1!A284)</f>
        <v>44972</v>
      </c>
      <c r="B285" s="2">
        <f>VALUE(Sheet1!B284)</f>
        <v>86.06</v>
      </c>
      <c r="C285" s="9">
        <f>(B285-B284)/B284</f>
        <v>-2.3185717597959984E-3</v>
      </c>
      <c r="D285" s="2">
        <f>MAX(D284,B285)</f>
        <v>103.9</v>
      </c>
      <c r="E285" s="9">
        <f>(B285-D285)/D285</f>
        <v>-0.17170356111645815</v>
      </c>
      <c r="AB285" s="1">
        <f>A285</f>
        <v>44972</v>
      </c>
      <c r="AC285" s="2">
        <f>B285</f>
        <v>86.06</v>
      </c>
      <c r="AD285" s="2">
        <f>283</f>
        <v>283</v>
      </c>
      <c r="AE285" s="2">
        <f>INTERCEPT($AC$3:$AC$1136,$AD$3:$AD$1136)+SLOPE($AC$3:$AC$1136,$AD$3:$AD$1136)*AD285</f>
        <v>77.009082691370139</v>
      </c>
      <c r="AF285" s="2">
        <f t="shared" si="8"/>
        <v>79.660742291772834</v>
      </c>
      <c r="AG285" s="2">
        <f t="shared" si="9"/>
        <v>74.357423090967444</v>
      </c>
      <c r="AH285" s="22">
        <f>AC285-AE285</f>
        <v>9.0509173086298631</v>
      </c>
    </row>
    <row r="286" spans="1:34" x14ac:dyDescent="0.25">
      <c r="A286" s="1">
        <f>DATEVALUE(Sheet1!A285)</f>
        <v>44973</v>
      </c>
      <c r="B286" s="2">
        <f>VALUE(Sheet1!B285)</f>
        <v>86.24</v>
      </c>
      <c r="C286" s="9">
        <f>(B286-B285)/B285</f>
        <v>2.0915640250986824E-3</v>
      </c>
      <c r="D286" s="2">
        <f>MAX(D285,B286)</f>
        <v>103.9</v>
      </c>
      <c r="E286" s="9">
        <f>(B286-D286)/D286</f>
        <v>-0.16997112608277198</v>
      </c>
      <c r="AB286" s="1">
        <f>A286</f>
        <v>44973</v>
      </c>
      <c r="AC286" s="2">
        <f>B286</f>
        <v>86.24</v>
      </c>
      <c r="AD286" s="2">
        <f>284</f>
        <v>284</v>
      </c>
      <c r="AE286" s="2">
        <f>INTERCEPT($AC$3:$AC$1136,$AD$3:$AD$1136)+SLOPE($AC$3:$AC$1136,$AD$3:$AD$1136)*AD286</f>
        <v>76.990370727957696</v>
      </c>
      <c r="AF286" s="2">
        <f t="shared" si="8"/>
        <v>79.642030328360391</v>
      </c>
      <c r="AG286" s="2">
        <f t="shared" si="9"/>
        <v>74.338711127555001</v>
      </c>
      <c r="AH286" s="22">
        <f>AC286-AE286</f>
        <v>9.2496292720422986</v>
      </c>
    </row>
    <row r="287" spans="1:34" x14ac:dyDescent="0.25">
      <c r="A287" s="1">
        <f>DATEVALUE(Sheet1!A286)</f>
        <v>44974</v>
      </c>
      <c r="B287" s="2">
        <f>VALUE(Sheet1!B286)</f>
        <v>85.73</v>
      </c>
      <c r="C287" s="9">
        <f>(B287-B286)/B286</f>
        <v>-5.9137291280147372E-3</v>
      </c>
      <c r="D287" s="2">
        <f>MAX(D286,B287)</f>
        <v>103.9</v>
      </c>
      <c r="E287" s="9">
        <f>(B287-D287)/D287</f>
        <v>-0.17487969201154957</v>
      </c>
      <c r="AB287" s="1">
        <f>A287</f>
        <v>44974</v>
      </c>
      <c r="AC287" s="2">
        <f>B287</f>
        <v>85.73</v>
      </c>
      <c r="AD287" s="2">
        <f>285</f>
        <v>285</v>
      </c>
      <c r="AE287" s="2">
        <f>INTERCEPT($AC$3:$AC$1136,$AD$3:$AD$1136)+SLOPE($AC$3:$AC$1136,$AD$3:$AD$1136)*AD287</f>
        <v>76.971658764545253</v>
      </c>
      <c r="AF287" s="2">
        <f t="shared" si="8"/>
        <v>79.623318364947949</v>
      </c>
      <c r="AG287" s="2">
        <f t="shared" si="9"/>
        <v>74.319999164142558</v>
      </c>
      <c r="AH287" s="22">
        <f>AC287-AE287</f>
        <v>8.7583412354547505</v>
      </c>
    </row>
    <row r="288" spans="1:34" x14ac:dyDescent="0.25">
      <c r="A288" s="1">
        <f>DATEVALUE(Sheet1!A287)</f>
        <v>44979</v>
      </c>
      <c r="B288" s="2">
        <f>VALUE(Sheet1!B287)</f>
        <v>86.06</v>
      </c>
      <c r="C288" s="9">
        <f>(B288-B287)/B287</f>
        <v>3.8492942960457049E-3</v>
      </c>
      <c r="D288" s="2">
        <f>MAX(D287,B288)</f>
        <v>103.9</v>
      </c>
      <c r="E288" s="9">
        <f>(B288-D288)/D288</f>
        <v>-0.17170356111645815</v>
      </c>
      <c r="AB288" s="1">
        <f>A288</f>
        <v>44979</v>
      </c>
      <c r="AC288" s="2">
        <f>B288</f>
        <v>86.06</v>
      </c>
      <c r="AD288" s="2">
        <f>286</f>
        <v>286</v>
      </c>
      <c r="AE288" s="2">
        <f>INTERCEPT($AC$3:$AC$1136,$AD$3:$AD$1136)+SLOPE($AC$3:$AC$1136,$AD$3:$AD$1136)*AD288</f>
        <v>76.952946801132796</v>
      </c>
      <c r="AF288" s="2">
        <f t="shared" si="8"/>
        <v>79.604606401535491</v>
      </c>
      <c r="AG288" s="2">
        <f t="shared" si="9"/>
        <v>74.301287200730101</v>
      </c>
      <c r="AH288" s="22">
        <f>AC288-AE288</f>
        <v>9.1070531988672059</v>
      </c>
    </row>
    <row r="289" spans="1:34" x14ac:dyDescent="0.25">
      <c r="A289" s="1">
        <f>DATEVALUE(Sheet1!A288)</f>
        <v>44980</v>
      </c>
      <c r="B289" s="2">
        <f>VALUE(Sheet1!B288)</f>
        <v>86.22</v>
      </c>
      <c r="C289" s="9">
        <f>(B289-B288)/B288</f>
        <v>1.8591680223099766E-3</v>
      </c>
      <c r="D289" s="2">
        <f>MAX(D288,B289)</f>
        <v>103.9</v>
      </c>
      <c r="E289" s="9">
        <f>(B289-D289)/D289</f>
        <v>-0.17016361886429265</v>
      </c>
      <c r="AB289" s="1">
        <f>A289</f>
        <v>44980</v>
      </c>
      <c r="AC289" s="2">
        <f>B289</f>
        <v>86.22</v>
      </c>
      <c r="AD289" s="2">
        <f>287</f>
        <v>287</v>
      </c>
      <c r="AE289" s="2">
        <f>INTERCEPT($AC$3:$AC$1136,$AD$3:$AD$1136)+SLOPE($AC$3:$AC$1136,$AD$3:$AD$1136)*AD289</f>
        <v>76.934234837720354</v>
      </c>
      <c r="AF289" s="2">
        <f t="shared" si="8"/>
        <v>79.585894438123049</v>
      </c>
      <c r="AG289" s="2">
        <f t="shared" si="9"/>
        <v>74.282575237317658</v>
      </c>
      <c r="AH289" s="22">
        <f>AC289-AE289</f>
        <v>9.2857651622796453</v>
      </c>
    </row>
    <row r="290" spans="1:34" x14ac:dyDescent="0.25">
      <c r="A290" s="1">
        <f>DATEVALUE(Sheet1!A289)</f>
        <v>44981</v>
      </c>
      <c r="B290" s="2">
        <f>VALUE(Sheet1!B289)</f>
        <v>85.83</v>
      </c>
      <c r="C290" s="9">
        <f>(B290-B289)/B289</f>
        <v>-4.5233124565066179E-3</v>
      </c>
      <c r="D290" s="2">
        <f>MAX(D289,B290)</f>
        <v>103.9</v>
      </c>
      <c r="E290" s="9">
        <f>(B290-D290)/D290</f>
        <v>-0.17391722810394616</v>
      </c>
      <c r="AB290" s="1">
        <f>A290</f>
        <v>44981</v>
      </c>
      <c r="AC290" s="2">
        <f>B290</f>
        <v>85.83</v>
      </c>
      <c r="AD290" s="2">
        <f>288</f>
        <v>288</v>
      </c>
      <c r="AE290" s="2">
        <f>INTERCEPT($AC$3:$AC$1136,$AD$3:$AD$1136)+SLOPE($AC$3:$AC$1136,$AD$3:$AD$1136)*AD290</f>
        <v>76.915522874307911</v>
      </c>
      <c r="AF290" s="2">
        <f t="shared" si="8"/>
        <v>79.567182474710606</v>
      </c>
      <c r="AG290" s="2">
        <f t="shared" si="9"/>
        <v>74.263863273905216</v>
      </c>
      <c r="AH290" s="22">
        <f>AC290-AE290</f>
        <v>8.9144771256920876</v>
      </c>
    </row>
    <row r="291" spans="1:34" x14ac:dyDescent="0.25">
      <c r="A291" s="1">
        <f>DATEVALUE(Sheet1!A290)</f>
        <v>44984</v>
      </c>
      <c r="B291" s="2">
        <f>VALUE(Sheet1!B290)</f>
        <v>86.4</v>
      </c>
      <c r="C291" s="9">
        <f>(B291-B290)/B290</f>
        <v>6.6410346032856511E-3</v>
      </c>
      <c r="D291" s="2">
        <f>MAX(D290,B291)</f>
        <v>103.9</v>
      </c>
      <c r="E291" s="9">
        <f>(B291-D291)/D291</f>
        <v>-0.16843118383060635</v>
      </c>
      <c r="AB291" s="1">
        <f>A291</f>
        <v>44984</v>
      </c>
      <c r="AC291" s="2">
        <f>B291</f>
        <v>86.4</v>
      </c>
      <c r="AD291" s="2">
        <f>289</f>
        <v>289</v>
      </c>
      <c r="AE291" s="2">
        <f>INTERCEPT($AC$3:$AC$1136,$AD$3:$AD$1136)+SLOPE($AC$3:$AC$1136,$AD$3:$AD$1136)*AD291</f>
        <v>76.896810910895468</v>
      </c>
      <c r="AF291" s="2">
        <f t="shared" si="8"/>
        <v>79.548470511298163</v>
      </c>
      <c r="AG291" s="2">
        <f t="shared" si="9"/>
        <v>74.245151310492773</v>
      </c>
      <c r="AH291" s="22">
        <f>AC291-AE291</f>
        <v>9.5031890891045379</v>
      </c>
    </row>
    <row r="292" spans="1:34" x14ac:dyDescent="0.25">
      <c r="A292" s="1">
        <f>DATEVALUE(Sheet1!A291)</f>
        <v>44985</v>
      </c>
      <c r="B292" s="2">
        <f>VALUE(Sheet1!B291)</f>
        <v>86.08</v>
      </c>
      <c r="C292" s="9">
        <f>(B292-B291)/B291</f>
        <v>-3.7037037037037888E-3</v>
      </c>
      <c r="D292" s="2">
        <f>MAX(D291,B292)</f>
        <v>103.9</v>
      </c>
      <c r="E292" s="9">
        <f>(B292-D292)/D292</f>
        <v>-0.17151106833493751</v>
      </c>
      <c r="AB292" s="1">
        <f>A292</f>
        <v>44985</v>
      </c>
      <c r="AC292" s="2">
        <f>B292</f>
        <v>86.08</v>
      </c>
      <c r="AD292" s="2">
        <f>290</f>
        <v>290</v>
      </c>
      <c r="AE292" s="2">
        <f>INTERCEPT($AC$3:$AC$1136,$AD$3:$AD$1136)+SLOPE($AC$3:$AC$1136,$AD$3:$AD$1136)*AD292</f>
        <v>76.878098947483011</v>
      </c>
      <c r="AF292" s="2">
        <f t="shared" si="8"/>
        <v>79.529758547885706</v>
      </c>
      <c r="AG292" s="2">
        <f t="shared" si="9"/>
        <v>74.226439347080316</v>
      </c>
      <c r="AH292" s="22">
        <f>AC292-AE292</f>
        <v>9.2019010525169875</v>
      </c>
    </row>
    <row r="293" spans="1:34" x14ac:dyDescent="0.25">
      <c r="A293" s="1">
        <f>DATEVALUE(Sheet1!A292)</f>
        <v>44986</v>
      </c>
      <c r="B293" s="2">
        <f>VALUE(Sheet1!B292)</f>
        <v>86.11</v>
      </c>
      <c r="C293" s="9">
        <f>(B293-B292)/B292</f>
        <v>3.4851301115242957E-4</v>
      </c>
      <c r="D293" s="2">
        <f>MAX(D292,B293)</f>
        <v>103.9</v>
      </c>
      <c r="E293" s="9">
        <f>(B293-D293)/D293</f>
        <v>-0.17122232916265645</v>
      </c>
      <c r="AB293" s="1">
        <f>A293</f>
        <v>44986</v>
      </c>
      <c r="AC293" s="2">
        <f>B293</f>
        <v>86.11</v>
      </c>
      <c r="AD293" s="2">
        <f>291</f>
        <v>291</v>
      </c>
      <c r="AE293" s="2">
        <f>INTERCEPT($AC$3:$AC$1136,$AD$3:$AD$1136)+SLOPE($AC$3:$AC$1136,$AD$3:$AD$1136)*AD293</f>
        <v>76.859386984070568</v>
      </c>
      <c r="AF293" s="2">
        <f t="shared" si="8"/>
        <v>79.511046584473263</v>
      </c>
      <c r="AG293" s="2">
        <f t="shared" si="9"/>
        <v>74.207727383667873</v>
      </c>
      <c r="AH293" s="22">
        <f>AC293-AE293</f>
        <v>9.2506130159294315</v>
      </c>
    </row>
    <row r="294" spans="1:34" x14ac:dyDescent="0.25">
      <c r="A294" s="1">
        <f>DATEVALUE(Sheet1!A293)</f>
        <v>44987</v>
      </c>
      <c r="B294" s="2">
        <f>VALUE(Sheet1!B293)</f>
        <v>86.36</v>
      </c>
      <c r="C294" s="9">
        <f>(B294-B293)/B293</f>
        <v>2.9032632679131345E-3</v>
      </c>
      <c r="D294" s="2">
        <f>MAX(D293,B294)</f>
        <v>103.9</v>
      </c>
      <c r="E294" s="9">
        <f>(B294-D294)/D294</f>
        <v>-0.1688161693936478</v>
      </c>
      <c r="AB294" s="1">
        <f>A294</f>
        <v>44987</v>
      </c>
      <c r="AC294" s="2">
        <f>B294</f>
        <v>86.36</v>
      </c>
      <c r="AD294" s="2">
        <f>292</f>
        <v>292</v>
      </c>
      <c r="AE294" s="2">
        <f>INTERCEPT($AC$3:$AC$1136,$AD$3:$AD$1136)+SLOPE($AC$3:$AC$1136,$AD$3:$AD$1136)*AD294</f>
        <v>76.840675020658125</v>
      </c>
      <c r="AF294" s="2">
        <f t="shared" si="8"/>
        <v>79.49233462106082</v>
      </c>
      <c r="AG294" s="2">
        <f t="shared" si="9"/>
        <v>74.18901542025543</v>
      </c>
      <c r="AH294" s="22">
        <f>AC294-AE294</f>
        <v>9.5193249793418744</v>
      </c>
    </row>
    <row r="295" spans="1:34" x14ac:dyDescent="0.25">
      <c r="A295" s="1">
        <f>DATEVALUE(Sheet1!A294)</f>
        <v>44988</v>
      </c>
      <c r="B295" s="2">
        <f>VALUE(Sheet1!B294)</f>
        <v>86.22</v>
      </c>
      <c r="C295" s="9">
        <f>(B295-B294)/B294</f>
        <v>-1.6211208893006088E-3</v>
      </c>
      <c r="D295" s="2">
        <f>MAX(D294,B295)</f>
        <v>103.9</v>
      </c>
      <c r="E295" s="9">
        <f>(B295-D295)/D295</f>
        <v>-0.17016361886429265</v>
      </c>
      <c r="AB295" s="1">
        <f>A295</f>
        <v>44988</v>
      </c>
      <c r="AC295" s="2">
        <f>B295</f>
        <v>86.22</v>
      </c>
      <c r="AD295" s="2">
        <f>293</f>
        <v>293</v>
      </c>
      <c r="AE295" s="2">
        <f>INTERCEPT($AC$3:$AC$1136,$AD$3:$AD$1136)+SLOPE($AC$3:$AC$1136,$AD$3:$AD$1136)*AD295</f>
        <v>76.821963057245668</v>
      </c>
      <c r="AF295" s="2">
        <f t="shared" si="8"/>
        <v>79.473622657648363</v>
      </c>
      <c r="AG295" s="2">
        <f t="shared" si="9"/>
        <v>74.170303456842973</v>
      </c>
      <c r="AH295" s="22">
        <f>AC295-AE295</f>
        <v>9.3980369427543309</v>
      </c>
    </row>
    <row r="296" spans="1:34" x14ac:dyDescent="0.25">
      <c r="A296" s="1">
        <f>DATEVALUE(Sheet1!A295)</f>
        <v>44991</v>
      </c>
      <c r="B296" s="2">
        <f>VALUE(Sheet1!B295)</f>
        <v>86.15</v>
      </c>
      <c r="C296" s="9">
        <f>(B296-B295)/B295</f>
        <v>-8.1187659475751776E-4</v>
      </c>
      <c r="D296" s="2">
        <f>MAX(D295,B296)</f>
        <v>103.9</v>
      </c>
      <c r="E296" s="9">
        <f>(B296-D296)/D296</f>
        <v>-0.170837343599615</v>
      </c>
      <c r="AB296" s="1">
        <f>A296</f>
        <v>44991</v>
      </c>
      <c r="AC296" s="2">
        <f>B296</f>
        <v>86.15</v>
      </c>
      <c r="AD296" s="2">
        <f>294</f>
        <v>294</v>
      </c>
      <c r="AE296" s="2">
        <f>INTERCEPT($AC$3:$AC$1136,$AD$3:$AD$1136)+SLOPE($AC$3:$AC$1136,$AD$3:$AD$1136)*AD296</f>
        <v>76.803251093833225</v>
      </c>
      <c r="AF296" s="2">
        <f t="shared" si="8"/>
        <v>79.45491069423592</v>
      </c>
      <c r="AG296" s="2">
        <f t="shared" si="9"/>
        <v>74.15159149343053</v>
      </c>
      <c r="AH296" s="22">
        <f>AC296-AE296</f>
        <v>9.3467489061667806</v>
      </c>
    </row>
    <row r="297" spans="1:34" x14ac:dyDescent="0.25">
      <c r="A297" s="1">
        <f>DATEVALUE(Sheet1!A296)</f>
        <v>44992</v>
      </c>
      <c r="B297" s="2">
        <f>VALUE(Sheet1!B296)</f>
        <v>85.84</v>
      </c>
      <c r="C297" s="9">
        <f>(B297-B296)/B296</f>
        <v>-3.5983749274521447E-3</v>
      </c>
      <c r="D297" s="2">
        <f>MAX(D296,B297)</f>
        <v>103.9</v>
      </c>
      <c r="E297" s="9">
        <f>(B297-D297)/D297</f>
        <v>-0.17382098171318577</v>
      </c>
      <c r="AB297" s="1">
        <f>A297</f>
        <v>44992</v>
      </c>
      <c r="AC297" s="2">
        <f>B297</f>
        <v>85.84</v>
      </c>
      <c r="AD297" s="2">
        <f>295</f>
        <v>295</v>
      </c>
      <c r="AE297" s="2">
        <f>INTERCEPT($AC$3:$AC$1136,$AD$3:$AD$1136)+SLOPE($AC$3:$AC$1136,$AD$3:$AD$1136)*AD297</f>
        <v>76.784539130420782</v>
      </c>
      <c r="AF297" s="2">
        <f t="shared" si="8"/>
        <v>79.436198730823477</v>
      </c>
      <c r="AG297" s="2">
        <f t="shared" si="9"/>
        <v>74.132879530018087</v>
      </c>
      <c r="AH297" s="22">
        <f>AC297-AE297</f>
        <v>9.0554608695792211</v>
      </c>
    </row>
    <row r="298" spans="1:34" x14ac:dyDescent="0.25">
      <c r="A298" s="1">
        <f>DATEVALUE(Sheet1!A297)</f>
        <v>44993</v>
      </c>
      <c r="B298" s="2">
        <f>VALUE(Sheet1!B297)</f>
        <v>86.03</v>
      </c>
      <c r="C298" s="9">
        <f>(B298-B297)/B297</f>
        <v>2.2134203168685663E-3</v>
      </c>
      <c r="D298" s="2">
        <f>MAX(D297,B298)</f>
        <v>103.9</v>
      </c>
      <c r="E298" s="9">
        <f>(B298-D298)/D298</f>
        <v>-0.17199230028873921</v>
      </c>
      <c r="AB298" s="1">
        <f>A298</f>
        <v>44993</v>
      </c>
      <c r="AC298" s="2">
        <f>B298</f>
        <v>86.03</v>
      </c>
      <c r="AD298" s="2">
        <f>296</f>
        <v>296</v>
      </c>
      <c r="AE298" s="2">
        <f>INTERCEPT($AC$3:$AC$1136,$AD$3:$AD$1136)+SLOPE($AC$3:$AC$1136,$AD$3:$AD$1136)*AD298</f>
        <v>76.765827167008339</v>
      </c>
      <c r="AF298" s="2">
        <f t="shared" si="8"/>
        <v>79.417486767411035</v>
      </c>
      <c r="AG298" s="2">
        <f t="shared" si="9"/>
        <v>74.114167566605644</v>
      </c>
      <c r="AH298" s="22">
        <f>AC298-AE298</f>
        <v>9.2641728329916617</v>
      </c>
    </row>
    <row r="299" spans="1:34" x14ac:dyDescent="0.25">
      <c r="A299" s="1">
        <f>DATEVALUE(Sheet1!A298)</f>
        <v>44994</v>
      </c>
      <c r="B299" s="2">
        <f>VALUE(Sheet1!B298)</f>
        <v>85.47</v>
      </c>
      <c r="C299" s="9">
        <f>(B299-B298)/B298</f>
        <v>-6.5093572009764303E-3</v>
      </c>
      <c r="D299" s="2">
        <f>MAX(D298,B299)</f>
        <v>103.9</v>
      </c>
      <c r="E299" s="9">
        <f>(B299-D299)/D299</f>
        <v>-0.17738209817131864</v>
      </c>
      <c r="AB299" s="1">
        <f>A299</f>
        <v>44994</v>
      </c>
      <c r="AC299" s="2">
        <f>B299</f>
        <v>85.47</v>
      </c>
      <c r="AD299" s="2">
        <f>297</f>
        <v>297</v>
      </c>
      <c r="AE299" s="2">
        <f>INTERCEPT($AC$3:$AC$1136,$AD$3:$AD$1136)+SLOPE($AC$3:$AC$1136,$AD$3:$AD$1136)*AD299</f>
        <v>76.747115203595882</v>
      </c>
      <c r="AF299" s="2">
        <f t="shared" si="8"/>
        <v>79.398774803998577</v>
      </c>
      <c r="AG299" s="2">
        <f t="shared" si="9"/>
        <v>74.095455603193187</v>
      </c>
      <c r="AH299" s="22">
        <f>AC299-AE299</f>
        <v>8.7228847964041165</v>
      </c>
    </row>
    <row r="300" spans="1:34" x14ac:dyDescent="0.25">
      <c r="A300" s="1">
        <f>DATEVALUE(Sheet1!A299)</f>
        <v>44995</v>
      </c>
      <c r="B300" s="2">
        <f>VALUE(Sheet1!B299)</f>
        <v>85.32</v>
      </c>
      <c r="C300" s="9">
        <f>(B300-B299)/B299</f>
        <v>-1.7550017550018214E-3</v>
      </c>
      <c r="D300" s="2">
        <f>MAX(D299,B300)</f>
        <v>103.9</v>
      </c>
      <c r="E300" s="9">
        <f>(B300-D300)/D300</f>
        <v>-0.17882579403272389</v>
      </c>
      <c r="AB300" s="1">
        <f>A300</f>
        <v>44995</v>
      </c>
      <c r="AC300" s="2">
        <f>B300</f>
        <v>85.32</v>
      </c>
      <c r="AD300" s="2">
        <f>298</f>
        <v>298</v>
      </c>
      <c r="AE300" s="2">
        <f>INTERCEPT($AC$3:$AC$1136,$AD$3:$AD$1136)+SLOPE($AC$3:$AC$1136,$AD$3:$AD$1136)*AD300</f>
        <v>76.728403240183439</v>
      </c>
      <c r="AF300" s="2">
        <f t="shared" si="8"/>
        <v>79.380062840586135</v>
      </c>
      <c r="AG300" s="2">
        <f t="shared" si="9"/>
        <v>74.076743639780744</v>
      </c>
      <c r="AH300" s="22">
        <f>AC300-AE300</f>
        <v>8.5915967598165537</v>
      </c>
    </row>
    <row r="301" spans="1:34" x14ac:dyDescent="0.25">
      <c r="A301" s="1">
        <f>DATEVALUE(Sheet1!A300)</f>
        <v>44998</v>
      </c>
      <c r="B301" s="2">
        <f>VALUE(Sheet1!B300)</f>
        <v>85.61</v>
      </c>
      <c r="C301" s="9">
        <f>(B301-B300)/B300</f>
        <v>3.3989685888420802E-3</v>
      </c>
      <c r="D301" s="2">
        <f>MAX(D300,B301)</f>
        <v>103.9</v>
      </c>
      <c r="E301" s="9">
        <f>(B301-D301)/D301</f>
        <v>-0.17603464870067378</v>
      </c>
      <c r="AB301" s="1">
        <f>A301</f>
        <v>44998</v>
      </c>
      <c r="AC301" s="2">
        <f>B301</f>
        <v>85.61</v>
      </c>
      <c r="AD301" s="2">
        <f>299</f>
        <v>299</v>
      </c>
      <c r="AE301" s="2">
        <f>INTERCEPT($AC$3:$AC$1136,$AD$3:$AD$1136)+SLOPE($AC$3:$AC$1136,$AD$3:$AD$1136)*AD301</f>
        <v>76.709691276770997</v>
      </c>
      <c r="AF301" s="2">
        <f t="shared" si="8"/>
        <v>79.361350877173692</v>
      </c>
      <c r="AG301" s="2">
        <f t="shared" si="9"/>
        <v>74.058031676368302</v>
      </c>
      <c r="AH301" s="22">
        <f>AC301-AE301</f>
        <v>8.9003087232290028</v>
      </c>
    </row>
    <row r="302" spans="1:34" x14ac:dyDescent="0.25">
      <c r="A302" s="1">
        <f>DATEVALUE(Sheet1!A301)</f>
        <v>44999</v>
      </c>
      <c r="B302" s="2">
        <f>VALUE(Sheet1!B301)</f>
        <v>85.42</v>
      </c>
      <c r="C302" s="9">
        <f>(B302-B301)/B301</f>
        <v>-2.2193668963905819E-3</v>
      </c>
      <c r="D302" s="2">
        <f>MAX(D301,B302)</f>
        <v>103.9</v>
      </c>
      <c r="E302" s="9">
        <f>(B302-D302)/D302</f>
        <v>-0.17786333012512034</v>
      </c>
      <c r="AB302" s="1">
        <f>A302</f>
        <v>44999</v>
      </c>
      <c r="AC302" s="2">
        <f>B302</f>
        <v>85.42</v>
      </c>
      <c r="AD302" s="2">
        <f>300</f>
        <v>300</v>
      </c>
      <c r="AE302" s="2">
        <f>INTERCEPT($AC$3:$AC$1136,$AD$3:$AD$1136)+SLOPE($AC$3:$AC$1136,$AD$3:$AD$1136)*AD302</f>
        <v>76.690979313358554</v>
      </c>
      <c r="AF302" s="2">
        <f t="shared" si="8"/>
        <v>79.342638913761249</v>
      </c>
      <c r="AG302" s="2">
        <f t="shared" si="9"/>
        <v>74.039319712955859</v>
      </c>
      <c r="AH302" s="22">
        <f>AC302-AE302</f>
        <v>8.7290206866414479</v>
      </c>
    </row>
    <row r="303" spans="1:34" x14ac:dyDescent="0.25">
      <c r="A303" s="1">
        <f>DATEVALUE(Sheet1!A302)</f>
        <v>45000</v>
      </c>
      <c r="B303" s="2">
        <f>VALUE(Sheet1!B302)</f>
        <v>85.49</v>
      </c>
      <c r="C303" s="9">
        <f>(B303-B302)/B302</f>
        <v>8.1948021540614814E-4</v>
      </c>
      <c r="D303" s="2">
        <f>MAX(D302,B303)</f>
        <v>103.9</v>
      </c>
      <c r="E303" s="9">
        <f>(B303-D303)/D303</f>
        <v>-0.17718960538979797</v>
      </c>
      <c r="AB303" s="1">
        <f>A303</f>
        <v>45000</v>
      </c>
      <c r="AC303" s="2">
        <f>B303</f>
        <v>85.49</v>
      </c>
      <c r="AD303" s="2">
        <f>301</f>
        <v>301</v>
      </c>
      <c r="AE303" s="2">
        <f>INTERCEPT($AC$3:$AC$1136,$AD$3:$AD$1136)+SLOPE($AC$3:$AC$1136,$AD$3:$AD$1136)*AD303</f>
        <v>76.672267349946097</v>
      </c>
      <c r="AF303" s="2">
        <f t="shared" si="8"/>
        <v>79.323926950348792</v>
      </c>
      <c r="AG303" s="2">
        <f t="shared" si="9"/>
        <v>74.020607749543402</v>
      </c>
      <c r="AH303" s="22">
        <f>AC303-AE303</f>
        <v>8.8177326500538982</v>
      </c>
    </row>
    <row r="304" spans="1:34" x14ac:dyDescent="0.25">
      <c r="A304" s="1">
        <f>DATEVALUE(Sheet1!A303)</f>
        <v>45001</v>
      </c>
      <c r="B304" s="2">
        <f>VALUE(Sheet1!B303)</f>
        <v>85.37</v>
      </c>
      <c r="C304" s="9">
        <f>(B304-B303)/B303</f>
        <v>-1.4036729442038875E-3</v>
      </c>
      <c r="D304" s="2">
        <f>MAX(D303,B304)</f>
        <v>103.9</v>
      </c>
      <c r="E304" s="9">
        <f>(B304-D304)/D304</f>
        <v>-0.17834456207892205</v>
      </c>
      <c r="AB304" s="1">
        <f>A304</f>
        <v>45001</v>
      </c>
      <c r="AC304" s="2">
        <f>B304</f>
        <v>85.37</v>
      </c>
      <c r="AD304" s="2">
        <f>302</f>
        <v>302</v>
      </c>
      <c r="AE304" s="2">
        <f>INTERCEPT($AC$3:$AC$1136,$AD$3:$AD$1136)+SLOPE($AC$3:$AC$1136,$AD$3:$AD$1136)*AD304</f>
        <v>76.653555386533654</v>
      </c>
      <c r="AF304" s="2">
        <f t="shared" si="8"/>
        <v>79.305214986936349</v>
      </c>
      <c r="AG304" s="2">
        <f t="shared" si="9"/>
        <v>74.001895786130959</v>
      </c>
      <c r="AH304" s="22">
        <f>AC304-AE304</f>
        <v>8.7164446134663507</v>
      </c>
    </row>
    <row r="305" spans="1:34" x14ac:dyDescent="0.25">
      <c r="A305" s="1">
        <f>DATEVALUE(Sheet1!A304)</f>
        <v>45002</v>
      </c>
      <c r="B305" s="2">
        <f>VALUE(Sheet1!B304)</f>
        <v>85.24</v>
      </c>
      <c r="C305" s="9">
        <f>(B305-B304)/B304</f>
        <v>-1.5227831791028424E-3</v>
      </c>
      <c r="D305" s="2">
        <f>MAX(D304,B305)</f>
        <v>103.9</v>
      </c>
      <c r="E305" s="9">
        <f>(B305-D305)/D305</f>
        <v>-0.17959576515880663</v>
      </c>
      <c r="AB305" s="1">
        <f>A305</f>
        <v>45002</v>
      </c>
      <c r="AC305" s="2">
        <f>B305</f>
        <v>85.24</v>
      </c>
      <c r="AD305" s="2">
        <f>303</f>
        <v>303</v>
      </c>
      <c r="AE305" s="2">
        <f>INTERCEPT($AC$3:$AC$1136,$AD$3:$AD$1136)+SLOPE($AC$3:$AC$1136,$AD$3:$AD$1136)*AD305</f>
        <v>76.634843423121211</v>
      </c>
      <c r="AF305" s="2">
        <f t="shared" si="8"/>
        <v>79.286503023523906</v>
      </c>
      <c r="AG305" s="2">
        <f t="shared" si="9"/>
        <v>73.983183822718516</v>
      </c>
      <c r="AH305" s="22">
        <f>AC305-AE305</f>
        <v>8.6051565768787839</v>
      </c>
    </row>
    <row r="306" spans="1:34" x14ac:dyDescent="0.25">
      <c r="A306" s="1">
        <f>DATEVALUE(Sheet1!A305)</f>
        <v>45005</v>
      </c>
      <c r="B306" s="2">
        <f>VALUE(Sheet1!B305)</f>
        <v>84.66</v>
      </c>
      <c r="C306" s="9">
        <f>(B306-B305)/B305</f>
        <v>-6.8043172219615011E-3</v>
      </c>
      <c r="D306" s="2">
        <f>MAX(D305,B306)</f>
        <v>103.9</v>
      </c>
      <c r="E306" s="9">
        <f>(B306-D306)/D306</f>
        <v>-0.18517805582290672</v>
      </c>
      <c r="AB306" s="1">
        <f>A306</f>
        <v>45005</v>
      </c>
      <c r="AC306" s="2">
        <f>B306</f>
        <v>84.66</v>
      </c>
      <c r="AD306" s="2">
        <f>304</f>
        <v>304</v>
      </c>
      <c r="AE306" s="2">
        <f>INTERCEPT($AC$3:$AC$1136,$AD$3:$AD$1136)+SLOPE($AC$3:$AC$1136,$AD$3:$AD$1136)*AD306</f>
        <v>76.616131459708754</v>
      </c>
      <c r="AF306" s="2">
        <f t="shared" si="8"/>
        <v>79.267791060111449</v>
      </c>
      <c r="AG306" s="2">
        <f t="shared" si="9"/>
        <v>73.964471859306059</v>
      </c>
      <c r="AH306" s="22">
        <f>AC306-AE306</f>
        <v>8.0438685402912427</v>
      </c>
    </row>
    <row r="307" spans="1:34" x14ac:dyDescent="0.25">
      <c r="A307" s="1">
        <f>DATEVALUE(Sheet1!A306)</f>
        <v>45006</v>
      </c>
      <c r="B307" s="2">
        <f>VALUE(Sheet1!B306)</f>
        <v>84.46</v>
      </c>
      <c r="C307" s="9">
        <f>(B307-B306)/B306</f>
        <v>-2.3623907394283352E-3</v>
      </c>
      <c r="D307" s="2">
        <f>MAX(D306,B307)</f>
        <v>103.9</v>
      </c>
      <c r="E307" s="9">
        <f>(B307-D307)/D307</f>
        <v>-0.18710298363811367</v>
      </c>
      <c r="AB307" s="1">
        <f>A307</f>
        <v>45006</v>
      </c>
      <c r="AC307" s="2">
        <f>B307</f>
        <v>84.46</v>
      </c>
      <c r="AD307" s="2">
        <f>305</f>
        <v>305</v>
      </c>
      <c r="AE307" s="2">
        <f>INTERCEPT($AC$3:$AC$1136,$AD$3:$AD$1136)+SLOPE($AC$3:$AC$1136,$AD$3:$AD$1136)*AD307</f>
        <v>76.597419496296311</v>
      </c>
      <c r="AF307" s="2">
        <f t="shared" si="8"/>
        <v>79.249079096699006</v>
      </c>
      <c r="AG307" s="2">
        <f t="shared" si="9"/>
        <v>73.945759895893616</v>
      </c>
      <c r="AH307" s="22">
        <f>AC307-AE307</f>
        <v>7.8625805037036827</v>
      </c>
    </row>
    <row r="308" spans="1:34" x14ac:dyDescent="0.25">
      <c r="A308" s="1">
        <f>DATEVALUE(Sheet1!A307)</f>
        <v>45007</v>
      </c>
      <c r="B308" s="2">
        <f>VALUE(Sheet1!B307)</f>
        <v>84.36</v>
      </c>
      <c r="C308" s="9">
        <f>(B308-B307)/B307</f>
        <v>-1.1839924224484291E-3</v>
      </c>
      <c r="D308" s="2">
        <f>MAX(D307,B308)</f>
        <v>103.9</v>
      </c>
      <c r="E308" s="9">
        <f>(B308-D308)/D308</f>
        <v>-0.18806544754571708</v>
      </c>
      <c r="AB308" s="1">
        <f>A308</f>
        <v>45007</v>
      </c>
      <c r="AC308" s="2">
        <f>B308</f>
        <v>84.36</v>
      </c>
      <c r="AD308" s="2">
        <f>306</f>
        <v>306</v>
      </c>
      <c r="AE308" s="2">
        <f>INTERCEPT($AC$3:$AC$1136,$AD$3:$AD$1136)+SLOPE($AC$3:$AC$1136,$AD$3:$AD$1136)*AD308</f>
        <v>76.578707532883868</v>
      </c>
      <c r="AF308" s="2">
        <f t="shared" si="8"/>
        <v>79.230367133286563</v>
      </c>
      <c r="AG308" s="2">
        <f t="shared" si="9"/>
        <v>73.927047932481173</v>
      </c>
      <c r="AH308" s="22">
        <f>AC308-AE308</f>
        <v>7.7812924671161312</v>
      </c>
    </row>
    <row r="309" spans="1:34" x14ac:dyDescent="0.25">
      <c r="A309" s="1">
        <f>DATEVALUE(Sheet1!A308)</f>
        <v>45008</v>
      </c>
      <c r="B309" s="2">
        <f>VALUE(Sheet1!B308)</f>
        <v>83.91</v>
      </c>
      <c r="C309" s="9">
        <f>(B309-B308)/B308</f>
        <v>-5.3342816500711572E-3</v>
      </c>
      <c r="D309" s="2">
        <f>MAX(D308,B309)</f>
        <v>103.9</v>
      </c>
      <c r="E309" s="9">
        <f>(B309-D309)/D309</f>
        <v>-0.19239653512993271</v>
      </c>
      <c r="AB309" s="1">
        <f>A309</f>
        <v>45008</v>
      </c>
      <c r="AC309" s="2">
        <f>B309</f>
        <v>83.91</v>
      </c>
      <c r="AD309" s="2">
        <f>307</f>
        <v>307</v>
      </c>
      <c r="AE309" s="2">
        <f>INTERCEPT($AC$3:$AC$1136,$AD$3:$AD$1136)+SLOPE($AC$3:$AC$1136,$AD$3:$AD$1136)*AD309</f>
        <v>76.559995569471425</v>
      </c>
      <c r="AF309" s="2">
        <f t="shared" si="8"/>
        <v>79.21165516987412</v>
      </c>
      <c r="AG309" s="2">
        <f t="shared" si="9"/>
        <v>73.90833596906873</v>
      </c>
      <c r="AH309" s="22">
        <f>AC309-AE309</f>
        <v>7.3500044305285712</v>
      </c>
    </row>
    <row r="310" spans="1:34" x14ac:dyDescent="0.25">
      <c r="A310" s="1">
        <f>DATEVALUE(Sheet1!A309)</f>
        <v>45009</v>
      </c>
      <c r="B310" s="2">
        <f>VALUE(Sheet1!B309)</f>
        <v>84.18</v>
      </c>
      <c r="C310" s="9">
        <f>(B310-B309)/B309</f>
        <v>3.2177332856633328E-3</v>
      </c>
      <c r="D310" s="2">
        <f>MAX(D309,B310)</f>
        <v>103.9</v>
      </c>
      <c r="E310" s="9">
        <f>(B310-D310)/D310</f>
        <v>-0.18979788257940325</v>
      </c>
      <c r="AB310" s="1">
        <f>A310</f>
        <v>45009</v>
      </c>
      <c r="AC310" s="2">
        <f>B310</f>
        <v>84.18</v>
      </c>
      <c r="AD310" s="2">
        <f>308</f>
        <v>308</v>
      </c>
      <c r="AE310" s="2">
        <f>INTERCEPT($AC$3:$AC$1136,$AD$3:$AD$1136)+SLOPE($AC$3:$AC$1136,$AD$3:$AD$1136)*AD310</f>
        <v>76.541283606058968</v>
      </c>
      <c r="AF310" s="2">
        <f t="shared" si="8"/>
        <v>79.192943206461663</v>
      </c>
      <c r="AG310" s="2">
        <f t="shared" si="9"/>
        <v>73.889624005656273</v>
      </c>
      <c r="AH310" s="22">
        <f>AC310-AE310</f>
        <v>7.6387163939410385</v>
      </c>
    </row>
    <row r="311" spans="1:34" x14ac:dyDescent="0.25">
      <c r="A311" s="1">
        <f>DATEVALUE(Sheet1!A310)</f>
        <v>45012</v>
      </c>
      <c r="B311" s="2">
        <f>VALUE(Sheet1!B310)</f>
        <v>84</v>
      </c>
      <c r="C311" s="9">
        <f>(B311-B310)/B310</f>
        <v>-2.1382751247327964E-3</v>
      </c>
      <c r="D311" s="2">
        <f>MAX(D310,B311)</f>
        <v>103.9</v>
      </c>
      <c r="E311" s="9">
        <f>(B311-D311)/D311</f>
        <v>-0.19153031761308956</v>
      </c>
      <c r="AB311" s="1">
        <f>A311</f>
        <v>45012</v>
      </c>
      <c r="AC311" s="2">
        <f>B311</f>
        <v>84</v>
      </c>
      <c r="AD311" s="2">
        <f>309</f>
        <v>309</v>
      </c>
      <c r="AE311" s="2">
        <f>INTERCEPT($AC$3:$AC$1136,$AD$3:$AD$1136)+SLOPE($AC$3:$AC$1136,$AD$3:$AD$1136)*AD311</f>
        <v>76.522571642646525</v>
      </c>
      <c r="AF311" s="2">
        <f t="shared" si="8"/>
        <v>79.174231243049221</v>
      </c>
      <c r="AG311" s="2">
        <f t="shared" si="9"/>
        <v>73.87091204224383</v>
      </c>
      <c r="AH311" s="22">
        <f>AC311-AE311</f>
        <v>7.4774283573534746</v>
      </c>
    </row>
    <row r="312" spans="1:34" x14ac:dyDescent="0.25">
      <c r="A312" s="1">
        <f>DATEVALUE(Sheet1!A311)</f>
        <v>45013</v>
      </c>
      <c r="B312" s="2">
        <f>VALUE(Sheet1!B311)</f>
        <v>83.39</v>
      </c>
      <c r="C312" s="9">
        <f>(B312-B311)/B311</f>
        <v>-7.261904761904755E-3</v>
      </c>
      <c r="D312" s="2">
        <f>MAX(D311,B312)</f>
        <v>103.9</v>
      </c>
      <c r="E312" s="9">
        <f>(B312-D312)/D312</f>
        <v>-0.19740134744947069</v>
      </c>
      <c r="AB312" s="1">
        <f>A312</f>
        <v>45013</v>
      </c>
      <c r="AC312" s="2">
        <f>B312</f>
        <v>83.39</v>
      </c>
      <c r="AD312" s="2">
        <f>310</f>
        <v>310</v>
      </c>
      <c r="AE312" s="2">
        <f>INTERCEPT($AC$3:$AC$1136,$AD$3:$AD$1136)+SLOPE($AC$3:$AC$1136,$AD$3:$AD$1136)*AD312</f>
        <v>76.503859679234083</v>
      </c>
      <c r="AF312" s="2">
        <f t="shared" si="8"/>
        <v>79.155519279636778</v>
      </c>
      <c r="AG312" s="2">
        <f t="shared" si="9"/>
        <v>73.852200078831387</v>
      </c>
      <c r="AH312" s="22">
        <f>AC312-AE312</f>
        <v>6.886140320765918</v>
      </c>
    </row>
    <row r="313" spans="1:34" x14ac:dyDescent="0.25">
      <c r="A313" s="1">
        <f>DATEVALUE(Sheet1!A312)</f>
        <v>45014</v>
      </c>
      <c r="B313" s="2">
        <f>VALUE(Sheet1!B312)</f>
        <v>83.17</v>
      </c>
      <c r="C313" s="9">
        <f>(B313-B312)/B312</f>
        <v>-2.6382060199064499E-3</v>
      </c>
      <c r="D313" s="2">
        <f>MAX(D312,B313)</f>
        <v>103.9</v>
      </c>
      <c r="E313" s="9">
        <f>(B313-D313)/D313</f>
        <v>-0.19951876804619831</v>
      </c>
      <c r="AB313" s="1">
        <f>A313</f>
        <v>45014</v>
      </c>
      <c r="AC313" s="2">
        <f>B313</f>
        <v>83.17</v>
      </c>
      <c r="AD313" s="2">
        <f>311</f>
        <v>311</v>
      </c>
      <c r="AE313" s="2">
        <f>INTERCEPT($AC$3:$AC$1136,$AD$3:$AD$1136)+SLOPE($AC$3:$AC$1136,$AD$3:$AD$1136)*AD313</f>
        <v>76.48514771582164</v>
      </c>
      <c r="AF313" s="2">
        <f t="shared" si="8"/>
        <v>79.136807316224335</v>
      </c>
      <c r="AG313" s="2">
        <f t="shared" si="9"/>
        <v>73.833488115418945</v>
      </c>
      <c r="AH313" s="22">
        <f>AC313-AE313</f>
        <v>6.684852284178362</v>
      </c>
    </row>
    <row r="314" spans="1:34" x14ac:dyDescent="0.25">
      <c r="A314" s="1">
        <f>DATEVALUE(Sheet1!A313)</f>
        <v>45015</v>
      </c>
      <c r="B314" s="2">
        <f>VALUE(Sheet1!B313)</f>
        <v>82.9</v>
      </c>
      <c r="C314" s="9">
        <f>(B314-B313)/B313</f>
        <v>-3.246362871227558E-3</v>
      </c>
      <c r="D314" s="2">
        <f>MAX(D313,B314)</f>
        <v>103.9</v>
      </c>
      <c r="E314" s="9">
        <f>(B314-D314)/D314</f>
        <v>-0.2021174205967276</v>
      </c>
      <c r="AB314" s="1">
        <f>A314</f>
        <v>45015</v>
      </c>
      <c r="AC314" s="2">
        <f>B314</f>
        <v>82.9</v>
      </c>
      <c r="AD314" s="2">
        <f>312</f>
        <v>312</v>
      </c>
      <c r="AE314" s="2">
        <f>INTERCEPT($AC$3:$AC$1136,$AD$3:$AD$1136)+SLOPE($AC$3:$AC$1136,$AD$3:$AD$1136)*AD314</f>
        <v>76.466435752409183</v>
      </c>
      <c r="AF314" s="2">
        <f t="shared" si="8"/>
        <v>79.118095352811878</v>
      </c>
      <c r="AG314" s="2">
        <f t="shared" si="9"/>
        <v>73.814776152006488</v>
      </c>
      <c r="AH314" s="22">
        <f>AC314-AE314</f>
        <v>6.433564247590823</v>
      </c>
    </row>
    <row r="315" spans="1:34" x14ac:dyDescent="0.25">
      <c r="A315" s="1">
        <f>DATEVALUE(Sheet1!A314)</f>
        <v>45016</v>
      </c>
      <c r="B315" s="2">
        <f>VALUE(Sheet1!B314)</f>
        <v>82.6</v>
      </c>
      <c r="C315" s="9">
        <f>(B315-B314)/B314</f>
        <v>-3.6188178528348777E-3</v>
      </c>
      <c r="D315" s="2">
        <f>MAX(D314,B315)</f>
        <v>103.9</v>
      </c>
      <c r="E315" s="9">
        <f>(B315-D315)/D315</f>
        <v>-0.20500481231953813</v>
      </c>
      <c r="AB315" s="1">
        <f>A315</f>
        <v>45016</v>
      </c>
      <c r="AC315" s="2">
        <f>B315</f>
        <v>82.6</v>
      </c>
      <c r="AD315" s="2">
        <f>313</f>
        <v>313</v>
      </c>
      <c r="AE315" s="2">
        <f>INTERCEPT($AC$3:$AC$1136,$AD$3:$AD$1136)+SLOPE($AC$3:$AC$1136,$AD$3:$AD$1136)*AD315</f>
        <v>76.44772378899674</v>
      </c>
      <c r="AF315" s="2">
        <f t="shared" si="8"/>
        <v>79.099383389399435</v>
      </c>
      <c r="AG315" s="2">
        <f t="shared" si="9"/>
        <v>73.796064188594045</v>
      </c>
      <c r="AH315" s="22">
        <f>AC315-AE315</f>
        <v>6.1522762110032545</v>
      </c>
    </row>
    <row r="316" spans="1:34" x14ac:dyDescent="0.25">
      <c r="A316" s="1">
        <f>DATEVALUE(Sheet1!A315)</f>
        <v>45019</v>
      </c>
      <c r="B316" s="2">
        <f>VALUE(Sheet1!B315)</f>
        <v>82.4</v>
      </c>
      <c r="C316" s="9">
        <f>(B316-B315)/B315</f>
        <v>-2.4213075060531314E-3</v>
      </c>
      <c r="D316" s="2">
        <f>MAX(D315,B316)</f>
        <v>103.9</v>
      </c>
      <c r="E316" s="9">
        <f>(B316-D316)/D316</f>
        <v>-0.20692974013474494</v>
      </c>
      <c r="AB316" s="1">
        <f>A316</f>
        <v>45019</v>
      </c>
      <c r="AC316" s="2">
        <f>B316</f>
        <v>82.4</v>
      </c>
      <c r="AD316" s="2">
        <f>314</f>
        <v>314</v>
      </c>
      <c r="AE316" s="2">
        <f>INTERCEPT($AC$3:$AC$1136,$AD$3:$AD$1136)+SLOPE($AC$3:$AC$1136,$AD$3:$AD$1136)*AD316</f>
        <v>76.429011825584297</v>
      </c>
      <c r="AF316" s="2">
        <f t="shared" si="8"/>
        <v>79.080671425986992</v>
      </c>
      <c r="AG316" s="2">
        <f t="shared" si="9"/>
        <v>73.777352225181602</v>
      </c>
      <c r="AH316" s="22">
        <f>AC316-AE316</f>
        <v>5.9709881744157087</v>
      </c>
    </row>
    <row r="317" spans="1:34" x14ac:dyDescent="0.25">
      <c r="A317" s="1">
        <f>DATEVALUE(Sheet1!A316)</f>
        <v>45020</v>
      </c>
      <c r="B317" s="2">
        <f>VALUE(Sheet1!B316)</f>
        <v>81.12</v>
      </c>
      <c r="C317" s="9">
        <f>(B317-B316)/B316</f>
        <v>-1.5533980582524285E-2</v>
      </c>
      <c r="D317" s="2">
        <f>MAX(D316,B317)</f>
        <v>103.9</v>
      </c>
      <c r="E317" s="9">
        <f>(B317-D317)/D317</f>
        <v>-0.21924927815206929</v>
      </c>
      <c r="AB317" s="1">
        <f>A317</f>
        <v>45020</v>
      </c>
      <c r="AC317" s="2">
        <f>B317</f>
        <v>81.12</v>
      </c>
      <c r="AD317" s="2">
        <f>315</f>
        <v>315</v>
      </c>
      <c r="AE317" s="2">
        <f>INTERCEPT($AC$3:$AC$1136,$AD$3:$AD$1136)+SLOPE($AC$3:$AC$1136,$AD$3:$AD$1136)*AD317</f>
        <v>76.410299862171854</v>
      </c>
      <c r="AF317" s="2">
        <f t="shared" si="8"/>
        <v>79.061959462574549</v>
      </c>
      <c r="AG317" s="2">
        <f t="shared" si="9"/>
        <v>73.758640261769159</v>
      </c>
      <c r="AH317" s="22">
        <f>AC317-AE317</f>
        <v>4.7097001378281504</v>
      </c>
    </row>
    <row r="318" spans="1:34" x14ac:dyDescent="0.25">
      <c r="A318" s="1">
        <f>DATEVALUE(Sheet1!A317)</f>
        <v>45021</v>
      </c>
      <c r="B318" s="2">
        <f>VALUE(Sheet1!B317)</f>
        <v>80.89</v>
      </c>
      <c r="C318" s="9">
        <f>(B318-B317)/B317</f>
        <v>-2.8353057199211533E-3</v>
      </c>
      <c r="D318" s="2">
        <f>MAX(D317,B318)</f>
        <v>103.9</v>
      </c>
      <c r="E318" s="9">
        <f>(B318-D318)/D318</f>
        <v>-0.2214629451395573</v>
      </c>
      <c r="AB318" s="1">
        <f>A318</f>
        <v>45021</v>
      </c>
      <c r="AC318" s="2">
        <f>B318</f>
        <v>80.89</v>
      </c>
      <c r="AD318" s="2">
        <f>316</f>
        <v>316</v>
      </c>
      <c r="AE318" s="2">
        <f>INTERCEPT($AC$3:$AC$1136,$AD$3:$AD$1136)+SLOPE($AC$3:$AC$1136,$AD$3:$AD$1136)*AD318</f>
        <v>76.391587898759397</v>
      </c>
      <c r="AF318" s="2">
        <f t="shared" si="8"/>
        <v>79.043247499162092</v>
      </c>
      <c r="AG318" s="2">
        <f t="shared" si="9"/>
        <v>73.739928298356702</v>
      </c>
      <c r="AH318" s="22">
        <f>AC318-AE318</f>
        <v>4.4984121012406035</v>
      </c>
    </row>
    <row r="319" spans="1:34" x14ac:dyDescent="0.25">
      <c r="A319" s="1">
        <f>DATEVALUE(Sheet1!A318)</f>
        <v>45022</v>
      </c>
      <c r="B319" s="2">
        <f>VALUE(Sheet1!B318)</f>
        <v>80.239999999999995</v>
      </c>
      <c r="C319" s="9">
        <f>(B319-B318)/B318</f>
        <v>-8.035603906539816E-3</v>
      </c>
      <c r="D319" s="2">
        <f>MAX(D318,B319)</f>
        <v>103.9</v>
      </c>
      <c r="E319" s="9">
        <f>(B319-D319)/D319</f>
        <v>-0.22771896053897989</v>
      </c>
      <c r="AB319" s="1">
        <f>A319</f>
        <v>45022</v>
      </c>
      <c r="AC319" s="2">
        <f>B319</f>
        <v>80.239999999999995</v>
      </c>
      <c r="AD319" s="2">
        <f>317</f>
        <v>317</v>
      </c>
      <c r="AE319" s="2">
        <f>INTERCEPT($AC$3:$AC$1136,$AD$3:$AD$1136)+SLOPE($AC$3:$AC$1136,$AD$3:$AD$1136)*AD319</f>
        <v>76.372875935346954</v>
      </c>
      <c r="AF319" s="2">
        <f t="shared" si="8"/>
        <v>79.024535535749649</v>
      </c>
      <c r="AG319" s="2">
        <f t="shared" si="9"/>
        <v>73.721216334944259</v>
      </c>
      <c r="AH319" s="22">
        <f>AC319-AE319</f>
        <v>3.8671240646530407</v>
      </c>
    </row>
    <row r="320" spans="1:34" x14ac:dyDescent="0.25">
      <c r="A320" s="1">
        <f>DATEVALUE(Sheet1!A319)</f>
        <v>45026</v>
      </c>
      <c r="B320" s="2">
        <f>VALUE(Sheet1!B319)</f>
        <v>79.39</v>
      </c>
      <c r="C320" s="9">
        <f>(B320-B319)/B319</f>
        <v>-1.0593220338982981E-2</v>
      </c>
      <c r="D320" s="2">
        <f>MAX(D319,B320)</f>
        <v>103.9</v>
      </c>
      <c r="E320" s="9">
        <f>(B320-D320)/D320</f>
        <v>-0.23589990375360928</v>
      </c>
      <c r="AB320" s="1">
        <f>A320</f>
        <v>45026</v>
      </c>
      <c r="AC320" s="2">
        <f>B320</f>
        <v>79.39</v>
      </c>
      <c r="AD320" s="2">
        <f>318</f>
        <v>318</v>
      </c>
      <c r="AE320" s="2">
        <f>INTERCEPT($AC$3:$AC$1136,$AD$3:$AD$1136)+SLOPE($AC$3:$AC$1136,$AD$3:$AD$1136)*AD320</f>
        <v>76.354163971934511</v>
      </c>
      <c r="AF320" s="2">
        <f t="shared" si="8"/>
        <v>79.005823572337206</v>
      </c>
      <c r="AG320" s="2">
        <f t="shared" si="9"/>
        <v>73.702504371531816</v>
      </c>
      <c r="AH320" s="22">
        <f>AC320-AE320</f>
        <v>3.0358360280654892</v>
      </c>
    </row>
    <row r="321" spans="1:34" x14ac:dyDescent="0.25">
      <c r="A321" s="1">
        <f>DATEVALUE(Sheet1!A320)</f>
        <v>45027</v>
      </c>
      <c r="B321" s="2">
        <f>VALUE(Sheet1!B320)</f>
        <v>78.34</v>
      </c>
      <c r="C321" s="9">
        <f>(B321-B320)/B320</f>
        <v>-1.3225847084015583E-2</v>
      </c>
      <c r="D321" s="2">
        <f>MAX(D320,B321)</f>
        <v>103.9</v>
      </c>
      <c r="E321" s="9">
        <f>(B321-D321)/D321</f>
        <v>-0.24600577478344562</v>
      </c>
      <c r="AB321" s="1">
        <f>A321</f>
        <v>45027</v>
      </c>
      <c r="AC321" s="2">
        <f>B321</f>
        <v>78.34</v>
      </c>
      <c r="AD321" s="2">
        <f>319</f>
        <v>319</v>
      </c>
      <c r="AE321" s="2">
        <f>INTERCEPT($AC$3:$AC$1136,$AD$3:$AD$1136)+SLOPE($AC$3:$AC$1136,$AD$3:$AD$1136)*AD321</f>
        <v>76.335452008522054</v>
      </c>
      <c r="AF321" s="2">
        <f t="shared" si="8"/>
        <v>78.987111608924749</v>
      </c>
      <c r="AG321" s="2">
        <f t="shared" si="9"/>
        <v>73.683792408119359</v>
      </c>
      <c r="AH321" s="22">
        <f>AC321-AE321</f>
        <v>2.0045479914779492</v>
      </c>
    </row>
    <row r="322" spans="1:34" x14ac:dyDescent="0.25">
      <c r="A322" s="1">
        <f>DATEVALUE(Sheet1!A321)</f>
        <v>45028</v>
      </c>
      <c r="B322" s="2">
        <f>VALUE(Sheet1!B321)</f>
        <v>77.66</v>
      </c>
      <c r="C322" s="9">
        <f>(B322-B321)/B321</f>
        <v>-8.6801123308655453E-3</v>
      </c>
      <c r="D322" s="2">
        <f>MAX(D321,B322)</f>
        <v>103.9</v>
      </c>
      <c r="E322" s="9">
        <f>(B322-D322)/D322</f>
        <v>-0.25255052935514927</v>
      </c>
      <c r="AB322" s="1">
        <f>A322</f>
        <v>45028</v>
      </c>
      <c r="AC322" s="2">
        <f>B322</f>
        <v>77.66</v>
      </c>
      <c r="AD322" s="2">
        <f>320</f>
        <v>320</v>
      </c>
      <c r="AE322" s="2">
        <f>INTERCEPT($AC$3:$AC$1136,$AD$3:$AD$1136)+SLOPE($AC$3:$AC$1136,$AD$3:$AD$1136)*AD322</f>
        <v>76.316740045109611</v>
      </c>
      <c r="AF322" s="2">
        <f t="shared" si="8"/>
        <v>78.968399645512307</v>
      </c>
      <c r="AG322" s="2">
        <f t="shared" si="9"/>
        <v>73.665080444706916</v>
      </c>
      <c r="AH322" s="22">
        <f>AC322-AE322</f>
        <v>1.3432599548903852</v>
      </c>
    </row>
    <row r="323" spans="1:34" x14ac:dyDescent="0.25">
      <c r="A323" s="1">
        <f>DATEVALUE(Sheet1!A322)</f>
        <v>45029</v>
      </c>
      <c r="B323" s="2">
        <f>VALUE(Sheet1!B322)</f>
        <v>76.88</v>
      </c>
      <c r="C323" s="9">
        <f>(B323-B322)/B322</f>
        <v>-1.0043780582024223E-2</v>
      </c>
      <c r="D323" s="2">
        <f>MAX(D322,B323)</f>
        <v>103.9</v>
      </c>
      <c r="E323" s="9">
        <f>(B323-D323)/D323</f>
        <v>-0.26005774783445629</v>
      </c>
      <c r="AB323" s="1">
        <f>A323</f>
        <v>45029</v>
      </c>
      <c r="AC323" s="2">
        <f>B323</f>
        <v>76.88</v>
      </c>
      <c r="AD323" s="2">
        <f>321</f>
        <v>321</v>
      </c>
      <c r="AE323" s="2">
        <f>INTERCEPT($AC$3:$AC$1136,$AD$3:$AD$1136)+SLOPE($AC$3:$AC$1136,$AD$3:$AD$1136)*AD323</f>
        <v>76.298028081697169</v>
      </c>
      <c r="AF323" s="2">
        <f t="shared" si="8"/>
        <v>78.949687682099864</v>
      </c>
      <c r="AG323" s="2">
        <f t="shared" si="9"/>
        <v>73.646368481294473</v>
      </c>
      <c r="AH323" s="22">
        <f>AC323-AE323</f>
        <v>0.58197191830282691</v>
      </c>
    </row>
    <row r="324" spans="1:34" x14ac:dyDescent="0.25">
      <c r="A324" s="1">
        <f>DATEVALUE(Sheet1!A323)</f>
        <v>45030</v>
      </c>
      <c r="B324" s="2">
        <f>VALUE(Sheet1!B323)</f>
        <v>75.989999999999995</v>
      </c>
      <c r="C324" s="9">
        <f>(B324-B323)/B323</f>
        <v>-1.1576482830385024E-2</v>
      </c>
      <c r="D324" s="2">
        <f>MAX(D323,B324)</f>
        <v>103.9</v>
      </c>
      <c r="E324" s="9">
        <f>(B324-D324)/D324</f>
        <v>-0.26862367661212716</v>
      </c>
      <c r="AB324" s="1">
        <f>A324</f>
        <v>45030</v>
      </c>
      <c r="AC324" s="2">
        <f>B324</f>
        <v>75.989999999999995</v>
      </c>
      <c r="AD324" s="2">
        <f>322</f>
        <v>322</v>
      </c>
      <c r="AE324" s="2">
        <f>INTERCEPT($AC$3:$AC$1136,$AD$3:$AD$1136)+SLOPE($AC$3:$AC$1136,$AD$3:$AD$1136)*AD324</f>
        <v>76.279316118284726</v>
      </c>
      <c r="AF324" s="2">
        <f t="shared" ref="AF324:AF387" si="10">AE324+$AJ$5*$AJ$4</f>
        <v>78.930975718687421</v>
      </c>
      <c r="AG324" s="2">
        <f t="shared" ref="AG324:AG387" si="11">AE324-$AJ$5*$AJ$4</f>
        <v>73.627656517882031</v>
      </c>
      <c r="AH324" s="22">
        <f>AC324-AE324</f>
        <v>-0.28931611828473081</v>
      </c>
    </row>
    <row r="325" spans="1:34" x14ac:dyDescent="0.25">
      <c r="A325" s="1">
        <f>DATEVALUE(Sheet1!A324)</f>
        <v>45033</v>
      </c>
      <c r="B325" s="2">
        <f>VALUE(Sheet1!B324)</f>
        <v>75.290000000000006</v>
      </c>
      <c r="C325" s="9">
        <f>(B325-B324)/B324</f>
        <v>-9.2117383866296716E-3</v>
      </c>
      <c r="D325" s="2">
        <f>MAX(D324,B325)</f>
        <v>103.9</v>
      </c>
      <c r="E325" s="9">
        <f>(B325-D325)/D325</f>
        <v>-0.27536092396535128</v>
      </c>
      <c r="AB325" s="1">
        <f>A325</f>
        <v>45033</v>
      </c>
      <c r="AC325" s="2">
        <f>B325</f>
        <v>75.290000000000006</v>
      </c>
      <c r="AD325" s="2">
        <f>323</f>
        <v>323</v>
      </c>
      <c r="AE325" s="2">
        <f>INTERCEPT($AC$3:$AC$1136,$AD$3:$AD$1136)+SLOPE($AC$3:$AC$1136,$AD$3:$AD$1136)*AD325</f>
        <v>76.260604154872269</v>
      </c>
      <c r="AF325" s="2">
        <f t="shared" si="10"/>
        <v>78.912263755274964</v>
      </c>
      <c r="AG325" s="2">
        <f t="shared" si="11"/>
        <v>73.608944554469574</v>
      </c>
      <c r="AH325" s="22">
        <f>AC325-AE325</f>
        <v>-0.97060415487226237</v>
      </c>
    </row>
    <row r="326" spans="1:34" x14ac:dyDescent="0.25">
      <c r="A326" s="1">
        <f>DATEVALUE(Sheet1!A325)</f>
        <v>45034</v>
      </c>
      <c r="B326" s="2">
        <f>VALUE(Sheet1!B325)</f>
        <v>73.92</v>
      </c>
      <c r="C326" s="9">
        <f>(B326-B325)/B325</f>
        <v>-1.8196307610572511E-2</v>
      </c>
      <c r="D326" s="2">
        <f>MAX(D325,B326)</f>
        <v>103.9</v>
      </c>
      <c r="E326" s="9">
        <f>(B326-D326)/D326</f>
        <v>-0.28854667949951879</v>
      </c>
      <c r="AB326" s="1">
        <f>A326</f>
        <v>45034</v>
      </c>
      <c r="AC326" s="2">
        <f>B326</f>
        <v>73.92</v>
      </c>
      <c r="AD326" s="2">
        <f>324</f>
        <v>324</v>
      </c>
      <c r="AE326" s="2">
        <f>INTERCEPT($AC$3:$AC$1136,$AD$3:$AD$1136)+SLOPE($AC$3:$AC$1136,$AD$3:$AD$1136)*AD326</f>
        <v>76.241892191459826</v>
      </c>
      <c r="AF326" s="2">
        <f t="shared" si="10"/>
        <v>78.893551791862521</v>
      </c>
      <c r="AG326" s="2">
        <f t="shared" si="11"/>
        <v>73.590232591057131</v>
      </c>
      <c r="AH326" s="22">
        <f>AC326-AE326</f>
        <v>-2.3218921914598241</v>
      </c>
    </row>
    <row r="327" spans="1:34" x14ac:dyDescent="0.25">
      <c r="A327" s="1">
        <f>DATEVALUE(Sheet1!A326)</f>
        <v>45035</v>
      </c>
      <c r="B327" s="2">
        <f>VALUE(Sheet1!B326)</f>
        <v>72.760000000000005</v>
      </c>
      <c r="C327" s="9">
        <f>(B327-B326)/B326</f>
        <v>-1.5692640692640647E-2</v>
      </c>
      <c r="D327" s="2">
        <f>MAX(D326,B327)</f>
        <v>103.9</v>
      </c>
      <c r="E327" s="9">
        <f>(B327-D327)/D327</f>
        <v>-0.29971126082771893</v>
      </c>
      <c r="AB327" s="1">
        <f>A327</f>
        <v>45035</v>
      </c>
      <c r="AC327" s="2">
        <f>B327</f>
        <v>72.760000000000005</v>
      </c>
      <c r="AD327" s="2">
        <f>325</f>
        <v>325</v>
      </c>
      <c r="AE327" s="2">
        <f>INTERCEPT($AC$3:$AC$1136,$AD$3:$AD$1136)+SLOPE($AC$3:$AC$1136,$AD$3:$AD$1136)*AD327</f>
        <v>76.223180228047383</v>
      </c>
      <c r="AF327" s="2">
        <f t="shared" si="10"/>
        <v>78.874839828450078</v>
      </c>
      <c r="AG327" s="2">
        <f t="shared" si="11"/>
        <v>73.571520627644688</v>
      </c>
      <c r="AH327" s="22">
        <f>AC327-AE327</f>
        <v>-3.4631802280473778</v>
      </c>
    </row>
    <row r="328" spans="1:34" x14ac:dyDescent="0.25">
      <c r="A328" s="1">
        <f>DATEVALUE(Sheet1!A327)</f>
        <v>45036</v>
      </c>
      <c r="B328" s="2">
        <f>VALUE(Sheet1!B327)</f>
        <v>70.599999999999994</v>
      </c>
      <c r="C328" s="9">
        <f>(B328-B327)/B327</f>
        <v>-2.9686641011544952E-2</v>
      </c>
      <c r="D328" s="2">
        <f>MAX(D327,B328)</f>
        <v>103.9</v>
      </c>
      <c r="E328" s="9">
        <f>(B328-D328)/D328</f>
        <v>-0.3205004812319539</v>
      </c>
      <c r="AB328" s="1">
        <f>A328</f>
        <v>45036</v>
      </c>
      <c r="AC328" s="2">
        <f>B328</f>
        <v>70.599999999999994</v>
      </c>
      <c r="AD328" s="2">
        <f>326</f>
        <v>326</v>
      </c>
      <c r="AE328" s="2">
        <f>INTERCEPT($AC$3:$AC$1136,$AD$3:$AD$1136)+SLOPE($AC$3:$AC$1136,$AD$3:$AD$1136)*AD328</f>
        <v>76.204468264634926</v>
      </c>
      <c r="AF328" s="2">
        <f t="shared" si="10"/>
        <v>78.856127865037621</v>
      </c>
      <c r="AG328" s="2">
        <f t="shared" si="11"/>
        <v>73.552808664232231</v>
      </c>
      <c r="AH328" s="22">
        <f>AC328-AE328</f>
        <v>-5.6044682646349315</v>
      </c>
    </row>
    <row r="329" spans="1:34" x14ac:dyDescent="0.25">
      <c r="A329" s="1">
        <f>DATEVALUE(Sheet1!A328)</f>
        <v>45040</v>
      </c>
      <c r="B329" s="2">
        <f>VALUE(Sheet1!B328)</f>
        <v>70.11</v>
      </c>
      <c r="C329" s="9">
        <f>(B329-B328)/B328</f>
        <v>-6.9405099150140924E-3</v>
      </c>
      <c r="D329" s="2">
        <f>MAX(D328,B329)</f>
        <v>103.9</v>
      </c>
      <c r="E329" s="9">
        <f>(B329-D329)/D329</f>
        <v>-0.32521655437921082</v>
      </c>
      <c r="AB329" s="1">
        <f>A329</f>
        <v>45040</v>
      </c>
      <c r="AC329" s="2">
        <f>B329</f>
        <v>70.11</v>
      </c>
      <c r="AD329" s="2">
        <f>327</f>
        <v>327</v>
      </c>
      <c r="AE329" s="2">
        <f>INTERCEPT($AC$3:$AC$1136,$AD$3:$AD$1136)+SLOPE($AC$3:$AC$1136,$AD$3:$AD$1136)*AD329</f>
        <v>76.185756301222483</v>
      </c>
      <c r="AF329" s="2">
        <f t="shared" si="10"/>
        <v>78.837415901625178</v>
      </c>
      <c r="AG329" s="2">
        <f t="shared" si="11"/>
        <v>73.534096700819788</v>
      </c>
      <c r="AH329" s="22">
        <f>AC329-AE329</f>
        <v>-6.0757563012224836</v>
      </c>
    </row>
    <row r="330" spans="1:34" x14ac:dyDescent="0.25">
      <c r="A330" s="1">
        <f>DATEVALUE(Sheet1!A329)</f>
        <v>45041</v>
      </c>
      <c r="B330" s="2">
        <f>VALUE(Sheet1!B329)</f>
        <v>69.75</v>
      </c>
      <c r="C330" s="9">
        <f>(B330-B329)/B329</f>
        <v>-5.1347881899871549E-3</v>
      </c>
      <c r="D330" s="2">
        <f>MAX(D329,B330)</f>
        <v>103.9</v>
      </c>
      <c r="E330" s="9">
        <f>(B330-D330)/D330</f>
        <v>-0.32868142444658327</v>
      </c>
      <c r="AB330" s="1">
        <f>A330</f>
        <v>45041</v>
      </c>
      <c r="AC330" s="2">
        <f>B330</f>
        <v>69.75</v>
      </c>
      <c r="AD330" s="2">
        <f>328</f>
        <v>328</v>
      </c>
      <c r="AE330" s="2">
        <f>INTERCEPT($AC$3:$AC$1136,$AD$3:$AD$1136)+SLOPE($AC$3:$AC$1136,$AD$3:$AD$1136)*AD330</f>
        <v>76.16704433781004</v>
      </c>
      <c r="AF330" s="2">
        <f t="shared" si="10"/>
        <v>78.818703938212735</v>
      </c>
      <c r="AG330" s="2">
        <f t="shared" si="11"/>
        <v>73.515384737407345</v>
      </c>
      <c r="AH330" s="22">
        <f>AC330-AE330</f>
        <v>-6.4170443378100401</v>
      </c>
    </row>
    <row r="331" spans="1:34" x14ac:dyDescent="0.25">
      <c r="A331" s="1">
        <f>DATEVALUE(Sheet1!A330)</f>
        <v>45042</v>
      </c>
      <c r="B331" s="2">
        <f>VALUE(Sheet1!B330)</f>
        <v>68.680000000000007</v>
      </c>
      <c r="C331" s="9">
        <f>(B331-B330)/B330</f>
        <v>-1.5340501792114597E-2</v>
      </c>
      <c r="D331" s="2">
        <f>MAX(D330,B331)</f>
        <v>103.9</v>
      </c>
      <c r="E331" s="9">
        <f>(B331-D331)/D331</f>
        <v>-0.33897978825794028</v>
      </c>
      <c r="AB331" s="1">
        <f>A331</f>
        <v>45042</v>
      </c>
      <c r="AC331" s="2">
        <f>B331</f>
        <v>68.680000000000007</v>
      </c>
      <c r="AD331" s="2">
        <f>329</f>
        <v>329</v>
      </c>
      <c r="AE331" s="2">
        <f>INTERCEPT($AC$3:$AC$1136,$AD$3:$AD$1136)+SLOPE($AC$3:$AC$1136,$AD$3:$AD$1136)*AD331</f>
        <v>76.148332374397597</v>
      </c>
      <c r="AF331" s="2">
        <f t="shared" si="10"/>
        <v>78.799991974800292</v>
      </c>
      <c r="AG331" s="2">
        <f t="shared" si="11"/>
        <v>73.496672773994902</v>
      </c>
      <c r="AH331" s="22">
        <f>AC331-AE331</f>
        <v>-7.4683323743975905</v>
      </c>
    </row>
    <row r="332" spans="1:34" x14ac:dyDescent="0.25">
      <c r="A332" s="1">
        <f>DATEVALUE(Sheet1!A331)</f>
        <v>45043</v>
      </c>
      <c r="B332" s="2">
        <f>VALUE(Sheet1!B331)</f>
        <v>67.709999999999994</v>
      </c>
      <c r="C332" s="9">
        <f>(B332-B331)/B331</f>
        <v>-1.4123471170646665E-2</v>
      </c>
      <c r="D332" s="2">
        <f>MAX(D331,B332)</f>
        <v>103.9</v>
      </c>
      <c r="E332" s="9">
        <f>(B332-D332)/D332</f>
        <v>-0.34831568816169406</v>
      </c>
      <c r="AB332" s="1">
        <f>A332</f>
        <v>45043</v>
      </c>
      <c r="AC332" s="2">
        <f>B332</f>
        <v>67.709999999999994</v>
      </c>
      <c r="AD332" s="2">
        <f>330</f>
        <v>330</v>
      </c>
      <c r="AE332" s="2">
        <f>INTERCEPT($AC$3:$AC$1136,$AD$3:$AD$1136)+SLOPE($AC$3:$AC$1136,$AD$3:$AD$1136)*AD332</f>
        <v>76.12962041098514</v>
      </c>
      <c r="AF332" s="2">
        <f t="shared" si="10"/>
        <v>78.781280011387835</v>
      </c>
      <c r="AG332" s="2">
        <f t="shared" si="11"/>
        <v>73.477960810582445</v>
      </c>
      <c r="AH332" s="22">
        <f>AC332-AE332</f>
        <v>-8.4196204109851465</v>
      </c>
    </row>
    <row r="333" spans="1:34" x14ac:dyDescent="0.25">
      <c r="A333" s="1">
        <f>DATEVALUE(Sheet1!A332)</f>
        <v>45044</v>
      </c>
      <c r="B333" s="2">
        <f>VALUE(Sheet1!B332)</f>
        <v>65.61</v>
      </c>
      <c r="C333" s="9">
        <f>(B333-B332)/B332</f>
        <v>-3.1014621178555524E-2</v>
      </c>
      <c r="D333" s="2">
        <f>MAX(D332,B333)</f>
        <v>103.9</v>
      </c>
      <c r="E333" s="9">
        <f>(B333-D333)/D333</f>
        <v>-0.36852743022136675</v>
      </c>
      <c r="AB333" s="1">
        <f>A333</f>
        <v>45044</v>
      </c>
      <c r="AC333" s="2">
        <f>B333</f>
        <v>65.61</v>
      </c>
      <c r="AD333" s="2">
        <f>331</f>
        <v>331</v>
      </c>
      <c r="AE333" s="2">
        <f>INTERCEPT($AC$3:$AC$1136,$AD$3:$AD$1136)+SLOPE($AC$3:$AC$1136,$AD$3:$AD$1136)*AD333</f>
        <v>76.110908447572697</v>
      </c>
      <c r="AF333" s="2">
        <f t="shared" si="10"/>
        <v>78.762568047975392</v>
      </c>
      <c r="AG333" s="2">
        <f t="shared" si="11"/>
        <v>73.459248847170002</v>
      </c>
      <c r="AH333" s="22">
        <f>AC333-AE333</f>
        <v>-10.500908447572698</v>
      </c>
    </row>
    <row r="334" spans="1:34" x14ac:dyDescent="0.25">
      <c r="A334" s="1">
        <f>DATEVALUE(Sheet1!A333)</f>
        <v>45048</v>
      </c>
      <c r="B334" s="2">
        <f>VALUE(Sheet1!B333)</f>
        <v>64.5</v>
      </c>
      <c r="C334" s="9">
        <f>(B334-B333)/B333</f>
        <v>-1.6918152720621849E-2</v>
      </c>
      <c r="D334" s="2">
        <f>MAX(D333,B334)</f>
        <v>103.9</v>
      </c>
      <c r="E334" s="9">
        <f>(B334-D334)/D334</f>
        <v>-0.37921077959576521</v>
      </c>
      <c r="AB334" s="1">
        <f>A334</f>
        <v>45048</v>
      </c>
      <c r="AC334" s="2">
        <f>B334</f>
        <v>64.5</v>
      </c>
      <c r="AD334" s="2">
        <f>332</f>
        <v>332</v>
      </c>
      <c r="AE334" s="2">
        <f>INTERCEPT($AC$3:$AC$1136,$AD$3:$AD$1136)+SLOPE($AC$3:$AC$1136,$AD$3:$AD$1136)*AD334</f>
        <v>76.092196484160254</v>
      </c>
      <c r="AF334" s="2">
        <f t="shared" si="10"/>
        <v>78.74385608456295</v>
      </c>
      <c r="AG334" s="2">
        <f t="shared" si="11"/>
        <v>73.440536883757559</v>
      </c>
      <c r="AH334" s="22">
        <f>AC334-AE334</f>
        <v>-11.592196484160254</v>
      </c>
    </row>
    <row r="335" spans="1:34" x14ac:dyDescent="0.25">
      <c r="A335" s="1">
        <f>DATEVALUE(Sheet1!A334)</f>
        <v>45049</v>
      </c>
      <c r="B335" s="2">
        <f>VALUE(Sheet1!B334)</f>
        <v>64.150000000000006</v>
      </c>
      <c r="C335" s="9">
        <f>(B335-B334)/B334</f>
        <v>-5.4263565891471983E-3</v>
      </c>
      <c r="D335" s="2">
        <f>MAX(D334,B335)</f>
        <v>103.9</v>
      </c>
      <c r="E335" s="9">
        <f>(B335-D335)/D335</f>
        <v>-0.38257940327237727</v>
      </c>
      <c r="AB335" s="1">
        <f>A335</f>
        <v>45049</v>
      </c>
      <c r="AC335" s="2">
        <f>B335</f>
        <v>64.150000000000006</v>
      </c>
      <c r="AD335" s="2">
        <f>333</f>
        <v>333</v>
      </c>
      <c r="AE335" s="2">
        <f>INTERCEPT($AC$3:$AC$1136,$AD$3:$AD$1136)+SLOPE($AC$3:$AC$1136,$AD$3:$AD$1136)*AD335</f>
        <v>76.073484520747812</v>
      </c>
      <c r="AF335" s="2">
        <f t="shared" si="10"/>
        <v>78.725144121150507</v>
      </c>
      <c r="AG335" s="2">
        <f t="shared" si="11"/>
        <v>73.421824920345117</v>
      </c>
      <c r="AH335" s="22">
        <f>AC335-AE335</f>
        <v>-11.923484520747806</v>
      </c>
    </row>
    <row r="336" spans="1:34" x14ac:dyDescent="0.25">
      <c r="A336" s="1">
        <f>DATEVALUE(Sheet1!A335)</f>
        <v>45050</v>
      </c>
      <c r="B336" s="2">
        <f>VALUE(Sheet1!B335)</f>
        <v>62.85</v>
      </c>
      <c r="C336" s="9">
        <f>(B336-B335)/B335</f>
        <v>-2.0265003897116197E-2</v>
      </c>
      <c r="D336" s="2">
        <f>MAX(D335,B336)</f>
        <v>103.9</v>
      </c>
      <c r="E336" s="9">
        <f>(B336-D336)/D336</f>
        <v>-0.39509143407122232</v>
      </c>
      <c r="AB336" s="1">
        <f>A336</f>
        <v>45050</v>
      </c>
      <c r="AC336" s="2">
        <f>B336</f>
        <v>62.85</v>
      </c>
      <c r="AD336" s="2">
        <f>334</f>
        <v>334</v>
      </c>
      <c r="AE336" s="2">
        <f>INTERCEPT($AC$3:$AC$1136,$AD$3:$AD$1136)+SLOPE($AC$3:$AC$1136,$AD$3:$AD$1136)*AD336</f>
        <v>76.054772557335355</v>
      </c>
      <c r="AF336" s="2">
        <f t="shared" si="10"/>
        <v>78.70643215773805</v>
      </c>
      <c r="AG336" s="2">
        <f t="shared" si="11"/>
        <v>73.403112956932659</v>
      </c>
      <c r="AH336" s="22">
        <f>AC336-AE336</f>
        <v>-13.204772557335353</v>
      </c>
    </row>
    <row r="337" spans="1:34" x14ac:dyDescent="0.25">
      <c r="A337" s="1">
        <f>DATEVALUE(Sheet1!A336)</f>
        <v>45051</v>
      </c>
      <c r="B337" s="2">
        <f>VALUE(Sheet1!B336)</f>
        <v>62.32</v>
      </c>
      <c r="C337" s="9">
        <f>(B337-B336)/B336</f>
        <v>-8.4327764518695482E-3</v>
      </c>
      <c r="D337" s="2">
        <f>MAX(D336,B337)</f>
        <v>103.9</v>
      </c>
      <c r="E337" s="9">
        <f>(B337-D337)/D337</f>
        <v>-0.40019249278152075</v>
      </c>
      <c r="AB337" s="1">
        <f>A337</f>
        <v>45051</v>
      </c>
      <c r="AC337" s="2">
        <f>B337</f>
        <v>62.32</v>
      </c>
      <c r="AD337" s="2">
        <f>335</f>
        <v>335</v>
      </c>
      <c r="AE337" s="2">
        <f>INTERCEPT($AC$3:$AC$1136,$AD$3:$AD$1136)+SLOPE($AC$3:$AC$1136,$AD$3:$AD$1136)*AD337</f>
        <v>76.036060593922912</v>
      </c>
      <c r="AF337" s="2">
        <f t="shared" si="10"/>
        <v>78.687720194325607</v>
      </c>
      <c r="AG337" s="2">
        <f t="shared" si="11"/>
        <v>73.384400993520217</v>
      </c>
      <c r="AH337" s="22">
        <f>AC337-AE337</f>
        <v>-13.716060593922911</v>
      </c>
    </row>
    <row r="338" spans="1:34" x14ac:dyDescent="0.25">
      <c r="A338" s="1">
        <f>DATEVALUE(Sheet1!A337)</f>
        <v>45054</v>
      </c>
      <c r="B338" s="2">
        <f>VALUE(Sheet1!B337)</f>
        <v>61.75</v>
      </c>
      <c r="C338" s="9">
        <f>(B338-B337)/B337</f>
        <v>-9.1463414634146388E-3</v>
      </c>
      <c r="D338" s="2">
        <f>MAX(D337,B338)</f>
        <v>103.9</v>
      </c>
      <c r="E338" s="9">
        <f>(B338-D338)/D338</f>
        <v>-0.40567853705486046</v>
      </c>
      <c r="AB338" s="1">
        <f>A338</f>
        <v>45054</v>
      </c>
      <c r="AC338" s="2">
        <f>B338</f>
        <v>61.75</v>
      </c>
      <c r="AD338" s="2">
        <f>336</f>
        <v>336</v>
      </c>
      <c r="AE338" s="2">
        <f>INTERCEPT($AC$3:$AC$1136,$AD$3:$AD$1136)+SLOPE($AC$3:$AC$1136,$AD$3:$AD$1136)*AD338</f>
        <v>76.017348630510469</v>
      </c>
      <c r="AF338" s="2">
        <f t="shared" si="10"/>
        <v>78.669008230913164</v>
      </c>
      <c r="AG338" s="2">
        <f t="shared" si="11"/>
        <v>73.365689030107774</v>
      </c>
      <c r="AH338" s="22">
        <f>AC338-AE338</f>
        <v>-14.267348630510469</v>
      </c>
    </row>
    <row r="339" spans="1:34" x14ac:dyDescent="0.25">
      <c r="A339" s="1">
        <f>DATEVALUE(Sheet1!A338)</f>
        <v>45055</v>
      </c>
      <c r="B339" s="2">
        <f>VALUE(Sheet1!B338)</f>
        <v>60.46</v>
      </c>
      <c r="C339" s="9">
        <f>(B339-B338)/B338</f>
        <v>-2.0890688259109298E-2</v>
      </c>
      <c r="D339" s="2">
        <f>MAX(D338,B339)</f>
        <v>103.9</v>
      </c>
      <c r="E339" s="9">
        <f>(B339-D339)/D339</f>
        <v>-0.41809432146294517</v>
      </c>
      <c r="AB339" s="1">
        <f>A339</f>
        <v>45055</v>
      </c>
      <c r="AC339" s="2">
        <f>B339</f>
        <v>60.46</v>
      </c>
      <c r="AD339" s="2">
        <f>337</f>
        <v>337</v>
      </c>
      <c r="AE339" s="2">
        <f>INTERCEPT($AC$3:$AC$1136,$AD$3:$AD$1136)+SLOPE($AC$3:$AC$1136,$AD$3:$AD$1136)*AD339</f>
        <v>75.998636667098026</v>
      </c>
      <c r="AF339" s="2">
        <f t="shared" si="10"/>
        <v>78.650296267500721</v>
      </c>
      <c r="AG339" s="2">
        <f t="shared" si="11"/>
        <v>73.346977066695331</v>
      </c>
      <c r="AH339" s="22">
        <f>AC339-AE339</f>
        <v>-15.538636667098025</v>
      </c>
    </row>
    <row r="340" spans="1:34" x14ac:dyDescent="0.25">
      <c r="A340" s="1">
        <f>DATEVALUE(Sheet1!A339)</f>
        <v>45056</v>
      </c>
      <c r="B340" s="2">
        <f>VALUE(Sheet1!B339)</f>
        <v>60.13</v>
      </c>
      <c r="C340" s="9">
        <f>(B340-B339)/B339</f>
        <v>-5.458154151505099E-3</v>
      </c>
      <c r="D340" s="2">
        <f>MAX(D339,B340)</f>
        <v>103.9</v>
      </c>
      <c r="E340" s="9">
        <f>(B340-D340)/D340</f>
        <v>-0.42127045235803656</v>
      </c>
      <c r="AB340" s="1">
        <f>A340</f>
        <v>45056</v>
      </c>
      <c r="AC340" s="2">
        <f>B340</f>
        <v>60.13</v>
      </c>
      <c r="AD340" s="2">
        <f>338</f>
        <v>338</v>
      </c>
      <c r="AE340" s="2">
        <f>INTERCEPT($AC$3:$AC$1136,$AD$3:$AD$1136)+SLOPE($AC$3:$AC$1136,$AD$3:$AD$1136)*AD340</f>
        <v>75.979924703685569</v>
      </c>
      <c r="AF340" s="2">
        <f t="shared" si="10"/>
        <v>78.631584304088264</v>
      </c>
      <c r="AG340" s="2">
        <f t="shared" si="11"/>
        <v>73.328265103282874</v>
      </c>
      <c r="AH340" s="22">
        <f>AC340-AE340</f>
        <v>-15.849924703685566</v>
      </c>
    </row>
    <row r="341" spans="1:34" x14ac:dyDescent="0.25">
      <c r="A341" s="1">
        <f>DATEVALUE(Sheet1!A340)</f>
        <v>45057</v>
      </c>
      <c r="B341" s="2">
        <f>VALUE(Sheet1!B340)</f>
        <v>58.69</v>
      </c>
      <c r="C341" s="9">
        <f>(B341-B340)/B340</f>
        <v>-2.3948112423083399E-2</v>
      </c>
      <c r="D341" s="2">
        <f>MAX(D340,B341)</f>
        <v>103.9</v>
      </c>
      <c r="E341" s="9">
        <f>(B341-D341)/D341</f>
        <v>-0.43512993262752653</v>
      </c>
      <c r="AB341" s="1">
        <f>A341</f>
        <v>45057</v>
      </c>
      <c r="AC341" s="2">
        <f>B341</f>
        <v>58.69</v>
      </c>
      <c r="AD341" s="2">
        <f>339</f>
        <v>339</v>
      </c>
      <c r="AE341" s="2">
        <f>INTERCEPT($AC$3:$AC$1136,$AD$3:$AD$1136)+SLOPE($AC$3:$AC$1136,$AD$3:$AD$1136)*AD341</f>
        <v>75.961212740273126</v>
      </c>
      <c r="AF341" s="2">
        <f t="shared" si="10"/>
        <v>78.612872340675821</v>
      </c>
      <c r="AG341" s="2">
        <f t="shared" si="11"/>
        <v>73.309553139870431</v>
      </c>
      <c r="AH341" s="22">
        <f>AC341-AE341</f>
        <v>-17.271212740273128</v>
      </c>
    </row>
    <row r="342" spans="1:34" x14ac:dyDescent="0.25">
      <c r="A342" s="1">
        <f>DATEVALUE(Sheet1!A341)</f>
        <v>45058</v>
      </c>
      <c r="B342" s="2">
        <f>VALUE(Sheet1!B341)</f>
        <v>58.79</v>
      </c>
      <c r="C342" s="9">
        <f>(B342-B341)/B341</f>
        <v>1.7038677798603072E-3</v>
      </c>
      <c r="D342" s="2">
        <f>MAX(D341,B342)</f>
        <v>103.9</v>
      </c>
      <c r="E342" s="9">
        <f>(B342-D342)/D342</f>
        <v>-0.43416746871992307</v>
      </c>
      <c r="AB342" s="1">
        <f>A342</f>
        <v>45058</v>
      </c>
      <c r="AC342" s="2">
        <f>B342</f>
        <v>58.79</v>
      </c>
      <c r="AD342" s="2">
        <f>340</f>
        <v>340</v>
      </c>
      <c r="AE342" s="2">
        <f>INTERCEPT($AC$3:$AC$1136,$AD$3:$AD$1136)+SLOPE($AC$3:$AC$1136,$AD$3:$AD$1136)*AD342</f>
        <v>75.942500776860683</v>
      </c>
      <c r="AF342" s="2">
        <f t="shared" si="10"/>
        <v>78.594160377263378</v>
      </c>
      <c r="AG342" s="2">
        <f t="shared" si="11"/>
        <v>73.290841176457988</v>
      </c>
      <c r="AH342" s="22">
        <f>AC342-AE342</f>
        <v>-17.152500776860684</v>
      </c>
    </row>
    <row r="343" spans="1:34" x14ac:dyDescent="0.25">
      <c r="A343" s="1">
        <f>DATEVALUE(Sheet1!A342)</f>
        <v>45061</v>
      </c>
      <c r="B343" s="2">
        <f>VALUE(Sheet1!B342)</f>
        <v>58.83</v>
      </c>
      <c r="C343" s="9">
        <f>(B343-B342)/B342</f>
        <v>6.803878210579886E-4</v>
      </c>
      <c r="D343" s="2">
        <f>MAX(D342,B343)</f>
        <v>103.9</v>
      </c>
      <c r="E343" s="9">
        <f>(B343-D343)/D343</f>
        <v>-0.43378248315688167</v>
      </c>
      <c r="AB343" s="1">
        <f>A343</f>
        <v>45061</v>
      </c>
      <c r="AC343" s="2">
        <f>B343</f>
        <v>58.83</v>
      </c>
      <c r="AD343" s="2">
        <f>341</f>
        <v>341</v>
      </c>
      <c r="AE343" s="2">
        <f>INTERCEPT($AC$3:$AC$1136,$AD$3:$AD$1136)+SLOPE($AC$3:$AC$1136,$AD$3:$AD$1136)*AD343</f>
        <v>75.923788813448226</v>
      </c>
      <c r="AF343" s="2">
        <f t="shared" si="10"/>
        <v>78.575448413850921</v>
      </c>
      <c r="AG343" s="2">
        <f t="shared" si="11"/>
        <v>73.272129213045531</v>
      </c>
      <c r="AH343" s="22">
        <f>AC343-AE343</f>
        <v>-17.093788813448228</v>
      </c>
    </row>
    <row r="344" spans="1:34" x14ac:dyDescent="0.25">
      <c r="A344" s="1">
        <f>DATEVALUE(Sheet1!A343)</f>
        <v>45062</v>
      </c>
      <c r="B344" s="2">
        <f>VALUE(Sheet1!B343)</f>
        <v>58.84</v>
      </c>
      <c r="C344" s="9">
        <f>(B344-B343)/B343</f>
        <v>1.6998130205686071E-4</v>
      </c>
      <c r="D344" s="2">
        <f>MAX(D343,B344)</f>
        <v>103.9</v>
      </c>
      <c r="E344" s="9">
        <f>(B344-D344)/D344</f>
        <v>-0.43368623676612128</v>
      </c>
      <c r="AB344" s="1">
        <f>A344</f>
        <v>45062</v>
      </c>
      <c r="AC344" s="2">
        <f>B344</f>
        <v>58.84</v>
      </c>
      <c r="AD344" s="2">
        <f>342</f>
        <v>342</v>
      </c>
      <c r="AE344" s="2">
        <f>INTERCEPT($AC$3:$AC$1136,$AD$3:$AD$1136)+SLOPE($AC$3:$AC$1136,$AD$3:$AD$1136)*AD344</f>
        <v>75.905076850035783</v>
      </c>
      <c r="AF344" s="2">
        <f t="shared" si="10"/>
        <v>78.556736450438478</v>
      </c>
      <c r="AG344" s="2">
        <f t="shared" si="11"/>
        <v>73.253417249633088</v>
      </c>
      <c r="AH344" s="22">
        <f>AC344-AE344</f>
        <v>-17.06507685003578</v>
      </c>
    </row>
    <row r="345" spans="1:34" x14ac:dyDescent="0.25">
      <c r="A345" s="1">
        <f>DATEVALUE(Sheet1!A344)</f>
        <v>45063</v>
      </c>
      <c r="B345" s="2">
        <f>VALUE(Sheet1!B344)</f>
        <v>57.43</v>
      </c>
      <c r="C345" s="9">
        <f>(B345-B344)/B344</f>
        <v>-2.3963290278722019E-2</v>
      </c>
      <c r="D345" s="2">
        <f>MAX(D344,B345)</f>
        <v>103.9</v>
      </c>
      <c r="E345" s="9">
        <f>(B345-D345)/D345</f>
        <v>-0.44725697786333019</v>
      </c>
      <c r="AB345" s="1">
        <f>A345</f>
        <v>45063</v>
      </c>
      <c r="AC345" s="2">
        <f>B345</f>
        <v>57.43</v>
      </c>
      <c r="AD345" s="2">
        <f>343</f>
        <v>343</v>
      </c>
      <c r="AE345" s="2">
        <f>INTERCEPT($AC$3:$AC$1136,$AD$3:$AD$1136)+SLOPE($AC$3:$AC$1136,$AD$3:$AD$1136)*AD345</f>
        <v>75.88636488662334</v>
      </c>
      <c r="AF345" s="2">
        <f t="shared" si="10"/>
        <v>78.538024487026036</v>
      </c>
      <c r="AG345" s="2">
        <f t="shared" si="11"/>
        <v>73.234705286220645</v>
      </c>
      <c r="AH345" s="22">
        <f>AC345-AE345</f>
        <v>-18.456364886623341</v>
      </c>
    </row>
    <row r="346" spans="1:34" x14ac:dyDescent="0.25">
      <c r="A346" s="1">
        <f>DATEVALUE(Sheet1!A345)</f>
        <v>45064</v>
      </c>
      <c r="B346" s="2">
        <f>VALUE(Sheet1!B345)</f>
        <v>56.51</v>
      </c>
      <c r="C346" s="9">
        <f>(B346-B345)/B345</f>
        <v>-1.6019502002437781E-2</v>
      </c>
      <c r="D346" s="2">
        <f>MAX(D345,B346)</f>
        <v>103.9</v>
      </c>
      <c r="E346" s="9">
        <f>(B346-D346)/D346</f>
        <v>-0.45611164581328206</v>
      </c>
      <c r="AB346" s="1">
        <f>A346</f>
        <v>45064</v>
      </c>
      <c r="AC346" s="2">
        <f>B346</f>
        <v>56.51</v>
      </c>
      <c r="AD346" s="2">
        <f>344</f>
        <v>344</v>
      </c>
      <c r="AE346" s="2">
        <f>INTERCEPT($AC$3:$AC$1136,$AD$3:$AD$1136)+SLOPE($AC$3:$AC$1136,$AD$3:$AD$1136)*AD346</f>
        <v>75.867652923210898</v>
      </c>
      <c r="AF346" s="2">
        <f t="shared" si="10"/>
        <v>78.519312523613593</v>
      </c>
      <c r="AG346" s="2">
        <f t="shared" si="11"/>
        <v>73.215993322808202</v>
      </c>
      <c r="AH346" s="22">
        <f>AC346-AE346</f>
        <v>-19.3576529232109</v>
      </c>
    </row>
    <row r="347" spans="1:34" x14ac:dyDescent="0.25">
      <c r="A347" s="1">
        <f>DATEVALUE(Sheet1!A346)</f>
        <v>45065</v>
      </c>
      <c r="B347" s="2">
        <f>VALUE(Sheet1!B346)</f>
        <v>56.04</v>
      </c>
      <c r="C347" s="9">
        <f>(B347-B346)/B346</f>
        <v>-8.3171120155724459E-3</v>
      </c>
      <c r="D347" s="2">
        <f>MAX(D346,B347)</f>
        <v>103.9</v>
      </c>
      <c r="E347" s="9">
        <f>(B347-D347)/D347</f>
        <v>-0.46063522617901831</v>
      </c>
      <c r="AB347" s="1">
        <f>A347</f>
        <v>45065</v>
      </c>
      <c r="AC347" s="2">
        <f>B347</f>
        <v>56.04</v>
      </c>
      <c r="AD347" s="2">
        <f>345</f>
        <v>345</v>
      </c>
      <c r="AE347" s="2">
        <f>INTERCEPT($AC$3:$AC$1136,$AD$3:$AD$1136)+SLOPE($AC$3:$AC$1136,$AD$3:$AD$1136)*AD347</f>
        <v>75.848940959798441</v>
      </c>
      <c r="AF347" s="2">
        <f t="shared" si="10"/>
        <v>78.500600560201136</v>
      </c>
      <c r="AG347" s="2">
        <f t="shared" si="11"/>
        <v>73.197281359395745</v>
      </c>
      <c r="AH347" s="22">
        <f>AC347-AE347</f>
        <v>-19.808940959798441</v>
      </c>
    </row>
    <row r="348" spans="1:34" x14ac:dyDescent="0.25">
      <c r="A348" s="1">
        <f>DATEVALUE(Sheet1!A347)</f>
        <v>45068</v>
      </c>
      <c r="B348" s="2">
        <f>VALUE(Sheet1!B347)</f>
        <v>55.83</v>
      </c>
      <c r="C348" s="9">
        <f>(B348-B347)/B347</f>
        <v>-3.7473233404711074E-3</v>
      </c>
      <c r="D348" s="2">
        <f>MAX(D347,B348)</f>
        <v>103.9</v>
      </c>
      <c r="E348" s="9">
        <f>(B348-D348)/D348</f>
        <v>-0.46265640038498562</v>
      </c>
      <c r="AB348" s="1">
        <f>A348</f>
        <v>45068</v>
      </c>
      <c r="AC348" s="2">
        <f>B348</f>
        <v>55.83</v>
      </c>
      <c r="AD348" s="2">
        <f>346</f>
        <v>346</v>
      </c>
      <c r="AE348" s="2">
        <f>INTERCEPT($AC$3:$AC$1136,$AD$3:$AD$1136)+SLOPE($AC$3:$AC$1136,$AD$3:$AD$1136)*AD348</f>
        <v>75.830228996385998</v>
      </c>
      <c r="AF348" s="2">
        <f t="shared" si="10"/>
        <v>78.481888596788693</v>
      </c>
      <c r="AG348" s="2">
        <f t="shared" si="11"/>
        <v>73.178569395983303</v>
      </c>
      <c r="AH348" s="22">
        <f>AC348-AE348</f>
        <v>-20.000228996385999</v>
      </c>
    </row>
    <row r="349" spans="1:34" x14ac:dyDescent="0.25">
      <c r="A349" s="1">
        <f>DATEVALUE(Sheet1!A348)</f>
        <v>45069</v>
      </c>
      <c r="B349" s="2">
        <f>VALUE(Sheet1!B348)</f>
        <v>55.16</v>
      </c>
      <c r="C349" s="9">
        <f>(B349-B348)/B348</f>
        <v>-1.2000716460684251E-2</v>
      </c>
      <c r="D349" s="2">
        <f>MAX(D348,B349)</f>
        <v>103.9</v>
      </c>
      <c r="E349" s="9">
        <f>(B349-D349)/D349</f>
        <v>-0.46910490856592885</v>
      </c>
      <c r="AB349" s="1">
        <f>A349</f>
        <v>45069</v>
      </c>
      <c r="AC349" s="2">
        <f>B349</f>
        <v>55.16</v>
      </c>
      <c r="AD349" s="2">
        <f>347</f>
        <v>347</v>
      </c>
      <c r="AE349" s="2">
        <f>INTERCEPT($AC$3:$AC$1136,$AD$3:$AD$1136)+SLOPE($AC$3:$AC$1136,$AD$3:$AD$1136)*AD349</f>
        <v>75.811517032973555</v>
      </c>
      <c r="AF349" s="2">
        <f t="shared" si="10"/>
        <v>78.46317663337625</v>
      </c>
      <c r="AG349" s="2">
        <f t="shared" si="11"/>
        <v>73.15985743257086</v>
      </c>
      <c r="AH349" s="22">
        <f>AC349-AE349</f>
        <v>-20.651517032973558</v>
      </c>
    </row>
    <row r="350" spans="1:34" x14ac:dyDescent="0.25">
      <c r="A350" s="1">
        <f>DATEVALUE(Sheet1!A349)</f>
        <v>45070</v>
      </c>
      <c r="B350" s="2">
        <f>VALUE(Sheet1!B349)</f>
        <v>54.56</v>
      </c>
      <c r="C350" s="9">
        <f>(B350-B349)/B349</f>
        <v>-1.0877447425670674E-2</v>
      </c>
      <c r="D350" s="2">
        <f>MAX(D349,B350)</f>
        <v>103.9</v>
      </c>
      <c r="E350" s="9">
        <f>(B350-D350)/D350</f>
        <v>-0.47487969201154956</v>
      </c>
      <c r="AB350" s="1">
        <f>A350</f>
        <v>45070</v>
      </c>
      <c r="AC350" s="2">
        <f>B350</f>
        <v>54.56</v>
      </c>
      <c r="AD350" s="2">
        <f>348</f>
        <v>348</v>
      </c>
      <c r="AE350" s="2">
        <f>INTERCEPT($AC$3:$AC$1136,$AD$3:$AD$1136)+SLOPE($AC$3:$AC$1136,$AD$3:$AD$1136)*AD350</f>
        <v>75.792805069561098</v>
      </c>
      <c r="AF350" s="2">
        <f t="shared" si="10"/>
        <v>78.444464669963793</v>
      </c>
      <c r="AG350" s="2">
        <f t="shared" si="11"/>
        <v>73.141145469158403</v>
      </c>
      <c r="AH350" s="22">
        <f>AC350-AE350</f>
        <v>-21.232805069561095</v>
      </c>
    </row>
    <row r="351" spans="1:34" x14ac:dyDescent="0.25">
      <c r="A351" s="1">
        <f>DATEVALUE(Sheet1!A350)</f>
        <v>45071</v>
      </c>
      <c r="B351" s="2">
        <f>VALUE(Sheet1!B350)</f>
        <v>55</v>
      </c>
      <c r="C351" s="9">
        <f>(B351-B350)/B350</f>
        <v>8.0645161290322162E-3</v>
      </c>
      <c r="D351" s="2">
        <f>MAX(D350,B351)</f>
        <v>103.9</v>
      </c>
      <c r="E351" s="9">
        <f>(B351-D351)/D351</f>
        <v>-0.47064485081809437</v>
      </c>
      <c r="AB351" s="1">
        <f>A351</f>
        <v>45071</v>
      </c>
      <c r="AC351" s="2">
        <f>B351</f>
        <v>55</v>
      </c>
      <c r="AD351" s="2">
        <f>349</f>
        <v>349</v>
      </c>
      <c r="AE351" s="2">
        <f>INTERCEPT($AC$3:$AC$1136,$AD$3:$AD$1136)+SLOPE($AC$3:$AC$1136,$AD$3:$AD$1136)*AD351</f>
        <v>75.774093106148655</v>
      </c>
      <c r="AF351" s="2">
        <f t="shared" si="10"/>
        <v>78.42575270655135</v>
      </c>
      <c r="AG351" s="2">
        <f t="shared" si="11"/>
        <v>73.12243350574596</v>
      </c>
      <c r="AH351" s="22">
        <f>AC351-AE351</f>
        <v>-20.774093106148655</v>
      </c>
    </row>
    <row r="352" spans="1:34" x14ac:dyDescent="0.25">
      <c r="A352" s="1">
        <f>DATEVALUE(Sheet1!A351)</f>
        <v>45072</v>
      </c>
      <c r="B352" s="2">
        <f>VALUE(Sheet1!B351)</f>
        <v>54.82</v>
      </c>
      <c r="C352" s="9">
        <f>(B352-B351)/B351</f>
        <v>-3.2727272727272674E-3</v>
      </c>
      <c r="D352" s="2">
        <f>MAX(D351,B352)</f>
        <v>103.9</v>
      </c>
      <c r="E352" s="9">
        <f>(B352-D352)/D352</f>
        <v>-0.47237728585178057</v>
      </c>
      <c r="AB352" s="1">
        <f>A352</f>
        <v>45072</v>
      </c>
      <c r="AC352" s="2">
        <f>B352</f>
        <v>54.82</v>
      </c>
      <c r="AD352" s="2">
        <f>350</f>
        <v>350</v>
      </c>
      <c r="AE352" s="2">
        <f>INTERCEPT($AC$3:$AC$1136,$AD$3:$AD$1136)+SLOPE($AC$3:$AC$1136,$AD$3:$AD$1136)*AD352</f>
        <v>75.755381142736212</v>
      </c>
      <c r="AF352" s="2">
        <f t="shared" si="10"/>
        <v>78.407040743138907</v>
      </c>
      <c r="AG352" s="2">
        <f t="shared" si="11"/>
        <v>73.103721542333517</v>
      </c>
      <c r="AH352" s="22">
        <f>AC352-AE352</f>
        <v>-20.935381142736212</v>
      </c>
    </row>
    <row r="353" spans="1:34" x14ac:dyDescent="0.25">
      <c r="A353" s="1">
        <f>DATEVALUE(Sheet1!A352)</f>
        <v>45075</v>
      </c>
      <c r="B353" s="2">
        <f>VALUE(Sheet1!B352)</f>
        <v>54.83</v>
      </c>
      <c r="C353" s="9">
        <f>(B353-B352)/B352</f>
        <v>1.8241517694268534E-4</v>
      </c>
      <c r="D353" s="2">
        <f>MAX(D352,B353)</f>
        <v>103.9</v>
      </c>
      <c r="E353" s="9">
        <f>(B353-D353)/D353</f>
        <v>-0.47228103946102024</v>
      </c>
      <c r="AB353" s="1">
        <f>A353</f>
        <v>45075</v>
      </c>
      <c r="AC353" s="2">
        <f>B353</f>
        <v>54.83</v>
      </c>
      <c r="AD353" s="2">
        <f>351</f>
        <v>351</v>
      </c>
      <c r="AE353" s="2">
        <f>INTERCEPT($AC$3:$AC$1136,$AD$3:$AD$1136)+SLOPE($AC$3:$AC$1136,$AD$3:$AD$1136)*AD353</f>
        <v>75.736669179323769</v>
      </c>
      <c r="AF353" s="2">
        <f t="shared" si="10"/>
        <v>78.388328779726464</v>
      </c>
      <c r="AG353" s="2">
        <f t="shared" si="11"/>
        <v>73.085009578921074</v>
      </c>
      <c r="AH353" s="22">
        <f>AC353-AE353</f>
        <v>-20.906669179323771</v>
      </c>
    </row>
    <row r="354" spans="1:34" x14ac:dyDescent="0.25">
      <c r="A354" s="1">
        <f>DATEVALUE(Sheet1!A353)</f>
        <v>45076</v>
      </c>
      <c r="B354" s="2">
        <f>VALUE(Sheet1!B353)</f>
        <v>54.27</v>
      </c>
      <c r="C354" s="9">
        <f>(B354-B353)/B353</f>
        <v>-1.0213386832026175E-2</v>
      </c>
      <c r="D354" s="2">
        <f>MAX(D353,B354)</f>
        <v>103.9</v>
      </c>
      <c r="E354" s="9">
        <f>(B354-D354)/D354</f>
        <v>-0.47767083734359961</v>
      </c>
      <c r="AB354" s="1">
        <f>A354</f>
        <v>45076</v>
      </c>
      <c r="AC354" s="2">
        <f>B354</f>
        <v>54.27</v>
      </c>
      <c r="AD354" s="2">
        <f>352</f>
        <v>352</v>
      </c>
      <c r="AE354" s="2">
        <f>INTERCEPT($AC$3:$AC$1136,$AD$3:$AD$1136)+SLOPE($AC$3:$AC$1136,$AD$3:$AD$1136)*AD354</f>
        <v>75.717957215911312</v>
      </c>
      <c r="AF354" s="2">
        <f t="shared" si="10"/>
        <v>78.369616816314007</v>
      </c>
      <c r="AG354" s="2">
        <f t="shared" si="11"/>
        <v>73.066297615508617</v>
      </c>
      <c r="AH354" s="22">
        <f>AC354-AE354</f>
        <v>-21.447957215911309</v>
      </c>
    </row>
    <row r="355" spans="1:34" x14ac:dyDescent="0.25">
      <c r="A355" s="1">
        <f>DATEVALUE(Sheet1!A354)</f>
        <v>45077</v>
      </c>
      <c r="B355" s="2">
        <f>VALUE(Sheet1!B354)</f>
        <v>53.77</v>
      </c>
      <c r="C355" s="9">
        <f>(B355-B354)/B354</f>
        <v>-9.2131932927952825E-3</v>
      </c>
      <c r="D355" s="2">
        <f>MAX(D354,B355)</f>
        <v>103.9</v>
      </c>
      <c r="E355" s="9">
        <f>(B355-D355)/D355</f>
        <v>-0.48248315688161691</v>
      </c>
      <c r="AB355" s="1">
        <f>A355</f>
        <v>45077</v>
      </c>
      <c r="AC355" s="2">
        <f>B355</f>
        <v>53.77</v>
      </c>
      <c r="AD355" s="2">
        <f>353</f>
        <v>353</v>
      </c>
      <c r="AE355" s="2">
        <f>INTERCEPT($AC$3:$AC$1136,$AD$3:$AD$1136)+SLOPE($AC$3:$AC$1136,$AD$3:$AD$1136)*AD355</f>
        <v>75.699245252498869</v>
      </c>
      <c r="AF355" s="2">
        <f t="shared" si="10"/>
        <v>78.350904852901564</v>
      </c>
      <c r="AG355" s="2">
        <f t="shared" si="11"/>
        <v>73.047585652096174</v>
      </c>
      <c r="AH355" s="22">
        <f>AC355-AE355</f>
        <v>-21.929245252498866</v>
      </c>
    </row>
    <row r="356" spans="1:34" x14ac:dyDescent="0.25">
      <c r="A356" s="1">
        <f>DATEVALUE(Sheet1!A355)</f>
        <v>45078</v>
      </c>
      <c r="B356" s="2">
        <f>VALUE(Sheet1!B355)</f>
        <v>53.9</v>
      </c>
      <c r="C356" s="9">
        <f>(B356-B355)/B355</f>
        <v>2.417705039985037E-3</v>
      </c>
      <c r="D356" s="2">
        <f>MAX(D355,B356)</f>
        <v>103.9</v>
      </c>
      <c r="E356" s="9">
        <f>(B356-D356)/D356</f>
        <v>-0.4812319538017325</v>
      </c>
      <c r="AB356" s="1">
        <f>A356</f>
        <v>45078</v>
      </c>
      <c r="AC356" s="2">
        <f>B356</f>
        <v>53.9</v>
      </c>
      <c r="AD356" s="2">
        <f>354</f>
        <v>354</v>
      </c>
      <c r="AE356" s="2">
        <f>INTERCEPT($AC$3:$AC$1136,$AD$3:$AD$1136)+SLOPE($AC$3:$AC$1136,$AD$3:$AD$1136)*AD356</f>
        <v>75.680533289086426</v>
      </c>
      <c r="AF356" s="2">
        <f t="shared" si="10"/>
        <v>78.332192889489122</v>
      </c>
      <c r="AG356" s="2">
        <f t="shared" si="11"/>
        <v>73.028873688683731</v>
      </c>
      <c r="AH356" s="22">
        <f>AC356-AE356</f>
        <v>-21.780533289086428</v>
      </c>
    </row>
    <row r="357" spans="1:34" x14ac:dyDescent="0.25">
      <c r="A357" s="1">
        <f>DATEVALUE(Sheet1!A356)</f>
        <v>45079</v>
      </c>
      <c r="B357" s="2">
        <f>VALUE(Sheet1!B356)</f>
        <v>53.72</v>
      </c>
      <c r="C357" s="9">
        <f>(B357-B356)/B356</f>
        <v>-3.3395176252319059E-3</v>
      </c>
      <c r="D357" s="2">
        <f>MAX(D356,B357)</f>
        <v>103.9</v>
      </c>
      <c r="E357" s="9">
        <f>(B357-D357)/D357</f>
        <v>-0.4829643888354187</v>
      </c>
      <c r="AB357" s="1">
        <f>A357</f>
        <v>45079</v>
      </c>
      <c r="AC357" s="2">
        <f>B357</f>
        <v>53.72</v>
      </c>
      <c r="AD357" s="2">
        <f>355</f>
        <v>355</v>
      </c>
      <c r="AE357" s="2">
        <f>INTERCEPT($AC$3:$AC$1136,$AD$3:$AD$1136)+SLOPE($AC$3:$AC$1136,$AD$3:$AD$1136)*AD357</f>
        <v>75.661821325673984</v>
      </c>
      <c r="AF357" s="2">
        <f t="shared" si="10"/>
        <v>78.313480926076679</v>
      </c>
      <c r="AG357" s="2">
        <f t="shared" si="11"/>
        <v>73.010161725271288</v>
      </c>
      <c r="AH357" s="22">
        <f>AC357-AE357</f>
        <v>-21.941821325673985</v>
      </c>
    </row>
    <row r="358" spans="1:34" x14ac:dyDescent="0.25">
      <c r="A358" s="1">
        <f>DATEVALUE(Sheet1!A357)</f>
        <v>45082</v>
      </c>
      <c r="B358" s="2">
        <f>VALUE(Sheet1!B357)</f>
        <v>53.63</v>
      </c>
      <c r="C358" s="9">
        <f>(B358-B357)/B357</f>
        <v>-1.6753536857780399E-3</v>
      </c>
      <c r="D358" s="2">
        <f>MAX(D357,B358)</f>
        <v>103.9</v>
      </c>
      <c r="E358" s="9">
        <f>(B358-D358)/D358</f>
        <v>-0.48383060635226177</v>
      </c>
      <c r="AB358" s="1">
        <f>A358</f>
        <v>45082</v>
      </c>
      <c r="AC358" s="2">
        <f>B358</f>
        <v>53.63</v>
      </c>
      <c r="AD358" s="2">
        <f>356</f>
        <v>356</v>
      </c>
      <c r="AE358" s="2">
        <f>INTERCEPT($AC$3:$AC$1136,$AD$3:$AD$1136)+SLOPE($AC$3:$AC$1136,$AD$3:$AD$1136)*AD358</f>
        <v>75.643109362261526</v>
      </c>
      <c r="AF358" s="2">
        <f t="shared" si="10"/>
        <v>78.294768962664222</v>
      </c>
      <c r="AG358" s="2">
        <f t="shared" si="11"/>
        <v>72.991449761858831</v>
      </c>
      <c r="AH358" s="22">
        <f>AC358-AE358</f>
        <v>-22.013109362261524</v>
      </c>
    </row>
    <row r="359" spans="1:34" x14ac:dyDescent="0.25">
      <c r="A359" s="1">
        <f>DATEVALUE(Sheet1!A358)</f>
        <v>45083</v>
      </c>
      <c r="B359" s="2">
        <f>VALUE(Sheet1!B358)</f>
        <v>54.07</v>
      </c>
      <c r="C359" s="9">
        <f>(B359-B358)/B358</f>
        <v>8.204363229535664E-3</v>
      </c>
      <c r="D359" s="2">
        <f>MAX(D358,B359)</f>
        <v>103.9</v>
      </c>
      <c r="E359" s="9">
        <f>(B359-D359)/D359</f>
        <v>-0.47959576515880659</v>
      </c>
      <c r="AB359" s="1">
        <f>A359</f>
        <v>45083</v>
      </c>
      <c r="AC359" s="2">
        <f>B359</f>
        <v>54.07</v>
      </c>
      <c r="AD359" s="2">
        <f>357</f>
        <v>357</v>
      </c>
      <c r="AE359" s="2">
        <f>INTERCEPT($AC$3:$AC$1136,$AD$3:$AD$1136)+SLOPE($AC$3:$AC$1136,$AD$3:$AD$1136)*AD359</f>
        <v>75.624397398849084</v>
      </c>
      <c r="AF359" s="2">
        <f t="shared" si="10"/>
        <v>78.276056999251779</v>
      </c>
      <c r="AG359" s="2">
        <f t="shared" si="11"/>
        <v>72.972737798446389</v>
      </c>
      <c r="AH359" s="22">
        <f>AC359-AE359</f>
        <v>-21.554397398849083</v>
      </c>
    </row>
    <row r="360" spans="1:34" x14ac:dyDescent="0.25">
      <c r="A360" s="1">
        <f>DATEVALUE(Sheet1!A359)</f>
        <v>45084</v>
      </c>
      <c r="B360" s="2">
        <f>VALUE(Sheet1!B359)</f>
        <v>53.72</v>
      </c>
      <c r="C360" s="9">
        <f>(B360-B359)/B359</f>
        <v>-6.4730904383207217E-3</v>
      </c>
      <c r="D360" s="2">
        <f>MAX(D359,B360)</f>
        <v>103.9</v>
      </c>
      <c r="E360" s="9">
        <f>(B360-D360)/D360</f>
        <v>-0.4829643888354187</v>
      </c>
      <c r="AB360" s="1">
        <f>A360</f>
        <v>45084</v>
      </c>
      <c r="AC360" s="2">
        <f>B360</f>
        <v>53.72</v>
      </c>
      <c r="AD360" s="2">
        <f>358</f>
        <v>358</v>
      </c>
      <c r="AE360" s="2">
        <f>INTERCEPT($AC$3:$AC$1136,$AD$3:$AD$1136)+SLOPE($AC$3:$AC$1136,$AD$3:$AD$1136)*AD360</f>
        <v>75.605685435436641</v>
      </c>
      <c r="AF360" s="2">
        <f t="shared" si="10"/>
        <v>78.257345035839336</v>
      </c>
      <c r="AG360" s="2">
        <f t="shared" si="11"/>
        <v>72.954025835033946</v>
      </c>
      <c r="AH360" s="22">
        <f>AC360-AE360</f>
        <v>-21.885685435436642</v>
      </c>
    </row>
    <row r="361" spans="1:34" x14ac:dyDescent="0.25">
      <c r="A361" s="1">
        <f>DATEVALUE(Sheet1!A360)</f>
        <v>45086</v>
      </c>
      <c r="B361" s="2">
        <f>VALUE(Sheet1!B360)</f>
        <v>53.73</v>
      </c>
      <c r="C361" s="9">
        <f>(B361-B360)/B360</f>
        <v>1.8615040953086394E-4</v>
      </c>
      <c r="D361" s="2">
        <f>MAX(D360,B361)</f>
        <v>103.9</v>
      </c>
      <c r="E361" s="9">
        <f>(B361-D361)/D361</f>
        <v>-0.48286814244465837</v>
      </c>
      <c r="AB361" s="1">
        <f>A361</f>
        <v>45086</v>
      </c>
      <c r="AC361" s="2">
        <f>B361</f>
        <v>53.73</v>
      </c>
      <c r="AD361" s="2">
        <f>359</f>
        <v>359</v>
      </c>
      <c r="AE361" s="2">
        <f>INTERCEPT($AC$3:$AC$1136,$AD$3:$AD$1136)+SLOPE($AC$3:$AC$1136,$AD$3:$AD$1136)*AD361</f>
        <v>75.586973472024198</v>
      </c>
      <c r="AF361" s="2">
        <f t="shared" si="10"/>
        <v>78.238633072426893</v>
      </c>
      <c r="AG361" s="2">
        <f t="shared" si="11"/>
        <v>72.935313871621503</v>
      </c>
      <c r="AH361" s="22">
        <f>AC361-AE361</f>
        <v>-21.856973472024201</v>
      </c>
    </row>
    <row r="362" spans="1:34" x14ac:dyDescent="0.25">
      <c r="A362" s="1">
        <f>DATEVALUE(Sheet1!A361)</f>
        <v>45089</v>
      </c>
      <c r="B362" s="2">
        <f>VALUE(Sheet1!B361)</f>
        <v>53.77</v>
      </c>
      <c r="C362" s="9">
        <f>(B362-B361)/B361</f>
        <v>7.4446305602096142E-4</v>
      </c>
      <c r="D362" s="2">
        <f>MAX(D361,B362)</f>
        <v>103.9</v>
      </c>
      <c r="E362" s="9">
        <f>(B362-D362)/D362</f>
        <v>-0.48248315688161691</v>
      </c>
      <c r="AB362" s="1">
        <f>A362</f>
        <v>45089</v>
      </c>
      <c r="AC362" s="2">
        <f>B362</f>
        <v>53.77</v>
      </c>
      <c r="AD362" s="2">
        <f>360</f>
        <v>360</v>
      </c>
      <c r="AE362" s="2">
        <f>INTERCEPT($AC$3:$AC$1136,$AD$3:$AD$1136)+SLOPE($AC$3:$AC$1136,$AD$3:$AD$1136)*AD362</f>
        <v>75.568261508611741</v>
      </c>
      <c r="AF362" s="2">
        <f t="shared" si="10"/>
        <v>78.219921109014436</v>
      </c>
      <c r="AG362" s="2">
        <f t="shared" si="11"/>
        <v>72.916601908209046</v>
      </c>
      <c r="AH362" s="22">
        <f>AC362-AE362</f>
        <v>-21.798261508611738</v>
      </c>
    </row>
    <row r="363" spans="1:34" x14ac:dyDescent="0.25">
      <c r="A363" s="1">
        <f>DATEVALUE(Sheet1!A362)</f>
        <v>45090</v>
      </c>
      <c r="B363" s="2">
        <f>VALUE(Sheet1!B362)</f>
        <v>54.07</v>
      </c>
      <c r="C363" s="9">
        <f>(B363-B362)/B362</f>
        <v>5.5793193230425355E-3</v>
      </c>
      <c r="D363" s="2">
        <f>MAX(D362,B363)</f>
        <v>103.9</v>
      </c>
      <c r="E363" s="9">
        <f>(B363-D363)/D363</f>
        <v>-0.47959576515880659</v>
      </c>
      <c r="AB363" s="1">
        <f>A363</f>
        <v>45090</v>
      </c>
      <c r="AC363" s="2">
        <f>B363</f>
        <v>54.07</v>
      </c>
      <c r="AD363" s="2">
        <f>361</f>
        <v>361</v>
      </c>
      <c r="AE363" s="2">
        <f>INTERCEPT($AC$3:$AC$1136,$AD$3:$AD$1136)+SLOPE($AC$3:$AC$1136,$AD$3:$AD$1136)*AD363</f>
        <v>75.549549545199298</v>
      </c>
      <c r="AF363" s="2">
        <f t="shared" si="10"/>
        <v>78.201209145601993</v>
      </c>
      <c r="AG363" s="2">
        <f t="shared" si="11"/>
        <v>72.897889944796603</v>
      </c>
      <c r="AH363" s="22">
        <f>AC363-AE363</f>
        <v>-21.479549545199298</v>
      </c>
    </row>
    <row r="364" spans="1:34" x14ac:dyDescent="0.25">
      <c r="A364" s="1">
        <f>DATEVALUE(Sheet1!A363)</f>
        <v>45091</v>
      </c>
      <c r="B364" s="2">
        <f>VALUE(Sheet1!B363)</f>
        <v>54.33</v>
      </c>
      <c r="C364" s="9">
        <f>(B364-B363)/B363</f>
        <v>4.8085814684667655E-3</v>
      </c>
      <c r="D364" s="2">
        <f>MAX(D363,B364)</f>
        <v>103.9</v>
      </c>
      <c r="E364" s="9">
        <f>(B364-D364)/D364</f>
        <v>-0.4770933589990376</v>
      </c>
      <c r="AB364" s="1">
        <f>A364</f>
        <v>45091</v>
      </c>
      <c r="AC364" s="2">
        <f>B364</f>
        <v>54.33</v>
      </c>
      <c r="AD364" s="2">
        <f>362</f>
        <v>362</v>
      </c>
      <c r="AE364" s="2">
        <f>INTERCEPT($AC$3:$AC$1136,$AD$3:$AD$1136)+SLOPE($AC$3:$AC$1136,$AD$3:$AD$1136)*AD364</f>
        <v>75.530837581786855</v>
      </c>
      <c r="AF364" s="2">
        <f t="shared" si="10"/>
        <v>78.18249718218955</v>
      </c>
      <c r="AG364" s="2">
        <f t="shared" si="11"/>
        <v>72.87917798138416</v>
      </c>
      <c r="AH364" s="22">
        <f>AC364-AE364</f>
        <v>-21.200837581786857</v>
      </c>
    </row>
    <row r="365" spans="1:34" x14ac:dyDescent="0.25">
      <c r="A365" s="1">
        <f>DATEVALUE(Sheet1!A364)</f>
        <v>45092</v>
      </c>
      <c r="B365" s="2">
        <f>VALUE(Sheet1!B364)</f>
        <v>54.35</v>
      </c>
      <c r="C365" s="9">
        <f>(B365-B364)/B364</f>
        <v>3.6812074360395965E-4</v>
      </c>
      <c r="D365" s="2">
        <f>MAX(D364,B365)</f>
        <v>103.9</v>
      </c>
      <c r="E365" s="9">
        <f>(B365-D365)/D365</f>
        <v>-0.47690086621751687</v>
      </c>
      <c r="AB365" s="1">
        <f>A365</f>
        <v>45092</v>
      </c>
      <c r="AC365" s="2">
        <f>B365</f>
        <v>54.35</v>
      </c>
      <c r="AD365" s="2">
        <f>363</f>
        <v>363</v>
      </c>
      <c r="AE365" s="2">
        <f>INTERCEPT($AC$3:$AC$1136,$AD$3:$AD$1136)+SLOPE($AC$3:$AC$1136,$AD$3:$AD$1136)*AD365</f>
        <v>75.512125618374398</v>
      </c>
      <c r="AF365" s="2">
        <f t="shared" si="10"/>
        <v>78.163785218777093</v>
      </c>
      <c r="AG365" s="2">
        <f t="shared" si="11"/>
        <v>72.860466017971703</v>
      </c>
      <c r="AH365" s="22">
        <f>AC365-AE365</f>
        <v>-21.162125618374397</v>
      </c>
    </row>
    <row r="366" spans="1:34" x14ac:dyDescent="0.25">
      <c r="A366" s="1">
        <f>DATEVALUE(Sheet1!A365)</f>
        <v>45093</v>
      </c>
      <c r="B366" s="2">
        <f>VALUE(Sheet1!B365)</f>
        <v>54.36</v>
      </c>
      <c r="C366" s="9">
        <f>(B366-B365)/B365</f>
        <v>1.8399264029435162E-4</v>
      </c>
      <c r="D366" s="2">
        <f>MAX(D365,B366)</f>
        <v>103.9</v>
      </c>
      <c r="E366" s="9">
        <f>(B366-D366)/D366</f>
        <v>-0.47680461982675654</v>
      </c>
      <c r="AB366" s="1">
        <f>A366</f>
        <v>45093</v>
      </c>
      <c r="AC366" s="2">
        <f>B366</f>
        <v>54.36</v>
      </c>
      <c r="AD366" s="2">
        <f>364</f>
        <v>364</v>
      </c>
      <c r="AE366" s="2">
        <f>INTERCEPT($AC$3:$AC$1136,$AD$3:$AD$1136)+SLOPE($AC$3:$AC$1136,$AD$3:$AD$1136)*AD366</f>
        <v>75.493413654961955</v>
      </c>
      <c r="AF366" s="2">
        <f t="shared" si="10"/>
        <v>78.14507325536465</v>
      </c>
      <c r="AG366" s="2">
        <f t="shared" si="11"/>
        <v>72.84175405455926</v>
      </c>
      <c r="AH366" s="22">
        <f>AC366-AE366</f>
        <v>-21.133413654961956</v>
      </c>
    </row>
    <row r="367" spans="1:34" x14ac:dyDescent="0.25">
      <c r="A367" s="1">
        <f>DATEVALUE(Sheet1!A366)</f>
        <v>45096</v>
      </c>
      <c r="B367" s="2">
        <f>VALUE(Sheet1!B366)</f>
        <v>54.47</v>
      </c>
      <c r="C367" s="9">
        <f>(B367-B366)/B366</f>
        <v>2.0235467255334699E-3</v>
      </c>
      <c r="D367" s="2">
        <f>MAX(D366,B367)</f>
        <v>103.9</v>
      </c>
      <c r="E367" s="9">
        <f>(B367-D367)/D367</f>
        <v>-0.47574590952839274</v>
      </c>
      <c r="AB367" s="1">
        <f>A367</f>
        <v>45096</v>
      </c>
      <c r="AC367" s="2">
        <f>B367</f>
        <v>54.47</v>
      </c>
      <c r="AD367" s="2">
        <f>365</f>
        <v>365</v>
      </c>
      <c r="AE367" s="2">
        <f>INTERCEPT($AC$3:$AC$1136,$AD$3:$AD$1136)+SLOPE($AC$3:$AC$1136,$AD$3:$AD$1136)*AD367</f>
        <v>75.474701691549512</v>
      </c>
      <c r="AF367" s="2">
        <f t="shared" si="10"/>
        <v>78.126361291952207</v>
      </c>
      <c r="AG367" s="2">
        <f t="shared" si="11"/>
        <v>72.823042091146817</v>
      </c>
      <c r="AH367" s="22">
        <f>AC367-AE367</f>
        <v>-21.004701691549513</v>
      </c>
    </row>
    <row r="368" spans="1:34" x14ac:dyDescent="0.25">
      <c r="A368" s="1">
        <f>DATEVALUE(Sheet1!A367)</f>
        <v>45097</v>
      </c>
      <c r="B368" s="2">
        <f>VALUE(Sheet1!B367)</f>
        <v>54.83</v>
      </c>
      <c r="C368" s="9">
        <f>(B368-B367)/B367</f>
        <v>6.6091426473287949E-3</v>
      </c>
      <c r="D368" s="2">
        <f>MAX(D367,B368)</f>
        <v>103.9</v>
      </c>
      <c r="E368" s="9">
        <f>(B368-D368)/D368</f>
        <v>-0.47228103946102024</v>
      </c>
      <c r="AB368" s="1">
        <f>A368</f>
        <v>45097</v>
      </c>
      <c r="AC368" s="2">
        <f>B368</f>
        <v>54.83</v>
      </c>
      <c r="AD368" s="2">
        <f>366</f>
        <v>366</v>
      </c>
      <c r="AE368" s="2">
        <f>INTERCEPT($AC$3:$AC$1136,$AD$3:$AD$1136)+SLOPE($AC$3:$AC$1136,$AD$3:$AD$1136)*AD368</f>
        <v>75.45598972813707</v>
      </c>
      <c r="AF368" s="2">
        <f t="shared" si="10"/>
        <v>78.107649328539765</v>
      </c>
      <c r="AG368" s="2">
        <f t="shared" si="11"/>
        <v>72.804330127734374</v>
      </c>
      <c r="AH368" s="22">
        <f>AC368-AE368</f>
        <v>-20.625989728137071</v>
      </c>
    </row>
    <row r="369" spans="1:34" x14ac:dyDescent="0.25">
      <c r="A369" s="1">
        <f>DATEVALUE(Sheet1!A368)</f>
        <v>45098</v>
      </c>
      <c r="B369" s="2">
        <f>VALUE(Sheet1!B368)</f>
        <v>55.52</v>
      </c>
      <c r="C369" s="9">
        <f>(B369-B368)/B368</f>
        <v>1.2584351632318162E-2</v>
      </c>
      <c r="D369" s="2">
        <f>MAX(D368,B369)</f>
        <v>103.9</v>
      </c>
      <c r="E369" s="9">
        <f>(B369-D369)/D369</f>
        <v>-0.46564003849855629</v>
      </c>
      <c r="AB369" s="1">
        <f>A369</f>
        <v>45098</v>
      </c>
      <c r="AC369" s="2">
        <f>B369</f>
        <v>55.52</v>
      </c>
      <c r="AD369" s="2">
        <f>367</f>
        <v>367</v>
      </c>
      <c r="AE369" s="2">
        <f>INTERCEPT($AC$3:$AC$1136,$AD$3:$AD$1136)+SLOPE($AC$3:$AC$1136,$AD$3:$AD$1136)*AD369</f>
        <v>75.437277764724612</v>
      </c>
      <c r="AF369" s="2">
        <f t="shared" si="10"/>
        <v>78.088937365127308</v>
      </c>
      <c r="AG369" s="2">
        <f t="shared" si="11"/>
        <v>72.785618164321917</v>
      </c>
      <c r="AH369" s="22">
        <f>AC369-AE369</f>
        <v>-19.917277764724609</v>
      </c>
    </row>
    <row r="370" spans="1:34" x14ac:dyDescent="0.25">
      <c r="A370" s="1">
        <f>DATEVALUE(Sheet1!A369)</f>
        <v>45099</v>
      </c>
      <c r="B370" s="2">
        <f>VALUE(Sheet1!B369)</f>
        <v>57.07</v>
      </c>
      <c r="C370" s="9">
        <f>(B370-B369)/B369</f>
        <v>2.791786743515845E-2</v>
      </c>
      <c r="D370" s="2">
        <f>MAX(D369,B370)</f>
        <v>103.9</v>
      </c>
      <c r="E370" s="9">
        <f>(B370-D370)/D370</f>
        <v>-0.45072184793070263</v>
      </c>
      <c r="AB370" s="1">
        <f>A370</f>
        <v>45099</v>
      </c>
      <c r="AC370" s="2">
        <f>B370</f>
        <v>57.07</v>
      </c>
      <c r="AD370" s="2">
        <f>368</f>
        <v>368</v>
      </c>
      <c r="AE370" s="2">
        <f>INTERCEPT($AC$3:$AC$1136,$AD$3:$AD$1136)+SLOPE($AC$3:$AC$1136,$AD$3:$AD$1136)*AD370</f>
        <v>75.41856580131217</v>
      </c>
      <c r="AF370" s="2">
        <f t="shared" si="10"/>
        <v>78.070225401714865</v>
      </c>
      <c r="AG370" s="2">
        <f t="shared" si="11"/>
        <v>72.766906200909474</v>
      </c>
      <c r="AH370" s="22">
        <f>AC370-AE370</f>
        <v>-18.348565801312169</v>
      </c>
    </row>
    <row r="371" spans="1:34" x14ac:dyDescent="0.25">
      <c r="A371" s="1">
        <f>DATEVALUE(Sheet1!A370)</f>
        <v>45100</v>
      </c>
      <c r="B371" s="2">
        <f>VALUE(Sheet1!B370)</f>
        <v>57.36</v>
      </c>
      <c r="C371" s="9">
        <f>(B371-B370)/B370</f>
        <v>5.0814788855790983E-3</v>
      </c>
      <c r="D371" s="2">
        <f>MAX(D370,B371)</f>
        <v>103.9</v>
      </c>
      <c r="E371" s="9">
        <f>(B371-D371)/D371</f>
        <v>-0.44793070259865259</v>
      </c>
      <c r="AB371" s="1">
        <f>A371</f>
        <v>45100</v>
      </c>
      <c r="AC371" s="2">
        <f>B371</f>
        <v>57.36</v>
      </c>
      <c r="AD371" s="2">
        <f>369</f>
        <v>369</v>
      </c>
      <c r="AE371" s="2">
        <f>INTERCEPT($AC$3:$AC$1136,$AD$3:$AD$1136)+SLOPE($AC$3:$AC$1136,$AD$3:$AD$1136)*AD371</f>
        <v>75.399853837899727</v>
      </c>
      <c r="AF371" s="2">
        <f t="shared" si="10"/>
        <v>78.051513438302422</v>
      </c>
      <c r="AG371" s="2">
        <f t="shared" si="11"/>
        <v>72.748194237497032</v>
      </c>
      <c r="AH371" s="22">
        <f>AC371-AE371</f>
        <v>-18.039853837899727</v>
      </c>
    </row>
    <row r="372" spans="1:34" x14ac:dyDescent="0.25">
      <c r="A372" s="1">
        <f>DATEVALUE(Sheet1!A371)</f>
        <v>45103</v>
      </c>
      <c r="B372" s="2">
        <f>VALUE(Sheet1!B371)</f>
        <v>57.41</v>
      </c>
      <c r="C372" s="9">
        <f>(B372-B371)/B371</f>
        <v>8.7168758716870917E-4</v>
      </c>
      <c r="D372" s="2">
        <f>MAX(D371,B372)</f>
        <v>103.9</v>
      </c>
      <c r="E372" s="9">
        <f>(B372-D372)/D372</f>
        <v>-0.44744947064485086</v>
      </c>
      <c r="AB372" s="1">
        <f>A372</f>
        <v>45103</v>
      </c>
      <c r="AC372" s="2">
        <f>B372</f>
        <v>57.41</v>
      </c>
      <c r="AD372" s="2">
        <f>370</f>
        <v>370</v>
      </c>
      <c r="AE372" s="2">
        <f>INTERCEPT($AC$3:$AC$1136,$AD$3:$AD$1136)+SLOPE($AC$3:$AC$1136,$AD$3:$AD$1136)*AD372</f>
        <v>75.381141874487284</v>
      </c>
      <c r="AF372" s="2">
        <f t="shared" si="10"/>
        <v>78.032801474889979</v>
      </c>
      <c r="AG372" s="2">
        <f t="shared" si="11"/>
        <v>72.729482274084589</v>
      </c>
      <c r="AH372" s="22">
        <f>AC372-AE372</f>
        <v>-17.971141874487287</v>
      </c>
    </row>
    <row r="373" spans="1:34" x14ac:dyDescent="0.25">
      <c r="A373" s="1">
        <f>DATEVALUE(Sheet1!A372)</f>
        <v>45104</v>
      </c>
      <c r="B373" s="2">
        <f>VALUE(Sheet1!B372)</f>
        <v>57.67</v>
      </c>
      <c r="C373" s="9">
        <f>(B373-B372)/B372</f>
        <v>4.5288277303606539E-3</v>
      </c>
      <c r="D373" s="2">
        <f>MAX(D372,B373)</f>
        <v>103.9</v>
      </c>
      <c r="E373" s="9">
        <f>(B373-D373)/D373</f>
        <v>-0.44494706448508181</v>
      </c>
      <c r="AB373" s="1">
        <f>A373</f>
        <v>45104</v>
      </c>
      <c r="AC373" s="2">
        <f>B373</f>
        <v>57.67</v>
      </c>
      <c r="AD373" s="2">
        <f>371</f>
        <v>371</v>
      </c>
      <c r="AE373" s="2">
        <f>INTERCEPT($AC$3:$AC$1136,$AD$3:$AD$1136)+SLOPE($AC$3:$AC$1136,$AD$3:$AD$1136)*AD373</f>
        <v>75.362429911074827</v>
      </c>
      <c r="AF373" s="2">
        <f t="shared" si="10"/>
        <v>78.014089511477522</v>
      </c>
      <c r="AG373" s="2">
        <f t="shared" si="11"/>
        <v>72.710770310672132</v>
      </c>
      <c r="AH373" s="22">
        <f>AC373-AE373</f>
        <v>-17.692429911074825</v>
      </c>
    </row>
    <row r="374" spans="1:34" x14ac:dyDescent="0.25">
      <c r="A374" s="1">
        <f>DATEVALUE(Sheet1!A373)</f>
        <v>45105</v>
      </c>
      <c r="B374" s="2">
        <f>VALUE(Sheet1!B373)</f>
        <v>56.36</v>
      </c>
      <c r="C374" s="9">
        <f>(B374-B373)/B373</f>
        <v>-2.2715449973989981E-2</v>
      </c>
      <c r="D374" s="2">
        <f>MAX(D373,B374)</f>
        <v>103.9</v>
      </c>
      <c r="E374" s="9">
        <f>(B374-D374)/D374</f>
        <v>-0.45755534167468725</v>
      </c>
      <c r="AB374" s="1">
        <f>A374</f>
        <v>45105</v>
      </c>
      <c r="AC374" s="2">
        <f>B374</f>
        <v>56.36</v>
      </c>
      <c r="AD374" s="2">
        <f>372</f>
        <v>372</v>
      </c>
      <c r="AE374" s="2">
        <f>INTERCEPT($AC$3:$AC$1136,$AD$3:$AD$1136)+SLOPE($AC$3:$AC$1136,$AD$3:$AD$1136)*AD374</f>
        <v>75.343717947662384</v>
      </c>
      <c r="AF374" s="2">
        <f t="shared" si="10"/>
        <v>77.995377548065079</v>
      </c>
      <c r="AG374" s="2">
        <f t="shared" si="11"/>
        <v>72.692058347259689</v>
      </c>
      <c r="AH374" s="22">
        <f>AC374-AE374</f>
        <v>-18.983717947662385</v>
      </c>
    </row>
    <row r="375" spans="1:34" x14ac:dyDescent="0.25">
      <c r="A375" s="1">
        <f>DATEVALUE(Sheet1!A374)</f>
        <v>45106</v>
      </c>
      <c r="B375" s="2">
        <f>VALUE(Sheet1!B374)</f>
        <v>56.12</v>
      </c>
      <c r="C375" s="9">
        <f>(B375-B374)/B374</f>
        <v>-4.2583392476934351E-3</v>
      </c>
      <c r="D375" s="2">
        <f>MAX(D374,B375)</f>
        <v>103.9</v>
      </c>
      <c r="E375" s="9">
        <f>(B375-D375)/D375</f>
        <v>-0.45986525505293557</v>
      </c>
      <c r="AB375" s="1">
        <f>A375</f>
        <v>45106</v>
      </c>
      <c r="AC375" s="2">
        <f>B375</f>
        <v>56.12</v>
      </c>
      <c r="AD375" s="2">
        <f>373</f>
        <v>373</v>
      </c>
      <c r="AE375" s="2">
        <f>INTERCEPT($AC$3:$AC$1136,$AD$3:$AD$1136)+SLOPE($AC$3:$AC$1136,$AD$3:$AD$1136)*AD375</f>
        <v>75.325005984249941</v>
      </c>
      <c r="AF375" s="2">
        <f t="shared" si="10"/>
        <v>77.976665584652636</v>
      </c>
      <c r="AG375" s="2">
        <f t="shared" si="11"/>
        <v>72.673346383847246</v>
      </c>
      <c r="AH375" s="22">
        <f>AC375-AE375</f>
        <v>-19.205005984249944</v>
      </c>
    </row>
    <row r="376" spans="1:34" x14ac:dyDescent="0.25">
      <c r="A376" s="1">
        <f>DATEVALUE(Sheet1!A375)</f>
        <v>45107</v>
      </c>
      <c r="B376" s="2">
        <f>VALUE(Sheet1!B375)</f>
        <v>55.36</v>
      </c>
      <c r="C376" s="9">
        <f>(B376-B375)/B375</f>
        <v>-1.3542409123307165E-2</v>
      </c>
      <c r="D376" s="2">
        <f>MAX(D375,B376)</f>
        <v>103.9</v>
      </c>
      <c r="E376" s="9">
        <f>(B376-D376)/D376</f>
        <v>-0.46717998075072187</v>
      </c>
      <c r="AB376" s="1">
        <f>A376</f>
        <v>45107</v>
      </c>
      <c r="AC376" s="2">
        <f>B376</f>
        <v>55.36</v>
      </c>
      <c r="AD376" s="2">
        <f>374</f>
        <v>374</v>
      </c>
      <c r="AE376" s="2">
        <f>INTERCEPT($AC$3:$AC$1136,$AD$3:$AD$1136)+SLOPE($AC$3:$AC$1136,$AD$3:$AD$1136)*AD376</f>
        <v>75.306294020837484</v>
      </c>
      <c r="AF376" s="2">
        <f t="shared" si="10"/>
        <v>77.957953621240179</v>
      </c>
      <c r="AG376" s="2">
        <f t="shared" si="11"/>
        <v>72.654634420434789</v>
      </c>
      <c r="AH376" s="22">
        <f>AC376-AE376</f>
        <v>-19.946294020837485</v>
      </c>
    </row>
    <row r="377" spans="1:34" x14ac:dyDescent="0.25">
      <c r="A377" s="1">
        <f>DATEVALUE(Sheet1!A376)</f>
        <v>45110</v>
      </c>
      <c r="B377" s="2">
        <f>VALUE(Sheet1!B376)</f>
        <v>55.53</v>
      </c>
      <c r="C377" s="9">
        <f>(B377-B376)/B376</f>
        <v>3.0708092485549443E-3</v>
      </c>
      <c r="D377" s="2">
        <f>MAX(D376,B377)</f>
        <v>103.9</v>
      </c>
      <c r="E377" s="9">
        <f>(B377-D377)/D377</f>
        <v>-0.46554379210779595</v>
      </c>
      <c r="AB377" s="1">
        <f>A377</f>
        <v>45110</v>
      </c>
      <c r="AC377" s="2">
        <f>B377</f>
        <v>55.53</v>
      </c>
      <c r="AD377" s="2">
        <f>375</f>
        <v>375</v>
      </c>
      <c r="AE377" s="2">
        <f>INTERCEPT($AC$3:$AC$1136,$AD$3:$AD$1136)+SLOPE($AC$3:$AC$1136,$AD$3:$AD$1136)*AD377</f>
        <v>75.287582057425041</v>
      </c>
      <c r="AF377" s="2">
        <f t="shared" si="10"/>
        <v>77.939241657827736</v>
      </c>
      <c r="AG377" s="2">
        <f t="shared" si="11"/>
        <v>72.635922457022346</v>
      </c>
      <c r="AH377" s="22">
        <f>AC377-AE377</f>
        <v>-19.75758205742504</v>
      </c>
    </row>
    <row r="378" spans="1:34" x14ac:dyDescent="0.25">
      <c r="A378" s="1">
        <f>DATEVALUE(Sheet1!A377)</f>
        <v>45111</v>
      </c>
      <c r="B378" s="2">
        <f>VALUE(Sheet1!B377)</f>
        <v>55.68</v>
      </c>
      <c r="C378" s="9">
        <f>(B378-B377)/B377</f>
        <v>2.7012425715829025E-3</v>
      </c>
      <c r="D378" s="2">
        <f>MAX(D377,B378)</f>
        <v>103.9</v>
      </c>
      <c r="E378" s="9">
        <f>(B378-D378)/D378</f>
        <v>-0.46410009624639081</v>
      </c>
      <c r="AB378" s="1">
        <f>A378</f>
        <v>45111</v>
      </c>
      <c r="AC378" s="2">
        <f>B378</f>
        <v>55.68</v>
      </c>
      <c r="AD378" s="2">
        <f>376</f>
        <v>376</v>
      </c>
      <c r="AE378" s="2">
        <f>INTERCEPT($AC$3:$AC$1136,$AD$3:$AD$1136)+SLOPE($AC$3:$AC$1136,$AD$3:$AD$1136)*AD378</f>
        <v>75.268870094012598</v>
      </c>
      <c r="AF378" s="2">
        <f t="shared" si="10"/>
        <v>77.920529694415293</v>
      </c>
      <c r="AG378" s="2">
        <f t="shared" si="11"/>
        <v>72.617210493609903</v>
      </c>
      <c r="AH378" s="22">
        <f>AC378-AE378</f>
        <v>-19.588870094012599</v>
      </c>
    </row>
    <row r="379" spans="1:34" x14ac:dyDescent="0.25">
      <c r="A379" s="1">
        <f>DATEVALUE(Sheet1!A378)</f>
        <v>45112</v>
      </c>
      <c r="B379" s="2">
        <f>VALUE(Sheet1!B378)</f>
        <v>56.12</v>
      </c>
      <c r="C379" s="9">
        <f>(B379-B378)/B378</f>
        <v>7.9022988505746718E-3</v>
      </c>
      <c r="D379" s="2">
        <f>MAX(D378,B379)</f>
        <v>103.9</v>
      </c>
      <c r="E379" s="9">
        <f>(B379-D379)/D379</f>
        <v>-0.45986525505293557</v>
      </c>
      <c r="AB379" s="1">
        <f>A379</f>
        <v>45112</v>
      </c>
      <c r="AC379" s="2">
        <f>B379</f>
        <v>56.12</v>
      </c>
      <c r="AD379" s="2">
        <f>377</f>
        <v>377</v>
      </c>
      <c r="AE379" s="2">
        <f>INTERCEPT($AC$3:$AC$1136,$AD$3:$AD$1136)+SLOPE($AC$3:$AC$1136,$AD$3:$AD$1136)*AD379</f>
        <v>75.250158130600155</v>
      </c>
      <c r="AF379" s="2">
        <f t="shared" si="10"/>
        <v>77.901817731002851</v>
      </c>
      <c r="AG379" s="2">
        <f t="shared" si="11"/>
        <v>72.59849853019746</v>
      </c>
      <c r="AH379" s="22">
        <f>AC379-AE379</f>
        <v>-19.130158130600158</v>
      </c>
    </row>
    <row r="380" spans="1:34" x14ac:dyDescent="0.25">
      <c r="A380" s="1">
        <f>DATEVALUE(Sheet1!A379)</f>
        <v>45113</v>
      </c>
      <c r="B380" s="2">
        <f>VALUE(Sheet1!B379)</f>
        <v>55.35</v>
      </c>
      <c r="C380" s="9">
        <f>(B380-B379)/B379</f>
        <v>-1.3720598717034856E-2</v>
      </c>
      <c r="D380" s="2">
        <f>MAX(D379,B380)</f>
        <v>103.9</v>
      </c>
      <c r="E380" s="9">
        <f>(B380-D380)/D380</f>
        <v>-0.4672762271414822</v>
      </c>
      <c r="AB380" s="1">
        <f>A380</f>
        <v>45113</v>
      </c>
      <c r="AC380" s="2">
        <f>B380</f>
        <v>55.35</v>
      </c>
      <c r="AD380" s="2">
        <f>378</f>
        <v>378</v>
      </c>
      <c r="AE380" s="2">
        <f>INTERCEPT($AC$3:$AC$1136,$AD$3:$AD$1136)+SLOPE($AC$3:$AC$1136,$AD$3:$AD$1136)*AD380</f>
        <v>75.231446167187698</v>
      </c>
      <c r="AF380" s="2">
        <f t="shared" si="10"/>
        <v>77.883105767590393</v>
      </c>
      <c r="AG380" s="2">
        <f t="shared" si="11"/>
        <v>72.579786566785003</v>
      </c>
      <c r="AH380" s="22">
        <f>AC380-AE380</f>
        <v>-19.881446167187697</v>
      </c>
    </row>
    <row r="381" spans="1:34" x14ac:dyDescent="0.25">
      <c r="A381" s="1">
        <f>DATEVALUE(Sheet1!A380)</f>
        <v>45114</v>
      </c>
      <c r="B381" s="2">
        <f>VALUE(Sheet1!B380)</f>
        <v>55.88</v>
      </c>
      <c r="C381" s="9">
        <f>(B381-B380)/B380</f>
        <v>9.5754290876242307E-3</v>
      </c>
      <c r="D381" s="2">
        <f>MAX(D380,B381)</f>
        <v>103.9</v>
      </c>
      <c r="E381" s="9">
        <f>(B381-D381)/D381</f>
        <v>-0.46217516843118384</v>
      </c>
      <c r="AB381" s="1">
        <f>A381</f>
        <v>45114</v>
      </c>
      <c r="AC381" s="2">
        <f>B381</f>
        <v>55.88</v>
      </c>
      <c r="AD381" s="2">
        <f>379</f>
        <v>379</v>
      </c>
      <c r="AE381" s="2">
        <f>INTERCEPT($AC$3:$AC$1136,$AD$3:$AD$1136)+SLOPE($AC$3:$AC$1136,$AD$3:$AD$1136)*AD381</f>
        <v>75.212734203775256</v>
      </c>
      <c r="AF381" s="2">
        <f t="shared" si="10"/>
        <v>77.864393804177951</v>
      </c>
      <c r="AG381" s="2">
        <f t="shared" si="11"/>
        <v>72.56107460337256</v>
      </c>
      <c r="AH381" s="22">
        <f>AC381-AE381</f>
        <v>-19.332734203775253</v>
      </c>
    </row>
    <row r="382" spans="1:34" x14ac:dyDescent="0.25">
      <c r="A382" s="1">
        <f>DATEVALUE(Sheet1!A381)</f>
        <v>45117</v>
      </c>
      <c r="B382" s="2">
        <f>VALUE(Sheet1!B381)</f>
        <v>55.79</v>
      </c>
      <c r="C382" s="9">
        <f>(B382-B381)/B381</f>
        <v>-1.6105941302792307E-3</v>
      </c>
      <c r="D382" s="2">
        <f>MAX(D381,B382)</f>
        <v>103.9</v>
      </c>
      <c r="E382" s="9">
        <f>(B382-D382)/D382</f>
        <v>-0.46304138594802696</v>
      </c>
      <c r="AB382" s="1">
        <f>A382</f>
        <v>45117</v>
      </c>
      <c r="AC382" s="2">
        <f>B382</f>
        <v>55.79</v>
      </c>
      <c r="AD382" s="2">
        <f>380</f>
        <v>380</v>
      </c>
      <c r="AE382" s="2">
        <f>INTERCEPT($AC$3:$AC$1136,$AD$3:$AD$1136)+SLOPE($AC$3:$AC$1136,$AD$3:$AD$1136)*AD382</f>
        <v>75.194022240362813</v>
      </c>
      <c r="AF382" s="2">
        <f t="shared" si="10"/>
        <v>77.845681840765508</v>
      </c>
      <c r="AG382" s="2">
        <f t="shared" si="11"/>
        <v>72.542362639960118</v>
      </c>
      <c r="AH382" s="22">
        <f>AC382-AE382</f>
        <v>-19.404022240362814</v>
      </c>
    </row>
    <row r="383" spans="1:34" x14ac:dyDescent="0.25">
      <c r="A383" s="1">
        <f>DATEVALUE(Sheet1!A382)</f>
        <v>45118</v>
      </c>
      <c r="B383" s="2">
        <f>VALUE(Sheet1!B382)</f>
        <v>55.24</v>
      </c>
      <c r="C383" s="9">
        <f>(B383-B382)/B382</f>
        <v>-9.8583975622870967E-3</v>
      </c>
      <c r="D383" s="2">
        <f>MAX(D382,B383)</f>
        <v>103.9</v>
      </c>
      <c r="E383" s="9">
        <f>(B383-D383)/D383</f>
        <v>-0.468334937439846</v>
      </c>
      <c r="AB383" s="1">
        <f>A383</f>
        <v>45118</v>
      </c>
      <c r="AC383" s="2">
        <f>B383</f>
        <v>55.24</v>
      </c>
      <c r="AD383" s="2">
        <f>381</f>
        <v>381</v>
      </c>
      <c r="AE383" s="2">
        <f>INTERCEPT($AC$3:$AC$1136,$AD$3:$AD$1136)+SLOPE($AC$3:$AC$1136,$AD$3:$AD$1136)*AD383</f>
        <v>75.17531027695037</v>
      </c>
      <c r="AF383" s="2">
        <f t="shared" si="10"/>
        <v>77.826969877353065</v>
      </c>
      <c r="AG383" s="2">
        <f t="shared" si="11"/>
        <v>72.523650676547675</v>
      </c>
      <c r="AH383" s="22">
        <f>AC383-AE383</f>
        <v>-19.935310276950368</v>
      </c>
    </row>
    <row r="384" spans="1:34" x14ac:dyDescent="0.25">
      <c r="A384" s="1">
        <f>DATEVALUE(Sheet1!A383)</f>
        <v>45119</v>
      </c>
      <c r="B384" s="2">
        <f>VALUE(Sheet1!B383)</f>
        <v>55.29</v>
      </c>
      <c r="C384" s="9">
        <f>(B384-B383)/B383</f>
        <v>9.0514120202746478E-4</v>
      </c>
      <c r="D384" s="2">
        <f>MAX(D383,B384)</f>
        <v>103.9</v>
      </c>
      <c r="E384" s="9">
        <f>(B384-D384)/D384</f>
        <v>-0.46785370548604432</v>
      </c>
      <c r="AB384" s="1">
        <f>A384</f>
        <v>45119</v>
      </c>
      <c r="AC384" s="2">
        <f>B384</f>
        <v>55.29</v>
      </c>
      <c r="AD384" s="2">
        <f>382</f>
        <v>382</v>
      </c>
      <c r="AE384" s="2">
        <f>INTERCEPT($AC$3:$AC$1136,$AD$3:$AD$1136)+SLOPE($AC$3:$AC$1136,$AD$3:$AD$1136)*AD384</f>
        <v>75.156598313537913</v>
      </c>
      <c r="AF384" s="2">
        <f t="shared" si="10"/>
        <v>77.808257913940608</v>
      </c>
      <c r="AG384" s="2">
        <f t="shared" si="11"/>
        <v>72.504938713135218</v>
      </c>
      <c r="AH384" s="22">
        <f>AC384-AE384</f>
        <v>-19.866598313537914</v>
      </c>
    </row>
    <row r="385" spans="1:34" x14ac:dyDescent="0.25">
      <c r="A385" s="1">
        <f>DATEVALUE(Sheet1!A384)</f>
        <v>45120</v>
      </c>
      <c r="B385" s="2">
        <f>VALUE(Sheet1!B384)</f>
        <v>54.06</v>
      </c>
      <c r="C385" s="9">
        <f>(B385-B384)/B384</f>
        <v>-2.2246337493217524E-2</v>
      </c>
      <c r="D385" s="2">
        <f>MAX(D384,B385)</f>
        <v>103.9</v>
      </c>
      <c r="E385" s="9">
        <f>(B385-D385)/D385</f>
        <v>-0.47969201154956692</v>
      </c>
      <c r="AB385" s="1">
        <f>A385</f>
        <v>45120</v>
      </c>
      <c r="AC385" s="2">
        <f>B385</f>
        <v>54.06</v>
      </c>
      <c r="AD385" s="2">
        <f>383</f>
        <v>383</v>
      </c>
      <c r="AE385" s="2">
        <f>INTERCEPT($AC$3:$AC$1136,$AD$3:$AD$1136)+SLOPE($AC$3:$AC$1136,$AD$3:$AD$1136)*AD385</f>
        <v>75.13788635012547</v>
      </c>
      <c r="AF385" s="2">
        <f t="shared" si="10"/>
        <v>77.789545950528165</v>
      </c>
      <c r="AG385" s="2">
        <f t="shared" si="11"/>
        <v>72.486226749722775</v>
      </c>
      <c r="AH385" s="22">
        <f>AC385-AE385</f>
        <v>-21.077886350125468</v>
      </c>
    </row>
    <row r="386" spans="1:34" x14ac:dyDescent="0.25">
      <c r="A386" s="1">
        <f>DATEVALUE(Sheet1!A385)</f>
        <v>45121</v>
      </c>
      <c r="B386" s="2">
        <f>VALUE(Sheet1!B385)</f>
        <v>54.28</v>
      </c>
      <c r="C386" s="9">
        <f>(B386-B385)/B385</f>
        <v>4.0695523492415625E-3</v>
      </c>
      <c r="D386" s="2">
        <f>MAX(D385,B386)</f>
        <v>103.9</v>
      </c>
      <c r="E386" s="9">
        <f>(B386-D386)/D386</f>
        <v>-0.47757459095283927</v>
      </c>
      <c r="AB386" s="1">
        <f>A386</f>
        <v>45121</v>
      </c>
      <c r="AC386" s="2">
        <f>B386</f>
        <v>54.28</v>
      </c>
      <c r="AD386" s="2">
        <f>384</f>
        <v>384</v>
      </c>
      <c r="AE386" s="2">
        <f>INTERCEPT($AC$3:$AC$1136,$AD$3:$AD$1136)+SLOPE($AC$3:$AC$1136,$AD$3:$AD$1136)*AD386</f>
        <v>75.119174386713027</v>
      </c>
      <c r="AF386" s="2">
        <f t="shared" si="10"/>
        <v>77.770833987115722</v>
      </c>
      <c r="AG386" s="2">
        <f t="shared" si="11"/>
        <v>72.467514786310332</v>
      </c>
      <c r="AH386" s="22">
        <f>AC386-AE386</f>
        <v>-20.839174386713026</v>
      </c>
    </row>
    <row r="387" spans="1:34" x14ac:dyDescent="0.25">
      <c r="A387" s="1">
        <f>DATEVALUE(Sheet1!A386)</f>
        <v>45124</v>
      </c>
      <c r="B387" s="2">
        <f>VALUE(Sheet1!B386)</f>
        <v>54.52</v>
      </c>
      <c r="C387" s="9">
        <f>(B387-B386)/B386</f>
        <v>4.4215180545320925E-3</v>
      </c>
      <c r="D387" s="2">
        <f>MAX(D386,B387)</f>
        <v>103.9</v>
      </c>
      <c r="E387" s="9">
        <f>(B387-D387)/D387</f>
        <v>-0.47526467757459095</v>
      </c>
      <c r="AB387" s="1">
        <f>A387</f>
        <v>45124</v>
      </c>
      <c r="AC387" s="2">
        <f>B387</f>
        <v>54.52</v>
      </c>
      <c r="AD387" s="2">
        <f>385</f>
        <v>385</v>
      </c>
      <c r="AE387" s="2">
        <f>INTERCEPT($AC$3:$AC$1136,$AD$3:$AD$1136)+SLOPE($AC$3:$AC$1136,$AD$3:$AD$1136)*AD387</f>
        <v>75.10046242330057</v>
      </c>
      <c r="AF387" s="2">
        <f t="shared" si="10"/>
        <v>77.752122023703265</v>
      </c>
      <c r="AG387" s="2">
        <f t="shared" si="11"/>
        <v>72.448802822897875</v>
      </c>
      <c r="AH387" s="22">
        <f>AC387-AE387</f>
        <v>-20.580462423300567</v>
      </c>
    </row>
    <row r="388" spans="1:34" x14ac:dyDescent="0.25">
      <c r="A388" s="1">
        <f>DATEVALUE(Sheet1!A387)</f>
        <v>45125</v>
      </c>
      <c r="B388" s="2">
        <f>VALUE(Sheet1!B387)</f>
        <v>54.57</v>
      </c>
      <c r="C388" s="9">
        <f>(B388-B387)/B387</f>
        <v>9.1709464416722588E-4</v>
      </c>
      <c r="D388" s="2">
        <f>MAX(D387,B388)</f>
        <v>103.9</v>
      </c>
      <c r="E388" s="9">
        <f>(B388-D388)/D388</f>
        <v>-0.47478344562078922</v>
      </c>
      <c r="AB388" s="1">
        <f>A388</f>
        <v>45125</v>
      </c>
      <c r="AC388" s="2">
        <f>B388</f>
        <v>54.57</v>
      </c>
      <c r="AD388" s="2">
        <f>386</f>
        <v>386</v>
      </c>
      <c r="AE388" s="2">
        <f>INTERCEPT($AC$3:$AC$1136,$AD$3:$AD$1136)+SLOPE($AC$3:$AC$1136,$AD$3:$AD$1136)*AD388</f>
        <v>75.081750459888127</v>
      </c>
      <c r="AF388" s="2">
        <f t="shared" ref="AF388:AF451" si="12">AE388+$AJ$5*$AJ$4</f>
        <v>77.733410060290822</v>
      </c>
      <c r="AG388" s="2">
        <f t="shared" ref="AG388:AG451" si="13">AE388-$AJ$5*$AJ$4</f>
        <v>72.430090859485432</v>
      </c>
      <c r="AH388" s="22">
        <f>AC388-AE388</f>
        <v>-20.511750459888127</v>
      </c>
    </row>
    <row r="389" spans="1:34" x14ac:dyDescent="0.25">
      <c r="A389" s="1">
        <f>DATEVALUE(Sheet1!A388)</f>
        <v>45126</v>
      </c>
      <c r="B389" s="2">
        <f>VALUE(Sheet1!B388)</f>
        <v>55.04</v>
      </c>
      <c r="C389" s="9">
        <f>(B389-B388)/B388</f>
        <v>8.6127909107568054E-3</v>
      </c>
      <c r="D389" s="2">
        <f>MAX(D388,B389)</f>
        <v>103.9</v>
      </c>
      <c r="E389" s="9">
        <f>(B389-D389)/D389</f>
        <v>-0.47025986525505298</v>
      </c>
      <c r="AB389" s="1">
        <f>A389</f>
        <v>45126</v>
      </c>
      <c r="AC389" s="2">
        <f>B389</f>
        <v>55.04</v>
      </c>
      <c r="AD389" s="2">
        <f>387</f>
        <v>387</v>
      </c>
      <c r="AE389" s="2">
        <f>INTERCEPT($AC$3:$AC$1136,$AD$3:$AD$1136)+SLOPE($AC$3:$AC$1136,$AD$3:$AD$1136)*AD389</f>
        <v>75.063038496475684</v>
      </c>
      <c r="AF389" s="2">
        <f t="shared" si="12"/>
        <v>77.714698096878379</v>
      </c>
      <c r="AG389" s="2">
        <f t="shared" si="13"/>
        <v>72.411378896072989</v>
      </c>
      <c r="AH389" s="22">
        <f>AC389-AE389</f>
        <v>-20.023038496475685</v>
      </c>
    </row>
    <row r="390" spans="1:34" x14ac:dyDescent="0.25">
      <c r="A390" s="1">
        <f>DATEVALUE(Sheet1!A389)</f>
        <v>45127</v>
      </c>
      <c r="B390" s="2">
        <f>VALUE(Sheet1!B389)</f>
        <v>54.68</v>
      </c>
      <c r="C390" s="9">
        <f>(B390-B389)/B389</f>
        <v>-6.5406976744185946E-3</v>
      </c>
      <c r="D390" s="2">
        <f>MAX(D389,B390)</f>
        <v>103.9</v>
      </c>
      <c r="E390" s="9">
        <f>(B390-D390)/D390</f>
        <v>-0.47372473532242543</v>
      </c>
      <c r="AB390" s="1">
        <f>A390</f>
        <v>45127</v>
      </c>
      <c r="AC390" s="2">
        <f>B390</f>
        <v>54.68</v>
      </c>
      <c r="AD390" s="2">
        <f>388</f>
        <v>388</v>
      </c>
      <c r="AE390" s="2">
        <f>INTERCEPT($AC$3:$AC$1136,$AD$3:$AD$1136)+SLOPE($AC$3:$AC$1136,$AD$3:$AD$1136)*AD390</f>
        <v>75.044326533063241</v>
      </c>
      <c r="AF390" s="2">
        <f t="shared" si="12"/>
        <v>77.695986133465937</v>
      </c>
      <c r="AG390" s="2">
        <f t="shared" si="13"/>
        <v>72.392666932660546</v>
      </c>
      <c r="AH390" s="22">
        <f>AC390-AE390</f>
        <v>-20.364326533063242</v>
      </c>
    </row>
    <row r="391" spans="1:34" x14ac:dyDescent="0.25">
      <c r="A391" s="1">
        <f>DATEVALUE(Sheet1!A390)</f>
        <v>45128</v>
      </c>
      <c r="B391" s="2">
        <f>VALUE(Sheet1!B390)</f>
        <v>53.74</v>
      </c>
      <c r="C391" s="9">
        <f>(B391-B390)/B390</f>
        <v>-1.7190929041697105E-2</v>
      </c>
      <c r="D391" s="2">
        <f>MAX(D390,B391)</f>
        <v>103.9</v>
      </c>
      <c r="E391" s="9">
        <f>(B391-D391)/D391</f>
        <v>-0.48277189605389798</v>
      </c>
      <c r="AB391" s="1">
        <f>A391</f>
        <v>45128</v>
      </c>
      <c r="AC391" s="2">
        <f>B391</f>
        <v>53.74</v>
      </c>
      <c r="AD391" s="2">
        <f>389</f>
        <v>389</v>
      </c>
      <c r="AE391" s="2">
        <f>INTERCEPT($AC$3:$AC$1136,$AD$3:$AD$1136)+SLOPE($AC$3:$AC$1136,$AD$3:$AD$1136)*AD391</f>
        <v>75.025614569650784</v>
      </c>
      <c r="AF391" s="2">
        <f t="shared" si="12"/>
        <v>77.677274170053479</v>
      </c>
      <c r="AG391" s="2">
        <f t="shared" si="13"/>
        <v>72.373954969248089</v>
      </c>
      <c r="AH391" s="22">
        <f>AC391-AE391</f>
        <v>-21.285614569650782</v>
      </c>
    </row>
    <row r="392" spans="1:34" x14ac:dyDescent="0.25">
      <c r="A392" s="1">
        <f>DATEVALUE(Sheet1!A391)</f>
        <v>45131</v>
      </c>
      <c r="B392" s="2">
        <f>VALUE(Sheet1!B391)</f>
        <v>55.06</v>
      </c>
      <c r="C392" s="9">
        <f>(B392-B391)/B391</f>
        <v>2.45627093412728E-2</v>
      </c>
      <c r="D392" s="2">
        <f>MAX(D391,B392)</f>
        <v>103.9</v>
      </c>
      <c r="E392" s="9">
        <f>(B392-D392)/D392</f>
        <v>-0.47006737247353225</v>
      </c>
      <c r="AB392" s="1">
        <f>A392</f>
        <v>45131</v>
      </c>
      <c r="AC392" s="2">
        <f>B392</f>
        <v>55.06</v>
      </c>
      <c r="AD392" s="2">
        <f>390</f>
        <v>390</v>
      </c>
      <c r="AE392" s="2">
        <f>INTERCEPT($AC$3:$AC$1136,$AD$3:$AD$1136)+SLOPE($AC$3:$AC$1136,$AD$3:$AD$1136)*AD392</f>
        <v>75.006902606238341</v>
      </c>
      <c r="AF392" s="2">
        <f t="shared" si="12"/>
        <v>77.658562206641037</v>
      </c>
      <c r="AG392" s="2">
        <f t="shared" si="13"/>
        <v>72.355243005835646</v>
      </c>
      <c r="AH392" s="22">
        <f>AC392-AE392</f>
        <v>-19.946902606238339</v>
      </c>
    </row>
    <row r="393" spans="1:34" x14ac:dyDescent="0.25">
      <c r="A393" s="1">
        <f>DATEVALUE(Sheet1!A392)</f>
        <v>45132</v>
      </c>
      <c r="B393" s="2">
        <f>VALUE(Sheet1!B392)</f>
        <v>55.28</v>
      </c>
      <c r="C393" s="9">
        <f>(B393-B392)/B392</f>
        <v>3.9956411187794926E-3</v>
      </c>
      <c r="D393" s="2">
        <f>MAX(D392,B393)</f>
        <v>103.9</v>
      </c>
      <c r="E393" s="9">
        <f>(B393-D393)/D393</f>
        <v>-0.46794995187680466</v>
      </c>
      <c r="AB393" s="1">
        <f>A393</f>
        <v>45132</v>
      </c>
      <c r="AC393" s="2">
        <f>B393</f>
        <v>55.28</v>
      </c>
      <c r="AD393" s="2">
        <f>391</f>
        <v>391</v>
      </c>
      <c r="AE393" s="2">
        <f>INTERCEPT($AC$3:$AC$1136,$AD$3:$AD$1136)+SLOPE($AC$3:$AC$1136,$AD$3:$AD$1136)*AD393</f>
        <v>74.988190642825899</v>
      </c>
      <c r="AF393" s="2">
        <f t="shared" si="12"/>
        <v>77.639850243228594</v>
      </c>
      <c r="AG393" s="2">
        <f t="shared" si="13"/>
        <v>72.336531042423204</v>
      </c>
      <c r="AH393" s="22">
        <f>AC393-AE393</f>
        <v>-19.708190642825897</v>
      </c>
    </row>
    <row r="394" spans="1:34" x14ac:dyDescent="0.25">
      <c r="A394" s="1">
        <f>DATEVALUE(Sheet1!A393)</f>
        <v>45133</v>
      </c>
      <c r="B394" s="2">
        <f>VALUE(Sheet1!B393)</f>
        <v>55.12</v>
      </c>
      <c r="C394" s="9">
        <f>(B394-B393)/B393</f>
        <v>-2.8943560057887786E-3</v>
      </c>
      <c r="D394" s="2">
        <f>MAX(D393,B394)</f>
        <v>103.9</v>
      </c>
      <c r="E394" s="9">
        <f>(B394-D394)/D394</f>
        <v>-0.46948989412897024</v>
      </c>
      <c r="AB394" s="1">
        <f>A394</f>
        <v>45133</v>
      </c>
      <c r="AC394" s="2">
        <f>B394</f>
        <v>55.12</v>
      </c>
      <c r="AD394" s="2">
        <f>392</f>
        <v>392</v>
      </c>
      <c r="AE394" s="2">
        <f>INTERCEPT($AC$3:$AC$1136,$AD$3:$AD$1136)+SLOPE($AC$3:$AC$1136,$AD$3:$AD$1136)*AD394</f>
        <v>74.969478679413456</v>
      </c>
      <c r="AF394" s="2">
        <f t="shared" si="12"/>
        <v>77.621138279816151</v>
      </c>
      <c r="AG394" s="2">
        <f t="shared" si="13"/>
        <v>72.317819079010761</v>
      </c>
      <c r="AH394" s="22">
        <f>AC394-AE394</f>
        <v>-19.849478679413458</v>
      </c>
    </row>
    <row r="395" spans="1:34" x14ac:dyDescent="0.25">
      <c r="A395" s="1">
        <f>DATEVALUE(Sheet1!A394)</f>
        <v>45134</v>
      </c>
      <c r="B395" s="2">
        <f>VALUE(Sheet1!B394)</f>
        <v>54.71</v>
      </c>
      <c r="C395" s="9">
        <f>(B395-B394)/B394</f>
        <v>-7.4383164005804902E-3</v>
      </c>
      <c r="D395" s="2">
        <f>MAX(D394,B395)</f>
        <v>103.9</v>
      </c>
      <c r="E395" s="9">
        <f>(B395-D395)/D395</f>
        <v>-0.47343599615014437</v>
      </c>
      <c r="AB395" s="1">
        <f>A395</f>
        <v>45134</v>
      </c>
      <c r="AC395" s="2">
        <f>B395</f>
        <v>54.71</v>
      </c>
      <c r="AD395" s="2">
        <f>393</f>
        <v>393</v>
      </c>
      <c r="AE395" s="2">
        <f>INTERCEPT($AC$3:$AC$1136,$AD$3:$AD$1136)+SLOPE($AC$3:$AC$1136,$AD$3:$AD$1136)*AD395</f>
        <v>74.950766716000999</v>
      </c>
      <c r="AF395" s="2">
        <f t="shared" si="12"/>
        <v>77.602426316403694</v>
      </c>
      <c r="AG395" s="2">
        <f t="shared" si="13"/>
        <v>72.299107115598304</v>
      </c>
      <c r="AH395" s="22">
        <f>AC395-AE395</f>
        <v>-20.240766716000998</v>
      </c>
    </row>
    <row r="396" spans="1:34" x14ac:dyDescent="0.25">
      <c r="A396" s="1">
        <f>DATEVALUE(Sheet1!A395)</f>
        <v>45135</v>
      </c>
      <c r="B396" s="2">
        <f>VALUE(Sheet1!B395)</f>
        <v>54.92</v>
      </c>
      <c r="C396" s="9">
        <f>(B396-B395)/B395</f>
        <v>3.8384207640285296E-3</v>
      </c>
      <c r="D396" s="2">
        <f>MAX(D395,B396)</f>
        <v>103.9</v>
      </c>
      <c r="E396" s="9">
        <f>(B396-D396)/D396</f>
        <v>-0.47141482194417711</v>
      </c>
      <c r="AB396" s="1">
        <f>A396</f>
        <v>45135</v>
      </c>
      <c r="AC396" s="2">
        <f>B396</f>
        <v>54.92</v>
      </c>
      <c r="AD396" s="2">
        <f>394</f>
        <v>394</v>
      </c>
      <c r="AE396" s="2">
        <f>INTERCEPT($AC$3:$AC$1136,$AD$3:$AD$1136)+SLOPE($AC$3:$AC$1136,$AD$3:$AD$1136)*AD396</f>
        <v>74.932054752588556</v>
      </c>
      <c r="AF396" s="2">
        <f t="shared" si="12"/>
        <v>77.583714352991251</v>
      </c>
      <c r="AG396" s="2">
        <f t="shared" si="13"/>
        <v>72.280395152185861</v>
      </c>
      <c r="AH396" s="22">
        <f>AC396-AE396</f>
        <v>-20.012054752588554</v>
      </c>
    </row>
    <row r="397" spans="1:34" x14ac:dyDescent="0.25">
      <c r="A397" s="1">
        <f>DATEVALUE(Sheet1!A396)</f>
        <v>45138</v>
      </c>
      <c r="B397" s="2">
        <f>VALUE(Sheet1!B396)</f>
        <v>53.62</v>
      </c>
      <c r="C397" s="9">
        <f>(B397-B396)/B396</f>
        <v>-2.3670793882010273E-2</v>
      </c>
      <c r="D397" s="2">
        <f>MAX(D396,B397)</f>
        <v>103.9</v>
      </c>
      <c r="E397" s="9">
        <f>(B397-D397)/D397</f>
        <v>-0.48392685274302216</v>
      </c>
      <c r="AB397" s="1">
        <f>A397</f>
        <v>45138</v>
      </c>
      <c r="AC397" s="2">
        <f>B397</f>
        <v>53.62</v>
      </c>
      <c r="AD397" s="2">
        <f>395</f>
        <v>395</v>
      </c>
      <c r="AE397" s="2">
        <f>INTERCEPT($AC$3:$AC$1136,$AD$3:$AD$1136)+SLOPE($AC$3:$AC$1136,$AD$3:$AD$1136)*AD397</f>
        <v>74.913342789176113</v>
      </c>
      <c r="AF397" s="2">
        <f t="shared" si="12"/>
        <v>77.565002389578808</v>
      </c>
      <c r="AG397" s="2">
        <f t="shared" si="13"/>
        <v>72.261683188773418</v>
      </c>
      <c r="AH397" s="22">
        <f>AC397-AE397</f>
        <v>-21.293342789176116</v>
      </c>
    </row>
    <row r="398" spans="1:34" x14ac:dyDescent="0.25">
      <c r="A398" s="1">
        <f>DATEVALUE(Sheet1!A397)</f>
        <v>45139</v>
      </c>
      <c r="B398" s="2">
        <f>VALUE(Sheet1!B397)</f>
        <v>53.75</v>
      </c>
      <c r="C398" s="9">
        <f>(B398-B397)/B397</f>
        <v>2.4244684819097828E-3</v>
      </c>
      <c r="D398" s="2">
        <f>MAX(D397,B398)</f>
        <v>103.9</v>
      </c>
      <c r="E398" s="9">
        <f>(B398-D398)/D398</f>
        <v>-0.48267564966313764</v>
      </c>
      <c r="AB398" s="1">
        <f>A398</f>
        <v>45139</v>
      </c>
      <c r="AC398" s="2">
        <f>B398</f>
        <v>53.75</v>
      </c>
      <c r="AD398" s="2">
        <f>396</f>
        <v>396</v>
      </c>
      <c r="AE398" s="2">
        <f>INTERCEPT($AC$3:$AC$1136,$AD$3:$AD$1136)+SLOPE($AC$3:$AC$1136,$AD$3:$AD$1136)*AD398</f>
        <v>74.89463082576367</v>
      </c>
      <c r="AF398" s="2">
        <f t="shared" si="12"/>
        <v>77.546290426166365</v>
      </c>
      <c r="AG398" s="2">
        <f t="shared" si="13"/>
        <v>72.242971225360975</v>
      </c>
      <c r="AH398" s="22">
        <f>AC398-AE398</f>
        <v>-21.14463082576367</v>
      </c>
    </row>
    <row r="399" spans="1:34" x14ac:dyDescent="0.25">
      <c r="A399" s="1">
        <f>DATEVALUE(Sheet1!A398)</f>
        <v>45140</v>
      </c>
      <c r="B399" s="2">
        <f>VALUE(Sheet1!B398)</f>
        <v>53.22</v>
      </c>
      <c r="C399" s="9">
        <f>(B399-B398)/B398</f>
        <v>-9.8604651162790911E-3</v>
      </c>
      <c r="D399" s="2">
        <f>MAX(D398,B399)</f>
        <v>103.9</v>
      </c>
      <c r="E399" s="9">
        <f>(B399-D399)/D399</f>
        <v>-0.48777670837343601</v>
      </c>
      <c r="AB399" s="1">
        <f>A399</f>
        <v>45140</v>
      </c>
      <c r="AC399" s="2">
        <f>B399</f>
        <v>53.22</v>
      </c>
      <c r="AD399" s="2">
        <f>397</f>
        <v>397</v>
      </c>
      <c r="AE399" s="2">
        <f>INTERCEPT($AC$3:$AC$1136,$AD$3:$AD$1136)+SLOPE($AC$3:$AC$1136,$AD$3:$AD$1136)*AD399</f>
        <v>74.875918862351213</v>
      </c>
      <c r="AF399" s="2">
        <f t="shared" si="12"/>
        <v>77.527578462753908</v>
      </c>
      <c r="AG399" s="2">
        <f t="shared" si="13"/>
        <v>72.224259261948518</v>
      </c>
      <c r="AH399" s="22">
        <f>AC399-AE399</f>
        <v>-21.655918862351214</v>
      </c>
    </row>
    <row r="400" spans="1:34" x14ac:dyDescent="0.25">
      <c r="A400" s="1">
        <f>DATEVALUE(Sheet1!A399)</f>
        <v>45141</v>
      </c>
      <c r="B400" s="2">
        <f>VALUE(Sheet1!B399)</f>
        <v>53.47</v>
      </c>
      <c r="C400" s="9">
        <f>(B400-B399)/B399</f>
        <v>4.6974821495678314E-3</v>
      </c>
      <c r="D400" s="2">
        <f>MAX(D399,B400)</f>
        <v>103.9</v>
      </c>
      <c r="E400" s="9">
        <f>(B400-D400)/D400</f>
        <v>-0.48537054860442735</v>
      </c>
      <c r="AB400" s="1">
        <f>A400</f>
        <v>45141</v>
      </c>
      <c r="AC400" s="2">
        <f>B400</f>
        <v>53.47</v>
      </c>
      <c r="AD400" s="2">
        <f>398</f>
        <v>398</v>
      </c>
      <c r="AE400" s="2">
        <f>INTERCEPT($AC$3:$AC$1136,$AD$3:$AD$1136)+SLOPE($AC$3:$AC$1136,$AD$3:$AD$1136)*AD400</f>
        <v>74.85720689893877</v>
      </c>
      <c r="AF400" s="2">
        <f t="shared" si="12"/>
        <v>77.508866499341465</v>
      </c>
      <c r="AG400" s="2">
        <f t="shared" si="13"/>
        <v>72.205547298536075</v>
      </c>
      <c r="AH400" s="22">
        <f>AC400-AE400</f>
        <v>-21.387206898938771</v>
      </c>
    </row>
    <row r="401" spans="1:34" x14ac:dyDescent="0.25">
      <c r="A401" s="1">
        <f>DATEVALUE(Sheet1!A400)</f>
        <v>45142</v>
      </c>
      <c r="B401" s="2">
        <f>VALUE(Sheet1!B400)</f>
        <v>53.19</v>
      </c>
      <c r="C401" s="9">
        <f>(B401-B400)/B400</f>
        <v>-5.2365812605199387E-3</v>
      </c>
      <c r="D401" s="2">
        <f>MAX(D400,B401)</f>
        <v>103.9</v>
      </c>
      <c r="E401" s="9">
        <f>(B401-D401)/D401</f>
        <v>-0.48806544754571707</v>
      </c>
      <c r="AB401" s="1">
        <f>A401</f>
        <v>45142</v>
      </c>
      <c r="AC401" s="2">
        <f>B401</f>
        <v>53.19</v>
      </c>
      <c r="AD401" s="2">
        <f>399</f>
        <v>399</v>
      </c>
      <c r="AE401" s="2">
        <f>INTERCEPT($AC$3:$AC$1136,$AD$3:$AD$1136)+SLOPE($AC$3:$AC$1136,$AD$3:$AD$1136)*AD401</f>
        <v>74.838494935526327</v>
      </c>
      <c r="AF401" s="2">
        <f t="shared" si="12"/>
        <v>77.490154535929022</v>
      </c>
      <c r="AG401" s="2">
        <f t="shared" si="13"/>
        <v>72.186835335123632</v>
      </c>
      <c r="AH401" s="22">
        <f>AC401-AE401</f>
        <v>-21.64849493552633</v>
      </c>
    </row>
    <row r="402" spans="1:34" x14ac:dyDescent="0.25">
      <c r="A402" s="1">
        <f>DATEVALUE(Sheet1!A401)</f>
        <v>45145</v>
      </c>
      <c r="B402" s="2">
        <f>VALUE(Sheet1!B401)</f>
        <v>53.13</v>
      </c>
      <c r="C402" s="9">
        <f>(B402-B401)/B401</f>
        <v>-1.128031584884286E-3</v>
      </c>
      <c r="D402" s="2">
        <f>MAX(D401,B402)</f>
        <v>103.9</v>
      </c>
      <c r="E402" s="9">
        <f>(B402-D402)/D402</f>
        <v>-0.48864292589027913</v>
      </c>
      <c r="AB402" s="1">
        <f>A402</f>
        <v>45145</v>
      </c>
      <c r="AC402" s="2">
        <f>B402</f>
        <v>53.13</v>
      </c>
      <c r="AD402" s="2">
        <f>400</f>
        <v>400</v>
      </c>
      <c r="AE402" s="2">
        <f>INTERCEPT($AC$3:$AC$1136,$AD$3:$AD$1136)+SLOPE($AC$3:$AC$1136,$AD$3:$AD$1136)*AD402</f>
        <v>74.81978297211387</v>
      </c>
      <c r="AF402" s="2">
        <f t="shared" si="12"/>
        <v>77.471442572516565</v>
      </c>
      <c r="AG402" s="2">
        <f t="shared" si="13"/>
        <v>72.168123371711175</v>
      </c>
      <c r="AH402" s="22">
        <f>AC402-AE402</f>
        <v>-21.689782972113868</v>
      </c>
    </row>
    <row r="403" spans="1:34" x14ac:dyDescent="0.25">
      <c r="A403" s="1">
        <f>DATEVALUE(Sheet1!A402)</f>
        <v>45146</v>
      </c>
      <c r="B403" s="2">
        <f>VALUE(Sheet1!B402)</f>
        <v>52.96</v>
      </c>
      <c r="C403" s="9">
        <f>(B403-B402)/B402</f>
        <v>-3.1996988518727966E-3</v>
      </c>
      <c r="D403" s="2">
        <f>MAX(D402,B403)</f>
        <v>103.9</v>
      </c>
      <c r="E403" s="9">
        <f>(B403-D403)/D403</f>
        <v>-0.49027911453320505</v>
      </c>
      <c r="AB403" s="1">
        <f>A403</f>
        <v>45146</v>
      </c>
      <c r="AC403" s="2">
        <f>B403</f>
        <v>52.96</v>
      </c>
      <c r="AD403" s="2">
        <f>401</f>
        <v>401</v>
      </c>
      <c r="AE403" s="2">
        <f>INTERCEPT($AC$3:$AC$1136,$AD$3:$AD$1136)+SLOPE($AC$3:$AC$1136,$AD$3:$AD$1136)*AD403</f>
        <v>74.801071008701427</v>
      </c>
      <c r="AF403" s="2">
        <f t="shared" si="12"/>
        <v>77.452730609104123</v>
      </c>
      <c r="AG403" s="2">
        <f t="shared" si="13"/>
        <v>72.149411408298732</v>
      </c>
      <c r="AH403" s="22">
        <f>AC403-AE403</f>
        <v>-21.841071008701427</v>
      </c>
    </row>
    <row r="404" spans="1:34" x14ac:dyDescent="0.25">
      <c r="A404" s="1">
        <f>DATEVALUE(Sheet1!A403)</f>
        <v>45147</v>
      </c>
      <c r="B404" s="2">
        <f>VALUE(Sheet1!B403)</f>
        <v>52.97</v>
      </c>
      <c r="C404" s="9">
        <f>(B404-B403)/B403</f>
        <v>1.8882175226582346E-4</v>
      </c>
      <c r="D404" s="2">
        <f>MAX(D403,B404)</f>
        <v>103.9</v>
      </c>
      <c r="E404" s="9">
        <f>(B404-D404)/D404</f>
        <v>-0.49018286814244472</v>
      </c>
      <c r="AB404" s="1">
        <f>A404</f>
        <v>45147</v>
      </c>
      <c r="AC404" s="2">
        <f>B404</f>
        <v>52.97</v>
      </c>
      <c r="AD404" s="2">
        <f>402</f>
        <v>402</v>
      </c>
      <c r="AE404" s="2">
        <f>INTERCEPT($AC$3:$AC$1136,$AD$3:$AD$1136)+SLOPE($AC$3:$AC$1136,$AD$3:$AD$1136)*AD404</f>
        <v>74.782359045288985</v>
      </c>
      <c r="AF404" s="2">
        <f t="shared" si="12"/>
        <v>77.43401864569168</v>
      </c>
      <c r="AG404" s="2">
        <f t="shared" si="13"/>
        <v>72.130699444886289</v>
      </c>
      <c r="AH404" s="22">
        <f>AC404-AE404</f>
        <v>-21.812359045288986</v>
      </c>
    </row>
    <row r="405" spans="1:34" x14ac:dyDescent="0.25">
      <c r="A405" s="1">
        <f>DATEVALUE(Sheet1!A404)</f>
        <v>45148</v>
      </c>
      <c r="B405" s="2">
        <f>VALUE(Sheet1!B404)</f>
        <v>52.65</v>
      </c>
      <c r="C405" s="9">
        <f>(B405-B404)/B404</f>
        <v>-6.0411553709647028E-3</v>
      </c>
      <c r="D405" s="2">
        <f>MAX(D404,B405)</f>
        <v>103.9</v>
      </c>
      <c r="E405" s="9">
        <f>(B405-D405)/D405</f>
        <v>-0.49326275264677577</v>
      </c>
      <c r="AB405" s="1">
        <f>A405</f>
        <v>45148</v>
      </c>
      <c r="AC405" s="2">
        <f>B405</f>
        <v>52.65</v>
      </c>
      <c r="AD405" s="2">
        <f>403</f>
        <v>403</v>
      </c>
      <c r="AE405" s="2">
        <f>INTERCEPT($AC$3:$AC$1136,$AD$3:$AD$1136)+SLOPE($AC$3:$AC$1136,$AD$3:$AD$1136)*AD405</f>
        <v>74.763647081876542</v>
      </c>
      <c r="AF405" s="2">
        <f t="shared" si="12"/>
        <v>77.415306682279237</v>
      </c>
      <c r="AG405" s="2">
        <f t="shared" si="13"/>
        <v>72.111987481473847</v>
      </c>
      <c r="AH405" s="22">
        <f>AC405-AE405</f>
        <v>-22.113647081876543</v>
      </c>
    </row>
    <row r="406" spans="1:34" x14ac:dyDescent="0.25">
      <c r="A406" s="1">
        <f>DATEVALUE(Sheet1!A405)</f>
        <v>45149</v>
      </c>
      <c r="B406" s="2">
        <f>VALUE(Sheet1!B405)</f>
        <v>52.84</v>
      </c>
      <c r="C406" s="9">
        <f>(B406-B405)/B405</f>
        <v>3.6087369420703674E-3</v>
      </c>
      <c r="D406" s="2">
        <f>MAX(D405,B406)</f>
        <v>103.9</v>
      </c>
      <c r="E406" s="9">
        <f>(B406-D406)/D406</f>
        <v>-0.49143407122232918</v>
      </c>
      <c r="AB406" s="1">
        <f>A406</f>
        <v>45149</v>
      </c>
      <c r="AC406" s="2">
        <f>B406</f>
        <v>52.84</v>
      </c>
      <c r="AD406" s="2">
        <f>404</f>
        <v>404</v>
      </c>
      <c r="AE406" s="2">
        <f>INTERCEPT($AC$3:$AC$1136,$AD$3:$AD$1136)+SLOPE($AC$3:$AC$1136,$AD$3:$AD$1136)*AD406</f>
        <v>74.744935118464085</v>
      </c>
      <c r="AF406" s="2">
        <f t="shared" si="12"/>
        <v>77.39659471886678</v>
      </c>
      <c r="AG406" s="2">
        <f t="shared" si="13"/>
        <v>72.09327551806139</v>
      </c>
      <c r="AH406" s="22">
        <f>AC406-AE406</f>
        <v>-21.904935118464081</v>
      </c>
    </row>
    <row r="407" spans="1:34" x14ac:dyDescent="0.25">
      <c r="A407" s="1">
        <f>DATEVALUE(Sheet1!A406)</f>
        <v>45152</v>
      </c>
      <c r="B407" s="2">
        <f>VALUE(Sheet1!B406)</f>
        <v>53.26</v>
      </c>
      <c r="C407" s="9">
        <f>(B407-B406)/B406</f>
        <v>7.9485238455714348E-3</v>
      </c>
      <c r="D407" s="2">
        <f>MAX(D406,B407)</f>
        <v>103.9</v>
      </c>
      <c r="E407" s="9">
        <f>(B407-D407)/D407</f>
        <v>-0.48739172281039467</v>
      </c>
      <c r="AB407" s="1">
        <f>A407</f>
        <v>45152</v>
      </c>
      <c r="AC407" s="2">
        <f>B407</f>
        <v>53.26</v>
      </c>
      <c r="AD407" s="2">
        <f>405</f>
        <v>405</v>
      </c>
      <c r="AE407" s="2">
        <f>INTERCEPT($AC$3:$AC$1136,$AD$3:$AD$1136)+SLOPE($AC$3:$AC$1136,$AD$3:$AD$1136)*AD407</f>
        <v>74.726223155051642</v>
      </c>
      <c r="AF407" s="2">
        <f t="shared" si="12"/>
        <v>77.377882755454337</v>
      </c>
      <c r="AG407" s="2">
        <f t="shared" si="13"/>
        <v>72.074563554648947</v>
      </c>
      <c r="AH407" s="22">
        <f>AC407-AE407</f>
        <v>-21.466223155051644</v>
      </c>
    </row>
    <row r="408" spans="1:34" x14ac:dyDescent="0.25">
      <c r="A408" s="1">
        <f>DATEVALUE(Sheet1!A407)</f>
        <v>45153</v>
      </c>
      <c r="B408" s="2">
        <f>VALUE(Sheet1!B407)</f>
        <v>53.33</v>
      </c>
      <c r="C408" s="9">
        <f>(B408-B407)/B407</f>
        <v>1.3143071723620032E-3</v>
      </c>
      <c r="D408" s="2">
        <f>MAX(D407,B408)</f>
        <v>103.9</v>
      </c>
      <c r="E408" s="9">
        <f>(B408-D408)/D408</f>
        <v>-0.48671799807507221</v>
      </c>
      <c r="AB408" s="1">
        <f>A408</f>
        <v>45153</v>
      </c>
      <c r="AC408" s="2">
        <f>B408</f>
        <v>53.33</v>
      </c>
      <c r="AD408" s="2">
        <f>406</f>
        <v>406</v>
      </c>
      <c r="AE408" s="2">
        <f>INTERCEPT($AC$3:$AC$1136,$AD$3:$AD$1136)+SLOPE($AC$3:$AC$1136,$AD$3:$AD$1136)*AD408</f>
        <v>74.707511191639199</v>
      </c>
      <c r="AF408" s="2">
        <f t="shared" si="12"/>
        <v>77.359170792041894</v>
      </c>
      <c r="AG408" s="2">
        <f t="shared" si="13"/>
        <v>72.055851591236504</v>
      </c>
      <c r="AH408" s="22">
        <f>AC408-AE408</f>
        <v>-21.377511191639201</v>
      </c>
    </row>
    <row r="409" spans="1:34" x14ac:dyDescent="0.25">
      <c r="A409" s="1">
        <f>DATEVALUE(Sheet1!A408)</f>
        <v>45154</v>
      </c>
      <c r="B409" s="2">
        <f>VALUE(Sheet1!B408)</f>
        <v>53.19</v>
      </c>
      <c r="C409" s="9">
        <f>(B409-B408)/B408</f>
        <v>-2.6251640727545577E-3</v>
      </c>
      <c r="D409" s="2">
        <f>MAX(D408,B409)</f>
        <v>103.9</v>
      </c>
      <c r="E409" s="9">
        <f>(B409-D409)/D409</f>
        <v>-0.48806544754571707</v>
      </c>
      <c r="AB409" s="1">
        <f>A409</f>
        <v>45154</v>
      </c>
      <c r="AC409" s="2">
        <f>B409</f>
        <v>53.19</v>
      </c>
      <c r="AD409" s="2">
        <f>407</f>
        <v>407</v>
      </c>
      <c r="AE409" s="2">
        <f>INTERCEPT($AC$3:$AC$1136,$AD$3:$AD$1136)+SLOPE($AC$3:$AC$1136,$AD$3:$AD$1136)*AD409</f>
        <v>74.688799228226742</v>
      </c>
      <c r="AF409" s="2">
        <f t="shared" si="12"/>
        <v>77.340458828629437</v>
      </c>
      <c r="AG409" s="2">
        <f t="shared" si="13"/>
        <v>72.037139627824047</v>
      </c>
      <c r="AH409" s="22">
        <f>AC409-AE409</f>
        <v>-21.498799228226744</v>
      </c>
    </row>
    <row r="410" spans="1:34" x14ac:dyDescent="0.25">
      <c r="A410" s="1">
        <f>DATEVALUE(Sheet1!A409)</f>
        <v>45155</v>
      </c>
      <c r="B410" s="2">
        <f>VALUE(Sheet1!B409)</f>
        <v>53.22</v>
      </c>
      <c r="C410" s="9">
        <f>(B410-B409)/B409</f>
        <v>5.6401579244220979E-4</v>
      </c>
      <c r="D410" s="2">
        <f>MAX(D409,B410)</f>
        <v>103.9</v>
      </c>
      <c r="E410" s="9">
        <f>(B410-D410)/D410</f>
        <v>-0.48777670837343601</v>
      </c>
      <c r="AB410" s="1">
        <f>A410</f>
        <v>45155</v>
      </c>
      <c r="AC410" s="2">
        <f>B410</f>
        <v>53.22</v>
      </c>
      <c r="AD410" s="2">
        <f>408</f>
        <v>408</v>
      </c>
      <c r="AE410" s="2">
        <f>INTERCEPT($AC$3:$AC$1136,$AD$3:$AD$1136)+SLOPE($AC$3:$AC$1136,$AD$3:$AD$1136)*AD410</f>
        <v>74.670087264814299</v>
      </c>
      <c r="AF410" s="2">
        <f t="shared" si="12"/>
        <v>77.321746865216994</v>
      </c>
      <c r="AG410" s="2">
        <f t="shared" si="13"/>
        <v>72.018427664411604</v>
      </c>
      <c r="AH410" s="22">
        <f>AC410-AE410</f>
        <v>-21.4500872648143</v>
      </c>
    </row>
    <row r="411" spans="1:34" x14ac:dyDescent="0.25">
      <c r="A411" s="1">
        <f>DATEVALUE(Sheet1!A410)</f>
        <v>45156</v>
      </c>
      <c r="B411" s="2">
        <f>VALUE(Sheet1!B410)</f>
        <v>53.55</v>
      </c>
      <c r="C411" s="9">
        <f>(B411-B410)/B410</f>
        <v>6.2006764374295063E-3</v>
      </c>
      <c r="D411" s="2">
        <f>MAX(D410,B411)</f>
        <v>103.9</v>
      </c>
      <c r="E411" s="9">
        <f>(B411-D411)/D411</f>
        <v>-0.48460057747834462</v>
      </c>
      <c r="AB411" s="1">
        <f>A411</f>
        <v>45156</v>
      </c>
      <c r="AC411" s="2">
        <f>B411</f>
        <v>53.55</v>
      </c>
      <c r="AD411" s="2">
        <f>409</f>
        <v>409</v>
      </c>
      <c r="AE411" s="2">
        <f>INTERCEPT($AC$3:$AC$1136,$AD$3:$AD$1136)+SLOPE($AC$3:$AC$1136,$AD$3:$AD$1136)*AD411</f>
        <v>74.651375301401856</v>
      </c>
      <c r="AF411" s="2">
        <f t="shared" si="12"/>
        <v>77.303034901804551</v>
      </c>
      <c r="AG411" s="2">
        <f t="shared" si="13"/>
        <v>71.999715700999161</v>
      </c>
      <c r="AH411" s="22">
        <f>AC411-AE411</f>
        <v>-21.101375301401859</v>
      </c>
    </row>
    <row r="412" spans="1:34" x14ac:dyDescent="0.25">
      <c r="A412" s="1">
        <f>DATEVALUE(Sheet1!A411)</f>
        <v>45159</v>
      </c>
      <c r="B412" s="2">
        <f>VALUE(Sheet1!B411)</f>
        <v>53.65</v>
      </c>
      <c r="C412" s="9">
        <f>(B412-B411)/B411</f>
        <v>1.867413632119541E-3</v>
      </c>
      <c r="D412" s="2">
        <f>MAX(D411,B412)</f>
        <v>103.9</v>
      </c>
      <c r="E412" s="9">
        <f>(B412-D412)/D412</f>
        <v>-0.48363811357074116</v>
      </c>
      <c r="AB412" s="1">
        <f>A412</f>
        <v>45159</v>
      </c>
      <c r="AC412" s="2">
        <f>B412</f>
        <v>53.65</v>
      </c>
      <c r="AD412" s="2">
        <f>410</f>
        <v>410</v>
      </c>
      <c r="AE412" s="2">
        <f>INTERCEPT($AC$3:$AC$1136,$AD$3:$AD$1136)+SLOPE($AC$3:$AC$1136,$AD$3:$AD$1136)*AD412</f>
        <v>74.632663337989413</v>
      </c>
      <c r="AF412" s="2">
        <f t="shared" si="12"/>
        <v>77.284322938392108</v>
      </c>
      <c r="AG412" s="2">
        <f t="shared" si="13"/>
        <v>71.981003737586718</v>
      </c>
      <c r="AH412" s="22">
        <f>AC412-AE412</f>
        <v>-20.982663337989415</v>
      </c>
    </row>
    <row r="413" spans="1:34" x14ac:dyDescent="0.25">
      <c r="A413" s="1">
        <f>DATEVALUE(Sheet1!A412)</f>
        <v>45160</v>
      </c>
      <c r="B413" s="2">
        <f>VALUE(Sheet1!B412)</f>
        <v>53.47</v>
      </c>
      <c r="C413" s="9">
        <f>(B413-B412)/B412</f>
        <v>-3.3550792171481774E-3</v>
      </c>
      <c r="D413" s="2">
        <f>MAX(D412,B413)</f>
        <v>103.9</v>
      </c>
      <c r="E413" s="9">
        <f>(B413-D413)/D413</f>
        <v>-0.48537054860442735</v>
      </c>
      <c r="AB413" s="1">
        <f>A413</f>
        <v>45160</v>
      </c>
      <c r="AC413" s="2">
        <f>B413</f>
        <v>53.47</v>
      </c>
      <c r="AD413" s="2">
        <f>411</f>
        <v>411</v>
      </c>
      <c r="AE413" s="2">
        <f>INTERCEPT($AC$3:$AC$1136,$AD$3:$AD$1136)+SLOPE($AC$3:$AC$1136,$AD$3:$AD$1136)*AD413</f>
        <v>74.613951374576956</v>
      </c>
      <c r="AF413" s="2">
        <f t="shared" si="12"/>
        <v>77.265610974979651</v>
      </c>
      <c r="AG413" s="2">
        <f t="shared" si="13"/>
        <v>71.962291774174261</v>
      </c>
      <c r="AH413" s="22">
        <f>AC413-AE413</f>
        <v>-21.143951374576957</v>
      </c>
    </row>
    <row r="414" spans="1:34" x14ac:dyDescent="0.25">
      <c r="A414" s="1">
        <f>DATEVALUE(Sheet1!A413)</f>
        <v>45161</v>
      </c>
      <c r="B414" s="2">
        <f>VALUE(Sheet1!B413)</f>
        <v>53.96</v>
      </c>
      <c r="C414" s="9">
        <f>(B414-B413)/B413</f>
        <v>9.1640172059098933E-3</v>
      </c>
      <c r="D414" s="2">
        <f>MAX(D413,B414)</f>
        <v>103.9</v>
      </c>
      <c r="E414" s="9">
        <f>(B414-D414)/D414</f>
        <v>-0.48065447545717038</v>
      </c>
      <c r="AB414" s="1">
        <f>A414</f>
        <v>45161</v>
      </c>
      <c r="AC414" s="2">
        <f>B414</f>
        <v>53.96</v>
      </c>
      <c r="AD414" s="2">
        <f>412</f>
        <v>412</v>
      </c>
      <c r="AE414" s="2">
        <f>INTERCEPT($AC$3:$AC$1136,$AD$3:$AD$1136)+SLOPE($AC$3:$AC$1136,$AD$3:$AD$1136)*AD414</f>
        <v>74.595239411164513</v>
      </c>
      <c r="AF414" s="2">
        <f t="shared" si="12"/>
        <v>77.246899011567209</v>
      </c>
      <c r="AG414" s="2">
        <f t="shared" si="13"/>
        <v>71.943579810761818</v>
      </c>
      <c r="AH414" s="22">
        <f>AC414-AE414</f>
        <v>-20.635239411164513</v>
      </c>
    </row>
    <row r="415" spans="1:34" x14ac:dyDescent="0.25">
      <c r="A415" s="1">
        <f>DATEVALUE(Sheet1!A414)</f>
        <v>45162</v>
      </c>
      <c r="B415" s="2">
        <f>VALUE(Sheet1!B414)</f>
        <v>53.56</v>
      </c>
      <c r="C415" s="9">
        <f>(B415-B414)/B414</f>
        <v>-7.4128984432913006E-3</v>
      </c>
      <c r="D415" s="2">
        <f>MAX(D414,B415)</f>
        <v>103.9</v>
      </c>
      <c r="E415" s="9">
        <f>(B415-D415)/D415</f>
        <v>-0.48450433108758423</v>
      </c>
      <c r="AB415" s="1">
        <f>A415</f>
        <v>45162</v>
      </c>
      <c r="AC415" s="2">
        <f>B415</f>
        <v>53.56</v>
      </c>
      <c r="AD415" s="2">
        <f>413</f>
        <v>413</v>
      </c>
      <c r="AE415" s="2">
        <f>INTERCEPT($AC$3:$AC$1136,$AD$3:$AD$1136)+SLOPE($AC$3:$AC$1136,$AD$3:$AD$1136)*AD415</f>
        <v>74.576527447752071</v>
      </c>
      <c r="AF415" s="2">
        <f t="shared" si="12"/>
        <v>77.228187048154766</v>
      </c>
      <c r="AG415" s="2">
        <f t="shared" si="13"/>
        <v>71.924867847349375</v>
      </c>
      <c r="AH415" s="22">
        <f>AC415-AE415</f>
        <v>-21.016527447752068</v>
      </c>
    </row>
    <row r="416" spans="1:34" x14ac:dyDescent="0.25">
      <c r="A416" s="1">
        <f>DATEVALUE(Sheet1!A415)</f>
        <v>45163</v>
      </c>
      <c r="B416" s="2">
        <f>VALUE(Sheet1!B415)</f>
        <v>53.38</v>
      </c>
      <c r="C416" s="9">
        <f>(B416-B415)/B415</f>
        <v>-3.3607169529499574E-3</v>
      </c>
      <c r="D416" s="2">
        <f>MAX(D415,B416)</f>
        <v>103.9</v>
      </c>
      <c r="E416" s="9">
        <f>(B416-D416)/D416</f>
        <v>-0.48623676612127048</v>
      </c>
      <c r="AB416" s="1">
        <f>A416</f>
        <v>45163</v>
      </c>
      <c r="AC416" s="2">
        <f>B416</f>
        <v>53.38</v>
      </c>
      <c r="AD416" s="2">
        <f>414</f>
        <v>414</v>
      </c>
      <c r="AE416" s="2">
        <f>INTERCEPT($AC$3:$AC$1136,$AD$3:$AD$1136)+SLOPE($AC$3:$AC$1136,$AD$3:$AD$1136)*AD416</f>
        <v>74.557815484339628</v>
      </c>
      <c r="AF416" s="2">
        <f t="shared" si="12"/>
        <v>77.209475084742323</v>
      </c>
      <c r="AG416" s="2">
        <f t="shared" si="13"/>
        <v>71.906155883936933</v>
      </c>
      <c r="AH416" s="22">
        <f>AC416-AE416</f>
        <v>-21.177815484339625</v>
      </c>
    </row>
    <row r="417" spans="1:34" x14ac:dyDescent="0.25">
      <c r="A417" s="1">
        <f>DATEVALUE(Sheet1!A416)</f>
        <v>45166</v>
      </c>
      <c r="B417" s="2">
        <f>VALUE(Sheet1!B416)</f>
        <v>53.44</v>
      </c>
      <c r="C417" s="9">
        <f>(B417-B416)/B416</f>
        <v>1.1240164855750312E-3</v>
      </c>
      <c r="D417" s="2">
        <f>MAX(D416,B417)</f>
        <v>103.9</v>
      </c>
      <c r="E417" s="9">
        <f>(B417-D417)/D417</f>
        <v>-0.48565928777670841</v>
      </c>
      <c r="AB417" s="1">
        <f>A417</f>
        <v>45166</v>
      </c>
      <c r="AC417" s="2">
        <f>B417</f>
        <v>53.44</v>
      </c>
      <c r="AD417" s="2">
        <f>415</f>
        <v>415</v>
      </c>
      <c r="AE417" s="2">
        <f>INTERCEPT($AC$3:$AC$1136,$AD$3:$AD$1136)+SLOPE($AC$3:$AC$1136,$AD$3:$AD$1136)*AD417</f>
        <v>74.539103520927171</v>
      </c>
      <c r="AF417" s="2">
        <f t="shared" si="12"/>
        <v>77.190763121329866</v>
      </c>
      <c r="AG417" s="2">
        <f t="shared" si="13"/>
        <v>71.887443920524476</v>
      </c>
      <c r="AH417" s="22">
        <f>AC417-AE417</f>
        <v>-21.099103520927173</v>
      </c>
    </row>
    <row r="418" spans="1:34" x14ac:dyDescent="0.25">
      <c r="A418" s="1">
        <f>DATEVALUE(Sheet1!A417)</f>
        <v>45167</v>
      </c>
      <c r="B418" s="2">
        <f>VALUE(Sheet1!B417)</f>
        <v>53.5</v>
      </c>
      <c r="C418" s="9">
        <f>(B418-B417)/B417</f>
        <v>1.1227544910180067E-3</v>
      </c>
      <c r="D418" s="2">
        <f>MAX(D417,B418)</f>
        <v>103.9</v>
      </c>
      <c r="E418" s="9">
        <f>(B418-D418)/D418</f>
        <v>-0.48508180943214635</v>
      </c>
      <c r="AB418" s="1">
        <f>A418</f>
        <v>45167</v>
      </c>
      <c r="AC418" s="2">
        <f>B418</f>
        <v>53.5</v>
      </c>
      <c r="AD418" s="2">
        <f>416</f>
        <v>416</v>
      </c>
      <c r="AE418" s="2">
        <f>INTERCEPT($AC$3:$AC$1136,$AD$3:$AD$1136)+SLOPE($AC$3:$AC$1136,$AD$3:$AD$1136)*AD418</f>
        <v>74.520391557514728</v>
      </c>
      <c r="AF418" s="2">
        <f t="shared" si="12"/>
        <v>77.172051157917423</v>
      </c>
      <c r="AG418" s="2">
        <f t="shared" si="13"/>
        <v>71.868731957112033</v>
      </c>
      <c r="AH418" s="22">
        <f>AC418-AE418</f>
        <v>-21.020391557514728</v>
      </c>
    </row>
    <row r="419" spans="1:34" x14ac:dyDescent="0.25">
      <c r="A419" s="1">
        <f>DATEVALUE(Sheet1!A418)</f>
        <v>45168</v>
      </c>
      <c r="B419" s="2">
        <f>VALUE(Sheet1!B418)</f>
        <v>53.7</v>
      </c>
      <c r="C419" s="9">
        <f>(B419-B418)/B418</f>
        <v>3.7383177570093989E-3</v>
      </c>
      <c r="D419" s="2">
        <f>MAX(D418,B419)</f>
        <v>103.9</v>
      </c>
      <c r="E419" s="9">
        <f>(B419-D419)/D419</f>
        <v>-0.48315688161693937</v>
      </c>
      <c r="AB419" s="1">
        <f>A419</f>
        <v>45168</v>
      </c>
      <c r="AC419" s="2">
        <f>B419</f>
        <v>53.7</v>
      </c>
      <c r="AD419" s="2">
        <f>417</f>
        <v>417</v>
      </c>
      <c r="AE419" s="2">
        <f>INTERCEPT($AC$3:$AC$1136,$AD$3:$AD$1136)+SLOPE($AC$3:$AC$1136,$AD$3:$AD$1136)*AD419</f>
        <v>74.501679594102285</v>
      </c>
      <c r="AF419" s="2">
        <f t="shared" si="12"/>
        <v>77.15333919450498</v>
      </c>
      <c r="AG419" s="2">
        <f t="shared" si="13"/>
        <v>71.85001999369959</v>
      </c>
      <c r="AH419" s="22">
        <f>AC419-AE419</f>
        <v>-20.801679594102282</v>
      </c>
    </row>
    <row r="420" spans="1:34" x14ac:dyDescent="0.25">
      <c r="A420" s="1">
        <f>DATEVALUE(Sheet1!A419)</f>
        <v>45169</v>
      </c>
      <c r="B420" s="2">
        <f>VALUE(Sheet1!B419)</f>
        <v>53.54</v>
      </c>
      <c r="C420" s="9">
        <f>(B420-B419)/B419</f>
        <v>-2.9795158286779087E-3</v>
      </c>
      <c r="D420" s="2">
        <f>MAX(D419,B420)</f>
        <v>103.9</v>
      </c>
      <c r="E420" s="9">
        <f>(B420-D420)/D420</f>
        <v>-0.48469682386910495</v>
      </c>
      <c r="AB420" s="1">
        <f>A420</f>
        <v>45169</v>
      </c>
      <c r="AC420" s="2">
        <f>B420</f>
        <v>53.54</v>
      </c>
      <c r="AD420" s="2">
        <f>418</f>
        <v>418</v>
      </c>
      <c r="AE420" s="2">
        <f>INTERCEPT($AC$3:$AC$1136,$AD$3:$AD$1136)+SLOPE($AC$3:$AC$1136,$AD$3:$AD$1136)*AD420</f>
        <v>74.482967630689842</v>
      </c>
      <c r="AF420" s="2">
        <f t="shared" si="12"/>
        <v>77.134627231092537</v>
      </c>
      <c r="AG420" s="2">
        <f t="shared" si="13"/>
        <v>71.831308030287147</v>
      </c>
      <c r="AH420" s="22">
        <f>AC420-AE420</f>
        <v>-20.942967630689843</v>
      </c>
    </row>
    <row r="421" spans="1:34" x14ac:dyDescent="0.25">
      <c r="A421" s="1">
        <f>DATEVALUE(Sheet1!A420)</f>
        <v>45170</v>
      </c>
      <c r="B421" s="2">
        <f>VALUE(Sheet1!B420)</f>
        <v>53.88</v>
      </c>
      <c r="C421" s="9">
        <f>(B421-B420)/B420</f>
        <v>6.350392230108394E-3</v>
      </c>
      <c r="D421" s="2">
        <f>MAX(D420,B421)</f>
        <v>103.9</v>
      </c>
      <c r="E421" s="9">
        <f>(B421-D421)/D421</f>
        <v>-0.48142444658325312</v>
      </c>
      <c r="AB421" s="1">
        <f>A421</f>
        <v>45170</v>
      </c>
      <c r="AC421" s="2">
        <f>B421</f>
        <v>53.88</v>
      </c>
      <c r="AD421" s="2">
        <f>419</f>
        <v>419</v>
      </c>
      <c r="AE421" s="2">
        <f>INTERCEPT($AC$3:$AC$1136,$AD$3:$AD$1136)+SLOPE($AC$3:$AC$1136,$AD$3:$AD$1136)*AD421</f>
        <v>74.464255667277385</v>
      </c>
      <c r="AF421" s="2">
        <f t="shared" si="12"/>
        <v>77.11591526768008</v>
      </c>
      <c r="AG421" s="2">
        <f t="shared" si="13"/>
        <v>71.81259606687469</v>
      </c>
      <c r="AH421" s="22">
        <f>AC421-AE421</f>
        <v>-20.584255667277382</v>
      </c>
    </row>
    <row r="422" spans="1:34" x14ac:dyDescent="0.25">
      <c r="A422" s="1">
        <f>DATEVALUE(Sheet1!A421)</f>
        <v>45173</v>
      </c>
      <c r="B422" s="2">
        <f>VALUE(Sheet1!B421)</f>
        <v>53.82</v>
      </c>
      <c r="C422" s="9">
        <f>(B422-B421)/B421</f>
        <v>-1.1135857461024921E-3</v>
      </c>
      <c r="D422" s="2">
        <f>MAX(D421,B422)</f>
        <v>103.9</v>
      </c>
      <c r="E422" s="9">
        <f>(B422-D422)/D422</f>
        <v>-0.48200192492781524</v>
      </c>
      <c r="AB422" s="1">
        <f>A422</f>
        <v>45173</v>
      </c>
      <c r="AC422" s="2">
        <f>B422</f>
        <v>53.82</v>
      </c>
      <c r="AD422" s="2">
        <f>420</f>
        <v>420</v>
      </c>
      <c r="AE422" s="2">
        <f>INTERCEPT($AC$3:$AC$1136,$AD$3:$AD$1136)+SLOPE($AC$3:$AC$1136,$AD$3:$AD$1136)*AD422</f>
        <v>74.445543703864942</v>
      </c>
      <c r="AF422" s="2">
        <f t="shared" si="12"/>
        <v>77.097203304267637</v>
      </c>
      <c r="AG422" s="2">
        <f t="shared" si="13"/>
        <v>71.793884103462247</v>
      </c>
      <c r="AH422" s="22">
        <f>AC422-AE422</f>
        <v>-20.625543703864942</v>
      </c>
    </row>
    <row r="423" spans="1:34" x14ac:dyDescent="0.25">
      <c r="A423" s="1">
        <f>DATEVALUE(Sheet1!A422)</f>
        <v>45174</v>
      </c>
      <c r="B423" s="2">
        <f>VALUE(Sheet1!B422)</f>
        <v>54</v>
      </c>
      <c r="C423" s="9">
        <f>(B423-B422)/B422</f>
        <v>3.3444816053511653E-3</v>
      </c>
      <c r="D423" s="2">
        <f>MAX(D422,B423)</f>
        <v>103.9</v>
      </c>
      <c r="E423" s="9">
        <f>(B423-D423)/D423</f>
        <v>-0.48026948989412899</v>
      </c>
      <c r="AB423" s="1">
        <f>A423</f>
        <v>45174</v>
      </c>
      <c r="AC423" s="2">
        <f>B423</f>
        <v>54</v>
      </c>
      <c r="AD423" s="2">
        <f>421</f>
        <v>421</v>
      </c>
      <c r="AE423" s="2">
        <f>INTERCEPT($AC$3:$AC$1136,$AD$3:$AD$1136)+SLOPE($AC$3:$AC$1136,$AD$3:$AD$1136)*AD423</f>
        <v>74.426831740452499</v>
      </c>
      <c r="AF423" s="2">
        <f t="shared" si="12"/>
        <v>77.078491340855194</v>
      </c>
      <c r="AG423" s="2">
        <f t="shared" si="13"/>
        <v>71.775172140049804</v>
      </c>
      <c r="AH423" s="22">
        <f>AC423-AE423</f>
        <v>-20.426831740452499</v>
      </c>
    </row>
    <row r="424" spans="1:34" x14ac:dyDescent="0.25">
      <c r="A424" s="1">
        <f>DATEVALUE(Sheet1!A423)</f>
        <v>45175</v>
      </c>
      <c r="B424" s="2">
        <f>VALUE(Sheet1!B423)</f>
        <v>53.86</v>
      </c>
      <c r="C424" s="9">
        <f>(B424-B423)/B423</f>
        <v>-2.5925925925926029E-3</v>
      </c>
      <c r="D424" s="2">
        <f>MAX(D423,B424)</f>
        <v>103.9</v>
      </c>
      <c r="E424" s="9">
        <f>(B424-D424)/D424</f>
        <v>-0.48161693936477384</v>
      </c>
      <c r="AB424" s="1">
        <f>A424</f>
        <v>45175</v>
      </c>
      <c r="AC424" s="2">
        <f>B424</f>
        <v>53.86</v>
      </c>
      <c r="AD424" s="2">
        <f>422</f>
        <v>422</v>
      </c>
      <c r="AE424" s="2">
        <f>INTERCEPT($AC$3:$AC$1136,$AD$3:$AD$1136)+SLOPE($AC$3:$AC$1136,$AD$3:$AD$1136)*AD424</f>
        <v>74.408119777040042</v>
      </c>
      <c r="AF424" s="2">
        <f t="shared" si="12"/>
        <v>77.059779377442737</v>
      </c>
      <c r="AG424" s="2">
        <f t="shared" si="13"/>
        <v>71.756460176637347</v>
      </c>
      <c r="AH424" s="22">
        <f>AC424-AE424</f>
        <v>-20.548119777040043</v>
      </c>
    </row>
    <row r="425" spans="1:34" x14ac:dyDescent="0.25">
      <c r="A425" s="1">
        <f>DATEVALUE(Sheet1!A424)</f>
        <v>45177</v>
      </c>
      <c r="B425" s="2">
        <f>VALUE(Sheet1!B424)</f>
        <v>54.56</v>
      </c>
      <c r="C425" s="9">
        <f>(B425-B424)/B424</f>
        <v>1.2996658002228052E-2</v>
      </c>
      <c r="D425" s="2">
        <f>MAX(D424,B425)</f>
        <v>103.9</v>
      </c>
      <c r="E425" s="9">
        <f>(B425-D425)/D425</f>
        <v>-0.47487969201154956</v>
      </c>
      <c r="AB425" s="1">
        <f>A425</f>
        <v>45177</v>
      </c>
      <c r="AC425" s="2">
        <f>B425</f>
        <v>54.56</v>
      </c>
      <c r="AD425" s="2">
        <f>423</f>
        <v>423</v>
      </c>
      <c r="AE425" s="2">
        <f>INTERCEPT($AC$3:$AC$1136,$AD$3:$AD$1136)+SLOPE($AC$3:$AC$1136,$AD$3:$AD$1136)*AD425</f>
        <v>74.389407813627599</v>
      </c>
      <c r="AF425" s="2">
        <f t="shared" si="12"/>
        <v>77.041067414030294</v>
      </c>
      <c r="AG425" s="2">
        <f t="shared" si="13"/>
        <v>71.737748213224904</v>
      </c>
      <c r="AH425" s="22">
        <f>AC425-AE425</f>
        <v>-19.829407813627597</v>
      </c>
    </row>
    <row r="426" spans="1:34" x14ac:dyDescent="0.25">
      <c r="A426" s="1">
        <f>DATEVALUE(Sheet1!A425)</f>
        <v>45180</v>
      </c>
      <c r="B426" s="2">
        <f>VALUE(Sheet1!B425)</f>
        <v>53.82</v>
      </c>
      <c r="C426" s="9">
        <f>(B426-B425)/B425</f>
        <v>-1.3563049853372471E-2</v>
      </c>
      <c r="D426" s="2">
        <f>MAX(D425,B426)</f>
        <v>103.9</v>
      </c>
      <c r="E426" s="9">
        <f>(B426-D426)/D426</f>
        <v>-0.48200192492781524</v>
      </c>
      <c r="AB426" s="1">
        <f>A426</f>
        <v>45180</v>
      </c>
      <c r="AC426" s="2">
        <f>B426</f>
        <v>53.82</v>
      </c>
      <c r="AD426" s="2">
        <f>424</f>
        <v>424</v>
      </c>
      <c r="AE426" s="2">
        <f>INTERCEPT($AC$3:$AC$1136,$AD$3:$AD$1136)+SLOPE($AC$3:$AC$1136,$AD$3:$AD$1136)*AD426</f>
        <v>74.370695850215156</v>
      </c>
      <c r="AF426" s="2">
        <f t="shared" si="12"/>
        <v>77.022355450617852</v>
      </c>
      <c r="AG426" s="2">
        <f t="shared" si="13"/>
        <v>71.719036249812461</v>
      </c>
      <c r="AH426" s="22">
        <f>AC426-AE426</f>
        <v>-20.550695850215156</v>
      </c>
    </row>
    <row r="427" spans="1:34" x14ac:dyDescent="0.25">
      <c r="A427" s="1">
        <f>DATEVALUE(Sheet1!A426)</f>
        <v>45181</v>
      </c>
      <c r="B427" s="2">
        <f>VALUE(Sheet1!B426)</f>
        <v>53.28</v>
      </c>
      <c r="C427" s="9">
        <f>(B427-B426)/B426</f>
        <v>-1.0033444816053496E-2</v>
      </c>
      <c r="D427" s="2">
        <f>MAX(D426,B427)</f>
        <v>103.9</v>
      </c>
      <c r="E427" s="9">
        <f>(B427-D427)/D427</f>
        <v>-0.48719923002887394</v>
      </c>
      <c r="AB427" s="1">
        <f>A427</f>
        <v>45181</v>
      </c>
      <c r="AC427" s="2">
        <f>B427</f>
        <v>53.28</v>
      </c>
      <c r="AD427" s="2">
        <f>425</f>
        <v>425</v>
      </c>
      <c r="AE427" s="2">
        <f>INTERCEPT($AC$3:$AC$1136,$AD$3:$AD$1136)+SLOPE($AC$3:$AC$1136,$AD$3:$AD$1136)*AD427</f>
        <v>74.351983886802714</v>
      </c>
      <c r="AF427" s="2">
        <f t="shared" si="12"/>
        <v>77.003643487205409</v>
      </c>
      <c r="AG427" s="2">
        <f t="shared" si="13"/>
        <v>71.700324286400019</v>
      </c>
      <c r="AH427" s="22">
        <f>AC427-AE427</f>
        <v>-21.071983886802713</v>
      </c>
    </row>
    <row r="428" spans="1:34" x14ac:dyDescent="0.25">
      <c r="A428" s="1">
        <f>DATEVALUE(Sheet1!A427)</f>
        <v>45182</v>
      </c>
      <c r="B428" s="2">
        <f>VALUE(Sheet1!B427)</f>
        <v>53.06</v>
      </c>
      <c r="C428" s="9">
        <f>(B428-B427)/B427</f>
        <v>-4.1291291291291081E-3</v>
      </c>
      <c r="D428" s="2">
        <f>MAX(D427,B428)</f>
        <v>103.9</v>
      </c>
      <c r="E428" s="9">
        <f>(B428-D428)/D428</f>
        <v>-0.48931665062560153</v>
      </c>
      <c r="AB428" s="1">
        <f>A428</f>
        <v>45182</v>
      </c>
      <c r="AC428" s="2">
        <f>B428</f>
        <v>53.06</v>
      </c>
      <c r="AD428" s="2">
        <f>426</f>
        <v>426</v>
      </c>
      <c r="AE428" s="2">
        <f>INTERCEPT($AC$3:$AC$1136,$AD$3:$AD$1136)+SLOPE($AC$3:$AC$1136,$AD$3:$AD$1136)*AD428</f>
        <v>74.333271923390257</v>
      </c>
      <c r="AF428" s="2">
        <f t="shared" si="12"/>
        <v>76.984931523792952</v>
      </c>
      <c r="AG428" s="2">
        <f t="shared" si="13"/>
        <v>71.681612322987561</v>
      </c>
      <c r="AH428" s="22">
        <f>AC428-AE428</f>
        <v>-21.273271923390254</v>
      </c>
    </row>
    <row r="429" spans="1:34" x14ac:dyDescent="0.25">
      <c r="A429" s="1">
        <f>DATEVALUE(Sheet1!A428)</f>
        <v>45183</v>
      </c>
      <c r="B429" s="2">
        <f>VALUE(Sheet1!B428)</f>
        <v>53.99</v>
      </c>
      <c r="C429" s="9">
        <f>(B429-B428)/B428</f>
        <v>1.7527327553712772E-2</v>
      </c>
      <c r="D429" s="2">
        <f>MAX(D428,B429)</f>
        <v>103.9</v>
      </c>
      <c r="E429" s="9">
        <f>(B429-D429)/D429</f>
        <v>-0.48036573628488932</v>
      </c>
      <c r="AB429" s="1">
        <f>A429</f>
        <v>45183</v>
      </c>
      <c r="AC429" s="2">
        <f>B429</f>
        <v>53.99</v>
      </c>
      <c r="AD429" s="2">
        <f>427</f>
        <v>427</v>
      </c>
      <c r="AE429" s="2">
        <f>INTERCEPT($AC$3:$AC$1136,$AD$3:$AD$1136)+SLOPE($AC$3:$AC$1136,$AD$3:$AD$1136)*AD429</f>
        <v>74.314559959977814</v>
      </c>
      <c r="AF429" s="2">
        <f t="shared" si="12"/>
        <v>76.966219560380509</v>
      </c>
      <c r="AG429" s="2">
        <f t="shared" si="13"/>
        <v>71.662900359575119</v>
      </c>
      <c r="AH429" s="22">
        <f>AC429-AE429</f>
        <v>-20.324559959977812</v>
      </c>
    </row>
    <row r="430" spans="1:34" x14ac:dyDescent="0.25">
      <c r="A430" s="1">
        <f>DATEVALUE(Sheet1!A429)</f>
        <v>45184</v>
      </c>
      <c r="B430" s="2">
        <f>VALUE(Sheet1!B429)</f>
        <v>53.87</v>
      </c>
      <c r="C430" s="9">
        <f>(B430-B429)/B429</f>
        <v>-2.2226338210780613E-3</v>
      </c>
      <c r="D430" s="2">
        <f>MAX(D429,B430)</f>
        <v>103.9</v>
      </c>
      <c r="E430" s="9">
        <f>(B430-D430)/D430</f>
        <v>-0.48152069297401351</v>
      </c>
      <c r="AB430" s="1">
        <f>A430</f>
        <v>45184</v>
      </c>
      <c r="AC430" s="2">
        <f>B430</f>
        <v>53.87</v>
      </c>
      <c r="AD430" s="2">
        <f>428</f>
        <v>428</v>
      </c>
      <c r="AE430" s="2">
        <f>INTERCEPT($AC$3:$AC$1136,$AD$3:$AD$1136)+SLOPE($AC$3:$AC$1136,$AD$3:$AD$1136)*AD430</f>
        <v>74.295847996565371</v>
      </c>
      <c r="AF430" s="2">
        <f t="shared" si="12"/>
        <v>76.947507596968066</v>
      </c>
      <c r="AG430" s="2">
        <f t="shared" si="13"/>
        <v>71.644188396162676</v>
      </c>
      <c r="AH430" s="22">
        <f>AC430-AE430</f>
        <v>-20.425847996565373</v>
      </c>
    </row>
    <row r="431" spans="1:34" x14ac:dyDescent="0.25">
      <c r="A431" s="1">
        <f>DATEVALUE(Sheet1!A430)</f>
        <v>45187</v>
      </c>
      <c r="B431" s="2">
        <f>VALUE(Sheet1!B430)</f>
        <v>53.82</v>
      </c>
      <c r="C431" s="9">
        <f>(B431-B430)/B430</f>
        <v>-9.2816038611466794E-4</v>
      </c>
      <c r="D431" s="2">
        <f>MAX(D430,B431)</f>
        <v>103.9</v>
      </c>
      <c r="E431" s="9">
        <f>(B431-D431)/D431</f>
        <v>-0.48200192492781524</v>
      </c>
      <c r="AB431" s="1">
        <f>A431</f>
        <v>45187</v>
      </c>
      <c r="AC431" s="2">
        <f>B431</f>
        <v>53.82</v>
      </c>
      <c r="AD431" s="2">
        <f>429</f>
        <v>429</v>
      </c>
      <c r="AE431" s="2">
        <f>INTERCEPT($AC$3:$AC$1136,$AD$3:$AD$1136)+SLOPE($AC$3:$AC$1136,$AD$3:$AD$1136)*AD431</f>
        <v>74.277136033152914</v>
      </c>
      <c r="AF431" s="2">
        <f t="shared" si="12"/>
        <v>76.928795633555609</v>
      </c>
      <c r="AG431" s="2">
        <f t="shared" si="13"/>
        <v>71.625476432750219</v>
      </c>
      <c r="AH431" s="22">
        <f>AC431-AE431</f>
        <v>-20.457136033152914</v>
      </c>
    </row>
    <row r="432" spans="1:34" x14ac:dyDescent="0.25">
      <c r="A432" s="1">
        <f>DATEVALUE(Sheet1!A431)</f>
        <v>45188</v>
      </c>
      <c r="B432" s="2">
        <f>VALUE(Sheet1!B431)</f>
        <v>54.29</v>
      </c>
      <c r="C432" s="9">
        <f>(B432-B431)/B431</f>
        <v>8.7328130806391471E-3</v>
      </c>
      <c r="D432" s="2">
        <f>MAX(D431,B432)</f>
        <v>103.9</v>
      </c>
      <c r="E432" s="9">
        <f>(B432-D432)/D432</f>
        <v>-0.47747834456207894</v>
      </c>
      <c r="AB432" s="1">
        <f>A432</f>
        <v>45188</v>
      </c>
      <c r="AC432" s="2">
        <f>B432</f>
        <v>54.29</v>
      </c>
      <c r="AD432" s="2">
        <f>430</f>
        <v>430</v>
      </c>
      <c r="AE432" s="2">
        <f>INTERCEPT($AC$3:$AC$1136,$AD$3:$AD$1136)+SLOPE($AC$3:$AC$1136,$AD$3:$AD$1136)*AD432</f>
        <v>74.258424069740471</v>
      </c>
      <c r="AF432" s="2">
        <f t="shared" si="12"/>
        <v>76.910083670143166</v>
      </c>
      <c r="AG432" s="2">
        <f t="shared" si="13"/>
        <v>71.606764469337776</v>
      </c>
      <c r="AH432" s="22">
        <f>AC432-AE432</f>
        <v>-19.968424069740472</v>
      </c>
    </row>
    <row r="433" spans="1:34" x14ac:dyDescent="0.25">
      <c r="A433" s="1">
        <f>DATEVALUE(Sheet1!A432)</f>
        <v>45189</v>
      </c>
      <c r="B433" s="2">
        <f>VALUE(Sheet1!B432)</f>
        <v>54.34</v>
      </c>
      <c r="C433" s="9">
        <f>(B433-B432)/B432</f>
        <v>9.2097992263776506E-4</v>
      </c>
      <c r="D433" s="2">
        <f>MAX(D432,B433)</f>
        <v>103.9</v>
      </c>
      <c r="E433" s="9">
        <f>(B433-D433)/D433</f>
        <v>-0.47699711260827721</v>
      </c>
      <c r="AB433" s="1">
        <f>A433</f>
        <v>45189</v>
      </c>
      <c r="AC433" s="2">
        <f>B433</f>
        <v>54.34</v>
      </c>
      <c r="AD433" s="2">
        <f>431</f>
        <v>431</v>
      </c>
      <c r="AE433" s="2">
        <f>INTERCEPT($AC$3:$AC$1136,$AD$3:$AD$1136)+SLOPE($AC$3:$AC$1136,$AD$3:$AD$1136)*AD433</f>
        <v>74.239712106328028</v>
      </c>
      <c r="AF433" s="2">
        <f t="shared" si="12"/>
        <v>76.891371706730723</v>
      </c>
      <c r="AG433" s="2">
        <f t="shared" si="13"/>
        <v>71.588052505925333</v>
      </c>
      <c r="AH433" s="22">
        <f>AC433-AE433</f>
        <v>-19.899712106328025</v>
      </c>
    </row>
    <row r="434" spans="1:34" x14ac:dyDescent="0.25">
      <c r="A434" s="1">
        <f>DATEVALUE(Sheet1!A433)</f>
        <v>45190</v>
      </c>
      <c r="B434" s="2">
        <f>VALUE(Sheet1!B433)</f>
        <v>54.43</v>
      </c>
      <c r="C434" s="9">
        <f>(B434-B433)/B433</f>
        <v>1.6562384983436933E-3</v>
      </c>
      <c r="D434" s="2">
        <f>MAX(D433,B434)</f>
        <v>103.9</v>
      </c>
      <c r="E434" s="9">
        <f>(B434-D434)/D434</f>
        <v>-0.47613089509143408</v>
      </c>
      <c r="AB434" s="1">
        <f>A434</f>
        <v>45190</v>
      </c>
      <c r="AC434" s="2">
        <f>B434</f>
        <v>54.43</v>
      </c>
      <c r="AD434" s="2">
        <f>432</f>
        <v>432</v>
      </c>
      <c r="AE434" s="2">
        <f>INTERCEPT($AC$3:$AC$1136,$AD$3:$AD$1136)+SLOPE($AC$3:$AC$1136,$AD$3:$AD$1136)*AD434</f>
        <v>74.221000142915585</v>
      </c>
      <c r="AF434" s="2">
        <f t="shared" si="12"/>
        <v>76.87265974331828</v>
      </c>
      <c r="AG434" s="2">
        <f t="shared" si="13"/>
        <v>71.56934054251289</v>
      </c>
      <c r="AH434" s="22">
        <f>AC434-AE434</f>
        <v>-19.791000142915586</v>
      </c>
    </row>
    <row r="435" spans="1:34" x14ac:dyDescent="0.25">
      <c r="A435" s="1">
        <f>DATEVALUE(Sheet1!A434)</f>
        <v>45191</v>
      </c>
      <c r="B435" s="2">
        <f>VALUE(Sheet1!B434)</f>
        <v>54.9</v>
      </c>
      <c r="C435" s="9">
        <f>(B435-B434)/B434</f>
        <v>8.6349439647253143E-3</v>
      </c>
      <c r="D435" s="2">
        <f>MAX(D434,B435)</f>
        <v>103.9</v>
      </c>
      <c r="E435" s="9">
        <f>(B435-D435)/D435</f>
        <v>-0.47160731472569783</v>
      </c>
      <c r="AB435" s="1">
        <f>A435</f>
        <v>45191</v>
      </c>
      <c r="AC435" s="2">
        <f>B435</f>
        <v>54.9</v>
      </c>
      <c r="AD435" s="2">
        <f>433</f>
        <v>433</v>
      </c>
      <c r="AE435" s="2">
        <f>INTERCEPT($AC$3:$AC$1136,$AD$3:$AD$1136)+SLOPE($AC$3:$AC$1136,$AD$3:$AD$1136)*AD435</f>
        <v>74.202288179503142</v>
      </c>
      <c r="AF435" s="2">
        <f t="shared" si="12"/>
        <v>76.853947779905837</v>
      </c>
      <c r="AG435" s="2">
        <f t="shared" si="13"/>
        <v>71.550628579100447</v>
      </c>
      <c r="AH435" s="22">
        <f>AC435-AE435</f>
        <v>-19.302288179503144</v>
      </c>
    </row>
    <row r="436" spans="1:34" x14ac:dyDescent="0.25">
      <c r="A436" s="1">
        <f>DATEVALUE(Sheet1!A435)</f>
        <v>45194</v>
      </c>
      <c r="B436" s="2">
        <f>VALUE(Sheet1!B435)</f>
        <v>55.73</v>
      </c>
      <c r="C436" s="9">
        <f>(B436-B435)/B435</f>
        <v>1.511839708561017E-2</v>
      </c>
      <c r="D436" s="2">
        <f>MAX(D435,B436)</f>
        <v>103.9</v>
      </c>
      <c r="E436" s="9">
        <f>(B436-D436)/D436</f>
        <v>-0.46361886429258908</v>
      </c>
      <c r="AB436" s="1">
        <f>A436</f>
        <v>45194</v>
      </c>
      <c r="AC436" s="2">
        <f>B436</f>
        <v>55.73</v>
      </c>
      <c r="AD436" s="2">
        <f>434</f>
        <v>434</v>
      </c>
      <c r="AE436" s="2">
        <f>INTERCEPT($AC$3:$AC$1136,$AD$3:$AD$1136)+SLOPE($AC$3:$AC$1136,$AD$3:$AD$1136)*AD436</f>
        <v>74.183576216090685</v>
      </c>
      <c r="AF436" s="2">
        <f t="shared" si="12"/>
        <v>76.83523581649338</v>
      </c>
      <c r="AG436" s="2">
        <f t="shared" si="13"/>
        <v>71.53191661568799</v>
      </c>
      <c r="AH436" s="22">
        <f>AC436-AE436</f>
        <v>-18.453576216090688</v>
      </c>
    </row>
    <row r="437" spans="1:34" x14ac:dyDescent="0.25">
      <c r="A437" s="1">
        <f>DATEVALUE(Sheet1!A436)</f>
        <v>45195</v>
      </c>
      <c r="B437" s="2">
        <f>VALUE(Sheet1!B436)</f>
        <v>55.97</v>
      </c>
      <c r="C437" s="9">
        <f>(B437-B436)/B436</f>
        <v>4.3064776601471743E-3</v>
      </c>
      <c r="D437" s="2">
        <f>MAX(D436,B437)</f>
        <v>103.9</v>
      </c>
      <c r="E437" s="9">
        <f>(B437-D437)/D437</f>
        <v>-0.46130895091434077</v>
      </c>
      <c r="AB437" s="1">
        <f>A437</f>
        <v>45195</v>
      </c>
      <c r="AC437" s="2">
        <f>B437</f>
        <v>55.97</v>
      </c>
      <c r="AD437" s="2">
        <f>435</f>
        <v>435</v>
      </c>
      <c r="AE437" s="2">
        <f>INTERCEPT($AC$3:$AC$1136,$AD$3:$AD$1136)+SLOPE($AC$3:$AC$1136,$AD$3:$AD$1136)*AD437</f>
        <v>74.164864252678242</v>
      </c>
      <c r="AF437" s="2">
        <f t="shared" si="12"/>
        <v>76.816523853080938</v>
      </c>
      <c r="AG437" s="2">
        <f t="shared" si="13"/>
        <v>71.513204652275547</v>
      </c>
      <c r="AH437" s="22">
        <f>AC437-AE437</f>
        <v>-18.194864252678244</v>
      </c>
    </row>
    <row r="438" spans="1:34" x14ac:dyDescent="0.25">
      <c r="A438" s="1">
        <f>DATEVALUE(Sheet1!A437)</f>
        <v>45196</v>
      </c>
      <c r="B438" s="2">
        <f>VALUE(Sheet1!B437)</f>
        <v>56.39</v>
      </c>
      <c r="C438" s="9">
        <f>(B438-B437)/B437</f>
        <v>7.5040200107200595E-3</v>
      </c>
      <c r="D438" s="2">
        <f>MAX(D437,B438)</f>
        <v>103.9</v>
      </c>
      <c r="E438" s="9">
        <f>(B438-D438)/D438</f>
        <v>-0.45726660250240619</v>
      </c>
      <c r="AB438" s="1">
        <f>A438</f>
        <v>45196</v>
      </c>
      <c r="AC438" s="2">
        <f>B438</f>
        <v>56.39</v>
      </c>
      <c r="AD438" s="2">
        <f>436</f>
        <v>436</v>
      </c>
      <c r="AE438" s="2">
        <f>INTERCEPT($AC$3:$AC$1136,$AD$3:$AD$1136)+SLOPE($AC$3:$AC$1136,$AD$3:$AD$1136)*AD438</f>
        <v>74.1461522892658</v>
      </c>
      <c r="AF438" s="2">
        <f t="shared" si="12"/>
        <v>76.797811889668495</v>
      </c>
      <c r="AG438" s="2">
        <f t="shared" si="13"/>
        <v>71.494492688863104</v>
      </c>
      <c r="AH438" s="22">
        <f>AC438-AE438</f>
        <v>-17.756152289265799</v>
      </c>
    </row>
    <row r="439" spans="1:34" x14ac:dyDescent="0.25">
      <c r="A439" s="1">
        <f>DATEVALUE(Sheet1!A438)</f>
        <v>45197</v>
      </c>
      <c r="B439" s="2">
        <f>VALUE(Sheet1!B438)</f>
        <v>57.02</v>
      </c>
      <c r="C439" s="9">
        <f>(B439-B438)/B438</f>
        <v>1.1172193651356669E-2</v>
      </c>
      <c r="D439" s="2">
        <f>MAX(D438,B439)</f>
        <v>103.9</v>
      </c>
      <c r="E439" s="9">
        <f>(B439-D439)/D439</f>
        <v>-0.45120307988450431</v>
      </c>
      <c r="AB439" s="1">
        <f>A439</f>
        <v>45197</v>
      </c>
      <c r="AC439" s="2">
        <f>B439</f>
        <v>57.02</v>
      </c>
      <c r="AD439" s="2">
        <f>437</f>
        <v>437</v>
      </c>
      <c r="AE439" s="2">
        <f>INTERCEPT($AC$3:$AC$1136,$AD$3:$AD$1136)+SLOPE($AC$3:$AC$1136,$AD$3:$AD$1136)*AD439</f>
        <v>74.127440325853343</v>
      </c>
      <c r="AF439" s="2">
        <f t="shared" si="12"/>
        <v>76.779099926256038</v>
      </c>
      <c r="AG439" s="2">
        <f t="shared" si="13"/>
        <v>71.475780725450647</v>
      </c>
      <c r="AH439" s="22">
        <f>AC439-AE439</f>
        <v>-17.107440325853339</v>
      </c>
    </row>
    <row r="440" spans="1:34" x14ac:dyDescent="0.25">
      <c r="A440" s="1">
        <f>DATEVALUE(Sheet1!A439)</f>
        <v>45198</v>
      </c>
      <c r="B440" s="2">
        <f>VALUE(Sheet1!B439)</f>
        <v>57.47</v>
      </c>
      <c r="C440" s="9">
        <f>(B440-B439)/B439</f>
        <v>7.8919677306207598E-3</v>
      </c>
      <c r="D440" s="2">
        <f>MAX(D439,B440)</f>
        <v>103.9</v>
      </c>
      <c r="E440" s="9">
        <f>(B440-D440)/D440</f>
        <v>-0.44687199230028879</v>
      </c>
      <c r="AB440" s="1">
        <f>A440</f>
        <v>45198</v>
      </c>
      <c r="AC440" s="2">
        <f>B440</f>
        <v>57.47</v>
      </c>
      <c r="AD440" s="2">
        <f>438</f>
        <v>438</v>
      </c>
      <c r="AE440" s="2">
        <f>INTERCEPT($AC$3:$AC$1136,$AD$3:$AD$1136)+SLOPE($AC$3:$AC$1136,$AD$3:$AD$1136)*AD440</f>
        <v>74.1087283624409</v>
      </c>
      <c r="AF440" s="2">
        <f t="shared" si="12"/>
        <v>76.760387962843595</v>
      </c>
      <c r="AG440" s="2">
        <f t="shared" si="13"/>
        <v>71.457068762038205</v>
      </c>
      <c r="AH440" s="22">
        <f>AC440-AE440</f>
        <v>-16.638728362440901</v>
      </c>
    </row>
    <row r="441" spans="1:34" x14ac:dyDescent="0.25">
      <c r="A441" s="1">
        <f>DATEVALUE(Sheet1!A440)</f>
        <v>45201</v>
      </c>
      <c r="B441" s="2">
        <f>VALUE(Sheet1!B440)</f>
        <v>58.08</v>
      </c>
      <c r="C441" s="9">
        <f>(B441-B440)/B440</f>
        <v>1.061423351313728E-2</v>
      </c>
      <c r="D441" s="2">
        <f>MAX(D440,B441)</f>
        <v>103.9</v>
      </c>
      <c r="E441" s="9">
        <f>(B441-D441)/D441</f>
        <v>-0.44100096246390763</v>
      </c>
      <c r="AB441" s="1">
        <f>A441</f>
        <v>45201</v>
      </c>
      <c r="AC441" s="2">
        <f>B441</f>
        <v>58.08</v>
      </c>
      <c r="AD441" s="2">
        <f>439</f>
        <v>439</v>
      </c>
      <c r="AE441" s="2">
        <f>INTERCEPT($AC$3:$AC$1136,$AD$3:$AD$1136)+SLOPE($AC$3:$AC$1136,$AD$3:$AD$1136)*AD441</f>
        <v>74.090016399028457</v>
      </c>
      <c r="AF441" s="2">
        <f t="shared" si="12"/>
        <v>76.741675999431152</v>
      </c>
      <c r="AG441" s="2">
        <f t="shared" si="13"/>
        <v>71.438356798625762</v>
      </c>
      <c r="AH441" s="22">
        <f>AC441-AE441</f>
        <v>-16.010016399028459</v>
      </c>
    </row>
    <row r="442" spans="1:34" x14ac:dyDescent="0.25">
      <c r="A442" s="1">
        <f>DATEVALUE(Sheet1!A441)</f>
        <v>45202</v>
      </c>
      <c r="B442" s="2">
        <f>VALUE(Sheet1!B441)</f>
        <v>57.81</v>
      </c>
      <c r="C442" s="9">
        <f>(B442-B441)/B441</f>
        <v>-4.648760330578444E-3</v>
      </c>
      <c r="D442" s="2">
        <f>MAX(D441,B442)</f>
        <v>103.9</v>
      </c>
      <c r="E442" s="9">
        <f>(B442-D442)/D442</f>
        <v>-0.44359961501443695</v>
      </c>
      <c r="AB442" s="1">
        <f>A442</f>
        <v>45202</v>
      </c>
      <c r="AC442" s="2">
        <f>B442</f>
        <v>57.81</v>
      </c>
      <c r="AD442" s="2">
        <f>440</f>
        <v>440</v>
      </c>
      <c r="AE442" s="2">
        <f>INTERCEPT($AC$3:$AC$1136,$AD$3:$AD$1136)+SLOPE($AC$3:$AC$1136,$AD$3:$AD$1136)*AD442</f>
        <v>74.071304435616014</v>
      </c>
      <c r="AF442" s="2">
        <f t="shared" si="12"/>
        <v>76.722964036018709</v>
      </c>
      <c r="AG442" s="2">
        <f t="shared" si="13"/>
        <v>71.419644835213319</v>
      </c>
      <c r="AH442" s="22">
        <f>AC442-AE442</f>
        <v>-16.261304435616012</v>
      </c>
    </row>
    <row r="443" spans="1:34" x14ac:dyDescent="0.25">
      <c r="A443" s="1">
        <f>DATEVALUE(Sheet1!A442)</f>
        <v>45203</v>
      </c>
      <c r="B443" s="2">
        <f>VALUE(Sheet1!B442)</f>
        <v>58.47</v>
      </c>
      <c r="C443" s="9">
        <f>(B443-B442)/B442</f>
        <v>1.1416709911779909E-2</v>
      </c>
      <c r="D443" s="2">
        <f>MAX(D442,B443)</f>
        <v>103.9</v>
      </c>
      <c r="E443" s="9">
        <f>(B443-D443)/D443</f>
        <v>-0.43724735322425412</v>
      </c>
      <c r="AB443" s="1">
        <f>A443</f>
        <v>45203</v>
      </c>
      <c r="AC443" s="2">
        <f>B443</f>
        <v>58.47</v>
      </c>
      <c r="AD443" s="2">
        <f>441</f>
        <v>441</v>
      </c>
      <c r="AE443" s="2">
        <f>INTERCEPT($AC$3:$AC$1136,$AD$3:$AD$1136)+SLOPE($AC$3:$AC$1136,$AD$3:$AD$1136)*AD443</f>
        <v>74.052592472203557</v>
      </c>
      <c r="AF443" s="2">
        <f t="shared" si="12"/>
        <v>76.704252072606252</v>
      </c>
      <c r="AG443" s="2">
        <f t="shared" si="13"/>
        <v>71.400932871800862</v>
      </c>
      <c r="AH443" s="22">
        <f>AC443-AE443</f>
        <v>-15.582592472203558</v>
      </c>
    </row>
    <row r="444" spans="1:34" x14ac:dyDescent="0.25">
      <c r="A444" s="1">
        <f>DATEVALUE(Sheet1!A443)</f>
        <v>45204</v>
      </c>
      <c r="B444" s="2">
        <f>VALUE(Sheet1!B443)</f>
        <v>59.19</v>
      </c>
      <c r="C444" s="9">
        <f>(B444-B443)/B443</f>
        <v>1.2314007183170838E-2</v>
      </c>
      <c r="D444" s="2">
        <f>MAX(D443,B444)</f>
        <v>103.9</v>
      </c>
      <c r="E444" s="9">
        <f>(B444-D444)/D444</f>
        <v>-0.43031761308950922</v>
      </c>
      <c r="AB444" s="1">
        <f>A444</f>
        <v>45204</v>
      </c>
      <c r="AC444" s="2">
        <f>B444</f>
        <v>59.19</v>
      </c>
      <c r="AD444" s="2">
        <f>442</f>
        <v>442</v>
      </c>
      <c r="AE444" s="2">
        <f>INTERCEPT($AC$3:$AC$1136,$AD$3:$AD$1136)+SLOPE($AC$3:$AC$1136,$AD$3:$AD$1136)*AD444</f>
        <v>74.033880508791114</v>
      </c>
      <c r="AF444" s="2">
        <f t="shared" si="12"/>
        <v>76.685540109193809</v>
      </c>
      <c r="AG444" s="2">
        <f t="shared" si="13"/>
        <v>71.382220908388419</v>
      </c>
      <c r="AH444" s="22">
        <f>AC444-AE444</f>
        <v>-14.843880508791116</v>
      </c>
    </row>
    <row r="445" spans="1:34" x14ac:dyDescent="0.25">
      <c r="A445" s="1">
        <f>DATEVALUE(Sheet1!A444)</f>
        <v>45205</v>
      </c>
      <c r="B445" s="2">
        <f>VALUE(Sheet1!B444)</f>
        <v>59.72</v>
      </c>
      <c r="C445" s="9">
        <f>(B445-B444)/B444</f>
        <v>8.954215239060672E-3</v>
      </c>
      <c r="D445" s="2">
        <f>MAX(D444,B445)</f>
        <v>103.9</v>
      </c>
      <c r="E445" s="9">
        <f>(B445-D445)/D445</f>
        <v>-0.4252165543792108</v>
      </c>
      <c r="AB445" s="1">
        <f>A445</f>
        <v>45205</v>
      </c>
      <c r="AC445" s="2">
        <f>B445</f>
        <v>59.72</v>
      </c>
      <c r="AD445" s="2">
        <f>443</f>
        <v>443</v>
      </c>
      <c r="AE445" s="2">
        <f>INTERCEPT($AC$3:$AC$1136,$AD$3:$AD$1136)+SLOPE($AC$3:$AC$1136,$AD$3:$AD$1136)*AD445</f>
        <v>74.015168545378671</v>
      </c>
      <c r="AF445" s="2">
        <f t="shared" si="12"/>
        <v>76.666828145781366</v>
      </c>
      <c r="AG445" s="2">
        <f t="shared" si="13"/>
        <v>71.363508944975976</v>
      </c>
      <c r="AH445" s="22">
        <f>AC445-AE445</f>
        <v>-14.295168545378672</v>
      </c>
    </row>
    <row r="446" spans="1:34" x14ac:dyDescent="0.25">
      <c r="A446" s="1">
        <f>DATEVALUE(Sheet1!A445)</f>
        <v>45208</v>
      </c>
      <c r="B446" s="2">
        <f>VALUE(Sheet1!B445)</f>
        <v>59.96</v>
      </c>
      <c r="C446" s="9">
        <f>(B446-B445)/B445</f>
        <v>4.0187541862023108E-3</v>
      </c>
      <c r="D446" s="2">
        <f>MAX(D445,B446)</f>
        <v>103.9</v>
      </c>
      <c r="E446" s="9">
        <f>(B446-D446)/D446</f>
        <v>-0.42290664100096248</v>
      </c>
      <c r="AB446" s="1">
        <f>A446</f>
        <v>45208</v>
      </c>
      <c r="AC446" s="2">
        <f>B446</f>
        <v>59.96</v>
      </c>
      <c r="AD446" s="2">
        <f>444</f>
        <v>444</v>
      </c>
      <c r="AE446" s="2">
        <f>INTERCEPT($AC$3:$AC$1136,$AD$3:$AD$1136)+SLOPE($AC$3:$AC$1136,$AD$3:$AD$1136)*AD446</f>
        <v>73.996456581966214</v>
      </c>
      <c r="AF446" s="2">
        <f t="shared" si="12"/>
        <v>76.648116182368909</v>
      </c>
      <c r="AG446" s="2">
        <f t="shared" si="13"/>
        <v>71.344796981563519</v>
      </c>
      <c r="AH446" s="22">
        <f>AC446-AE446</f>
        <v>-14.036456581966213</v>
      </c>
    </row>
    <row r="447" spans="1:34" x14ac:dyDescent="0.25">
      <c r="A447" s="1">
        <f>DATEVALUE(Sheet1!A446)</f>
        <v>45209</v>
      </c>
      <c r="B447" s="2">
        <f>VALUE(Sheet1!B446)</f>
        <v>60.52</v>
      </c>
      <c r="C447" s="9">
        <f>(B447-B446)/B446</f>
        <v>9.3395597064710179E-3</v>
      </c>
      <c r="D447" s="2">
        <f>MAX(D446,B447)</f>
        <v>103.9</v>
      </c>
      <c r="E447" s="9">
        <f>(B447-D447)/D447</f>
        <v>-0.41751684311838305</v>
      </c>
      <c r="AB447" s="1">
        <f>A447</f>
        <v>45209</v>
      </c>
      <c r="AC447" s="2">
        <f>B447</f>
        <v>60.52</v>
      </c>
      <c r="AD447" s="2">
        <f>445</f>
        <v>445</v>
      </c>
      <c r="AE447" s="2">
        <f>INTERCEPT($AC$3:$AC$1136,$AD$3:$AD$1136)+SLOPE($AC$3:$AC$1136,$AD$3:$AD$1136)*AD447</f>
        <v>73.977744618553771</v>
      </c>
      <c r="AF447" s="2">
        <f t="shared" si="12"/>
        <v>76.629404218956466</v>
      </c>
      <c r="AG447" s="2">
        <f t="shared" si="13"/>
        <v>71.326085018151076</v>
      </c>
      <c r="AH447" s="22">
        <f>AC447-AE447</f>
        <v>-13.457744618553768</v>
      </c>
    </row>
    <row r="448" spans="1:34" x14ac:dyDescent="0.25">
      <c r="A448" s="1">
        <f>DATEVALUE(Sheet1!A447)</f>
        <v>45210</v>
      </c>
      <c r="B448" s="2">
        <f>VALUE(Sheet1!B447)</f>
        <v>60.34</v>
      </c>
      <c r="C448" s="9">
        <f>(B448-B447)/B447</f>
        <v>-2.9742233972240534E-3</v>
      </c>
      <c r="D448" s="2">
        <f>MAX(D447,B448)</f>
        <v>103.9</v>
      </c>
      <c r="E448" s="9">
        <f>(B448-D448)/D448</f>
        <v>-0.4192492781520693</v>
      </c>
      <c r="AB448" s="1">
        <f>A448</f>
        <v>45210</v>
      </c>
      <c r="AC448" s="2">
        <f>B448</f>
        <v>60.34</v>
      </c>
      <c r="AD448" s="2">
        <f>446</f>
        <v>446</v>
      </c>
      <c r="AE448" s="2">
        <f>INTERCEPT($AC$3:$AC$1136,$AD$3:$AD$1136)+SLOPE($AC$3:$AC$1136,$AD$3:$AD$1136)*AD448</f>
        <v>73.959032655141328</v>
      </c>
      <c r="AF448" s="2">
        <f t="shared" si="12"/>
        <v>76.610692255544024</v>
      </c>
      <c r="AG448" s="2">
        <f t="shared" si="13"/>
        <v>71.307373054738633</v>
      </c>
      <c r="AH448" s="22">
        <f>AC448-AE448</f>
        <v>-13.619032655141325</v>
      </c>
    </row>
    <row r="449" spans="1:34" x14ac:dyDescent="0.25">
      <c r="A449" s="1">
        <f>DATEVALUE(Sheet1!A448)</f>
        <v>45212</v>
      </c>
      <c r="B449" s="2">
        <f>VALUE(Sheet1!B448)</f>
        <v>59.74</v>
      </c>
      <c r="C449" s="9">
        <f>(B449-B448)/B448</f>
        <v>-9.9436526350679712E-3</v>
      </c>
      <c r="D449" s="2">
        <f>MAX(D448,B449)</f>
        <v>103.9</v>
      </c>
      <c r="E449" s="9">
        <f>(B449-D449)/D449</f>
        <v>-0.42502406159769007</v>
      </c>
      <c r="AB449" s="1">
        <f>A449</f>
        <v>45212</v>
      </c>
      <c r="AC449" s="2">
        <f>B449</f>
        <v>59.74</v>
      </c>
      <c r="AD449" s="2">
        <f>447</f>
        <v>447</v>
      </c>
      <c r="AE449" s="2">
        <f>INTERCEPT($AC$3:$AC$1136,$AD$3:$AD$1136)+SLOPE($AC$3:$AC$1136,$AD$3:$AD$1136)*AD449</f>
        <v>73.940320691728886</v>
      </c>
      <c r="AF449" s="2">
        <f t="shared" si="12"/>
        <v>76.591980292131581</v>
      </c>
      <c r="AG449" s="2">
        <f t="shared" si="13"/>
        <v>71.28866109132619</v>
      </c>
      <c r="AH449" s="22">
        <f>AC449-AE449</f>
        <v>-14.200320691728884</v>
      </c>
    </row>
    <row r="450" spans="1:34" x14ac:dyDescent="0.25">
      <c r="A450" s="1">
        <f>DATEVALUE(Sheet1!A449)</f>
        <v>45215</v>
      </c>
      <c r="B450" s="2">
        <f>VALUE(Sheet1!B449)</f>
        <v>59.42</v>
      </c>
      <c r="C450" s="9">
        <f>(B450-B449)/B449</f>
        <v>-5.3565450284566501E-3</v>
      </c>
      <c r="D450" s="2">
        <f>MAX(D449,B450)</f>
        <v>103.9</v>
      </c>
      <c r="E450" s="9">
        <f>(B450-D450)/D450</f>
        <v>-0.42810394610202118</v>
      </c>
      <c r="AB450" s="1">
        <f>A450</f>
        <v>45215</v>
      </c>
      <c r="AC450" s="2">
        <f>B450</f>
        <v>59.42</v>
      </c>
      <c r="AD450" s="2">
        <f>448</f>
        <v>448</v>
      </c>
      <c r="AE450" s="2">
        <f>INTERCEPT($AC$3:$AC$1136,$AD$3:$AD$1136)+SLOPE($AC$3:$AC$1136,$AD$3:$AD$1136)*AD450</f>
        <v>73.921608728316428</v>
      </c>
      <c r="AF450" s="2">
        <f t="shared" si="12"/>
        <v>76.573268328719124</v>
      </c>
      <c r="AG450" s="2">
        <f t="shared" si="13"/>
        <v>71.269949127913733</v>
      </c>
      <c r="AH450" s="22">
        <f>AC450-AE450</f>
        <v>-14.501608728316427</v>
      </c>
    </row>
    <row r="451" spans="1:34" x14ac:dyDescent="0.25">
      <c r="A451" s="1">
        <f>DATEVALUE(Sheet1!A450)</f>
        <v>45216</v>
      </c>
      <c r="B451" s="2">
        <f>VALUE(Sheet1!B450)</f>
        <v>58.81</v>
      </c>
      <c r="C451" s="9">
        <f>(B451-B450)/B450</f>
        <v>-1.0265903736115776E-2</v>
      </c>
      <c r="D451" s="2">
        <f>MAX(D450,B451)</f>
        <v>103.9</v>
      </c>
      <c r="E451" s="9">
        <f>(B451-D451)/D451</f>
        <v>-0.43397497593840234</v>
      </c>
      <c r="AB451" s="1">
        <f>A451</f>
        <v>45216</v>
      </c>
      <c r="AC451" s="2">
        <f>B451</f>
        <v>58.81</v>
      </c>
      <c r="AD451" s="2">
        <f>449</f>
        <v>449</v>
      </c>
      <c r="AE451" s="2">
        <f>INTERCEPT($AC$3:$AC$1136,$AD$3:$AD$1136)+SLOPE($AC$3:$AC$1136,$AD$3:$AD$1136)*AD451</f>
        <v>73.902896764903986</v>
      </c>
      <c r="AF451" s="2">
        <f t="shared" si="12"/>
        <v>76.554556365306681</v>
      </c>
      <c r="AG451" s="2">
        <f t="shared" si="13"/>
        <v>71.251237164501291</v>
      </c>
      <c r="AH451" s="22">
        <f>AC451-AE451</f>
        <v>-15.092896764903983</v>
      </c>
    </row>
    <row r="452" spans="1:34" x14ac:dyDescent="0.25">
      <c r="A452" s="1">
        <f>DATEVALUE(Sheet1!A451)</f>
        <v>45217</v>
      </c>
      <c r="B452" s="2">
        <f>VALUE(Sheet1!B451)</f>
        <v>58.48</v>
      </c>
      <c r="C452" s="9">
        <f>(B452-B451)/B451</f>
        <v>-5.6112905968373639E-3</v>
      </c>
      <c r="D452" s="2">
        <f>MAX(D451,B452)</f>
        <v>103.9</v>
      </c>
      <c r="E452" s="9">
        <f>(B452-D452)/D452</f>
        <v>-0.43715110683349379</v>
      </c>
      <c r="AB452" s="1">
        <f>A452</f>
        <v>45217</v>
      </c>
      <c r="AC452" s="2">
        <f>B452</f>
        <v>58.48</v>
      </c>
      <c r="AD452" s="2">
        <f>450</f>
        <v>450</v>
      </c>
      <c r="AE452" s="2">
        <f>INTERCEPT($AC$3:$AC$1136,$AD$3:$AD$1136)+SLOPE($AC$3:$AC$1136,$AD$3:$AD$1136)*AD452</f>
        <v>73.884184801491543</v>
      </c>
      <c r="AF452" s="2">
        <f t="shared" ref="AF452:AF515" si="14">AE452+$AJ$5*$AJ$4</f>
        <v>76.535844401894238</v>
      </c>
      <c r="AG452" s="2">
        <f t="shared" ref="AG452:AG515" si="15">AE452-$AJ$5*$AJ$4</f>
        <v>71.232525201088848</v>
      </c>
      <c r="AH452" s="22">
        <f>AC452-AE452</f>
        <v>-15.404184801491546</v>
      </c>
    </row>
    <row r="453" spans="1:34" x14ac:dyDescent="0.25">
      <c r="A453" s="1">
        <f>DATEVALUE(Sheet1!A452)</f>
        <v>45218</v>
      </c>
      <c r="B453" s="2">
        <f>VALUE(Sheet1!B452)</f>
        <v>58.53</v>
      </c>
      <c r="C453" s="9">
        <f>(B453-B452)/B452</f>
        <v>8.5499316005479252E-4</v>
      </c>
      <c r="D453" s="2">
        <f>MAX(D452,B453)</f>
        <v>103.9</v>
      </c>
      <c r="E453" s="9">
        <f>(B453-D453)/D453</f>
        <v>-0.43666987487969205</v>
      </c>
      <c r="AB453" s="1">
        <f>A453</f>
        <v>45218</v>
      </c>
      <c r="AC453" s="2">
        <f>B453</f>
        <v>58.53</v>
      </c>
      <c r="AD453" s="2">
        <f>451</f>
        <v>451</v>
      </c>
      <c r="AE453" s="2">
        <f>INTERCEPT($AC$3:$AC$1136,$AD$3:$AD$1136)+SLOPE($AC$3:$AC$1136,$AD$3:$AD$1136)*AD453</f>
        <v>73.865472838079086</v>
      </c>
      <c r="AF453" s="2">
        <f t="shared" si="14"/>
        <v>76.517132438481781</v>
      </c>
      <c r="AG453" s="2">
        <f t="shared" si="15"/>
        <v>71.213813237676391</v>
      </c>
      <c r="AH453" s="22">
        <f>AC453-AE453</f>
        <v>-15.335472838079085</v>
      </c>
    </row>
    <row r="454" spans="1:34" x14ac:dyDescent="0.25">
      <c r="A454" s="1">
        <f>DATEVALUE(Sheet1!A453)</f>
        <v>45219</v>
      </c>
      <c r="B454" s="2">
        <f>VALUE(Sheet1!B453)</f>
        <v>58.84</v>
      </c>
      <c r="C454" s="9">
        <f>(B454-B453)/B453</f>
        <v>5.2964291816163037E-3</v>
      </c>
      <c r="D454" s="2">
        <f>MAX(D453,B454)</f>
        <v>103.9</v>
      </c>
      <c r="E454" s="9">
        <f>(B454-D454)/D454</f>
        <v>-0.43368623676612128</v>
      </c>
      <c r="AB454" s="1">
        <f>A454</f>
        <v>45219</v>
      </c>
      <c r="AC454" s="2">
        <f>B454</f>
        <v>58.84</v>
      </c>
      <c r="AD454" s="2">
        <f>452</f>
        <v>452</v>
      </c>
      <c r="AE454" s="2">
        <f>INTERCEPT($AC$3:$AC$1136,$AD$3:$AD$1136)+SLOPE($AC$3:$AC$1136,$AD$3:$AD$1136)*AD454</f>
        <v>73.846760874666643</v>
      </c>
      <c r="AF454" s="2">
        <f t="shared" si="14"/>
        <v>76.498420475069338</v>
      </c>
      <c r="AG454" s="2">
        <f t="shared" si="15"/>
        <v>71.195101274263948</v>
      </c>
      <c r="AH454" s="22">
        <f>AC454-AE454</f>
        <v>-15.006760874666639</v>
      </c>
    </row>
    <row r="455" spans="1:34" x14ac:dyDescent="0.25">
      <c r="A455" s="1">
        <f>DATEVALUE(Sheet1!A454)</f>
        <v>45222</v>
      </c>
      <c r="B455" s="2">
        <f>VALUE(Sheet1!B454)</f>
        <v>59</v>
      </c>
      <c r="C455" s="9">
        <f>(B455-B454)/B454</f>
        <v>2.719238613188249E-3</v>
      </c>
      <c r="D455" s="2">
        <f>MAX(D454,B455)</f>
        <v>103.9</v>
      </c>
      <c r="E455" s="9">
        <f>(B455-D455)/D455</f>
        <v>-0.43214629451395575</v>
      </c>
      <c r="AB455" s="1">
        <f>A455</f>
        <v>45222</v>
      </c>
      <c r="AC455" s="2">
        <f>B455</f>
        <v>59</v>
      </c>
      <c r="AD455" s="2">
        <f>453</f>
        <v>453</v>
      </c>
      <c r="AE455" s="2">
        <f>INTERCEPT($AC$3:$AC$1136,$AD$3:$AD$1136)+SLOPE($AC$3:$AC$1136,$AD$3:$AD$1136)*AD455</f>
        <v>73.8280489112542</v>
      </c>
      <c r="AF455" s="2">
        <f t="shared" si="14"/>
        <v>76.479708511656895</v>
      </c>
      <c r="AG455" s="2">
        <f t="shared" si="15"/>
        <v>71.176389310851505</v>
      </c>
      <c r="AH455" s="22">
        <f>AC455-AE455</f>
        <v>-14.8280489112542</v>
      </c>
    </row>
    <row r="456" spans="1:34" x14ac:dyDescent="0.25">
      <c r="A456" s="1">
        <f>DATEVALUE(Sheet1!A455)</f>
        <v>45223</v>
      </c>
      <c r="B456" s="2">
        <f>VALUE(Sheet1!B455)</f>
        <v>58.92</v>
      </c>
      <c r="C456" s="9">
        <f>(B456-B455)/B455</f>
        <v>-1.3559322033898015E-3</v>
      </c>
      <c r="D456" s="2">
        <f>MAX(D455,B456)</f>
        <v>103.9</v>
      </c>
      <c r="E456" s="9">
        <f>(B456-D456)/D456</f>
        <v>-0.43291626564003849</v>
      </c>
      <c r="AB456" s="1">
        <f>A456</f>
        <v>45223</v>
      </c>
      <c r="AC456" s="2">
        <f>B456</f>
        <v>58.92</v>
      </c>
      <c r="AD456" s="2">
        <f>454</f>
        <v>454</v>
      </c>
      <c r="AE456" s="2">
        <f>INTERCEPT($AC$3:$AC$1136,$AD$3:$AD$1136)+SLOPE($AC$3:$AC$1136,$AD$3:$AD$1136)*AD456</f>
        <v>73.809336947841757</v>
      </c>
      <c r="AF456" s="2">
        <f t="shared" si="14"/>
        <v>76.460996548244452</v>
      </c>
      <c r="AG456" s="2">
        <f t="shared" si="15"/>
        <v>71.157677347439062</v>
      </c>
      <c r="AH456" s="22">
        <f>AC456-AE456</f>
        <v>-14.889336947841755</v>
      </c>
    </row>
    <row r="457" spans="1:34" x14ac:dyDescent="0.25">
      <c r="A457" s="1">
        <f>DATEVALUE(Sheet1!A456)</f>
        <v>45224</v>
      </c>
      <c r="B457" s="2">
        <f>VALUE(Sheet1!B456)</f>
        <v>58.91</v>
      </c>
      <c r="C457" s="9">
        <f>(B457-B456)/B456</f>
        <v>-1.6972165648345409E-4</v>
      </c>
      <c r="D457" s="2">
        <f>MAX(D456,B457)</f>
        <v>103.9</v>
      </c>
      <c r="E457" s="9">
        <f>(B457-D457)/D457</f>
        <v>-0.43301251203079894</v>
      </c>
      <c r="AB457" s="1">
        <f>A457</f>
        <v>45224</v>
      </c>
      <c r="AC457" s="2">
        <f>B457</f>
        <v>58.91</v>
      </c>
      <c r="AD457" s="2">
        <f>455</f>
        <v>455</v>
      </c>
      <c r="AE457" s="2">
        <f>INTERCEPT($AC$3:$AC$1136,$AD$3:$AD$1136)+SLOPE($AC$3:$AC$1136,$AD$3:$AD$1136)*AD457</f>
        <v>73.790624984429314</v>
      </c>
      <c r="AF457" s="2">
        <f t="shared" si="14"/>
        <v>76.442284584832009</v>
      </c>
      <c r="AG457" s="2">
        <f t="shared" si="15"/>
        <v>71.138965384026619</v>
      </c>
      <c r="AH457" s="22">
        <f>AC457-AE457</f>
        <v>-14.880624984429318</v>
      </c>
    </row>
    <row r="458" spans="1:34" x14ac:dyDescent="0.25">
      <c r="A458" s="1">
        <f>DATEVALUE(Sheet1!A457)</f>
        <v>45225</v>
      </c>
      <c r="B458" s="2">
        <f>VALUE(Sheet1!B457)</f>
        <v>58.81</v>
      </c>
      <c r="C458" s="9">
        <f>(B458-B457)/B457</f>
        <v>-1.697504668137741E-3</v>
      </c>
      <c r="D458" s="2">
        <f>MAX(D457,B458)</f>
        <v>103.9</v>
      </c>
      <c r="E458" s="9">
        <f>(B458-D458)/D458</f>
        <v>-0.43397497593840234</v>
      </c>
      <c r="AB458" s="1">
        <f>A458</f>
        <v>45225</v>
      </c>
      <c r="AC458" s="2">
        <f>B458</f>
        <v>58.81</v>
      </c>
      <c r="AD458" s="2">
        <f>456</f>
        <v>456</v>
      </c>
      <c r="AE458" s="2">
        <f>INTERCEPT($AC$3:$AC$1136,$AD$3:$AD$1136)+SLOPE($AC$3:$AC$1136,$AD$3:$AD$1136)*AD458</f>
        <v>73.771913021016857</v>
      </c>
      <c r="AF458" s="2">
        <f t="shared" si="14"/>
        <v>76.423572621419552</v>
      </c>
      <c r="AG458" s="2">
        <f t="shared" si="15"/>
        <v>71.120253420614162</v>
      </c>
      <c r="AH458" s="22">
        <f>AC458-AE458</f>
        <v>-14.961913021016855</v>
      </c>
    </row>
    <row r="459" spans="1:34" x14ac:dyDescent="0.25">
      <c r="A459" s="1">
        <f>DATEVALUE(Sheet1!A458)</f>
        <v>45226</v>
      </c>
      <c r="B459" s="2">
        <f>VALUE(Sheet1!B458)</f>
        <v>58.98</v>
      </c>
      <c r="C459" s="9">
        <f>(B459-B458)/B458</f>
        <v>2.8906648529160787E-3</v>
      </c>
      <c r="D459" s="2">
        <f>MAX(D458,B459)</f>
        <v>103.9</v>
      </c>
      <c r="E459" s="9">
        <f>(B459-D459)/D459</f>
        <v>-0.43233878729547648</v>
      </c>
      <c r="AB459" s="1">
        <f>A459</f>
        <v>45226</v>
      </c>
      <c r="AC459" s="2">
        <f>B459</f>
        <v>58.98</v>
      </c>
      <c r="AD459" s="2">
        <f>457</f>
        <v>457</v>
      </c>
      <c r="AE459" s="2">
        <f>INTERCEPT($AC$3:$AC$1136,$AD$3:$AD$1136)+SLOPE($AC$3:$AC$1136,$AD$3:$AD$1136)*AD459</f>
        <v>73.753201057604414</v>
      </c>
      <c r="AF459" s="2">
        <f t="shared" si="14"/>
        <v>76.404860658007109</v>
      </c>
      <c r="AG459" s="2">
        <f t="shared" si="15"/>
        <v>71.101541457201719</v>
      </c>
      <c r="AH459" s="22">
        <f>AC459-AE459</f>
        <v>-14.773201057604417</v>
      </c>
    </row>
    <row r="460" spans="1:34" x14ac:dyDescent="0.25">
      <c r="A460" s="1">
        <f>DATEVALUE(Sheet1!A459)</f>
        <v>45229</v>
      </c>
      <c r="B460" s="2">
        <f>VALUE(Sheet1!B459)</f>
        <v>59.25</v>
      </c>
      <c r="C460" s="9">
        <f>(B460-B459)/B459</f>
        <v>4.577822990844407E-3</v>
      </c>
      <c r="D460" s="2">
        <f>MAX(D459,B460)</f>
        <v>103.9</v>
      </c>
      <c r="E460" s="9">
        <f>(B460-D460)/D460</f>
        <v>-0.4297401347449471</v>
      </c>
      <c r="AB460" s="1">
        <f>A460</f>
        <v>45229</v>
      </c>
      <c r="AC460" s="2">
        <f>B460</f>
        <v>59.25</v>
      </c>
      <c r="AD460" s="2">
        <f>458</f>
        <v>458</v>
      </c>
      <c r="AE460" s="2">
        <f>INTERCEPT($AC$3:$AC$1136,$AD$3:$AD$1136)+SLOPE($AC$3:$AC$1136,$AD$3:$AD$1136)*AD460</f>
        <v>73.734489094191972</v>
      </c>
      <c r="AF460" s="2">
        <f t="shared" si="14"/>
        <v>76.386148694594667</v>
      </c>
      <c r="AG460" s="2">
        <f t="shared" si="15"/>
        <v>71.082829493789276</v>
      </c>
      <c r="AH460" s="22">
        <f>AC460-AE460</f>
        <v>-14.484489094191972</v>
      </c>
    </row>
    <row r="461" spans="1:34" x14ac:dyDescent="0.25">
      <c r="A461" s="1">
        <f>DATEVALUE(Sheet1!A460)</f>
        <v>45230</v>
      </c>
      <c r="B461" s="2">
        <f>VALUE(Sheet1!B460)</f>
        <v>60.02</v>
      </c>
      <c r="C461" s="9">
        <f>(B461-B460)/B460</f>
        <v>1.2995780590717352E-2</v>
      </c>
      <c r="D461" s="2">
        <f>MAX(D460,B461)</f>
        <v>103.9</v>
      </c>
      <c r="E461" s="9">
        <f>(B461-D461)/D461</f>
        <v>-0.42232916265640041</v>
      </c>
      <c r="AB461" s="1">
        <f>A461</f>
        <v>45230</v>
      </c>
      <c r="AC461" s="2">
        <f>B461</f>
        <v>60.02</v>
      </c>
      <c r="AD461" s="2">
        <f>459</f>
        <v>459</v>
      </c>
      <c r="AE461" s="2">
        <f>INTERCEPT($AC$3:$AC$1136,$AD$3:$AD$1136)+SLOPE($AC$3:$AC$1136,$AD$3:$AD$1136)*AD461</f>
        <v>73.715777130779514</v>
      </c>
      <c r="AF461" s="2">
        <f t="shared" si="14"/>
        <v>76.36743673118221</v>
      </c>
      <c r="AG461" s="2">
        <f t="shared" si="15"/>
        <v>71.064117530376819</v>
      </c>
      <c r="AH461" s="22">
        <f>AC461-AE461</f>
        <v>-13.695777130779511</v>
      </c>
    </row>
    <row r="462" spans="1:34" x14ac:dyDescent="0.25">
      <c r="A462" s="1">
        <f>DATEVALUE(Sheet1!A461)</f>
        <v>45231</v>
      </c>
      <c r="B462" s="2">
        <f>VALUE(Sheet1!B461)</f>
        <v>60.03</v>
      </c>
      <c r="C462" s="9">
        <f>(B462-B461)/B461</f>
        <v>1.666111296234257E-4</v>
      </c>
      <c r="D462" s="2">
        <f>MAX(D461,B462)</f>
        <v>103.9</v>
      </c>
      <c r="E462" s="9">
        <f>(B462-D462)/D462</f>
        <v>-0.42223291626564008</v>
      </c>
      <c r="AB462" s="1">
        <f>A462</f>
        <v>45231</v>
      </c>
      <c r="AC462" s="2">
        <f>B462</f>
        <v>60.03</v>
      </c>
      <c r="AD462" s="2">
        <f>460</f>
        <v>460</v>
      </c>
      <c r="AE462" s="2">
        <f>INTERCEPT($AC$3:$AC$1136,$AD$3:$AD$1136)+SLOPE($AC$3:$AC$1136,$AD$3:$AD$1136)*AD462</f>
        <v>73.697065167367072</v>
      </c>
      <c r="AF462" s="2">
        <f t="shared" si="14"/>
        <v>76.348724767769767</v>
      </c>
      <c r="AG462" s="2">
        <f t="shared" si="15"/>
        <v>71.045405566964376</v>
      </c>
      <c r="AH462" s="22">
        <f>AC462-AE462</f>
        <v>-13.66706516736707</v>
      </c>
    </row>
    <row r="463" spans="1:34" x14ac:dyDescent="0.25">
      <c r="A463" s="1">
        <f>DATEVALUE(Sheet1!A462)</f>
        <v>45233</v>
      </c>
      <c r="B463" s="2">
        <f>VALUE(Sheet1!B462)</f>
        <v>59.99</v>
      </c>
      <c r="C463" s="9">
        <f>(B463-B462)/B462</f>
        <v>-6.6633349991669405E-4</v>
      </c>
      <c r="D463" s="2">
        <f>MAX(D462,B463)</f>
        <v>103.9</v>
      </c>
      <c r="E463" s="9">
        <f>(B463-D463)/D463</f>
        <v>-0.42261790182868142</v>
      </c>
      <c r="AB463" s="1">
        <f>A463</f>
        <v>45233</v>
      </c>
      <c r="AC463" s="2">
        <f>B463</f>
        <v>59.99</v>
      </c>
      <c r="AD463" s="2">
        <f>461</f>
        <v>461</v>
      </c>
      <c r="AE463" s="2">
        <f>INTERCEPT($AC$3:$AC$1136,$AD$3:$AD$1136)+SLOPE($AC$3:$AC$1136,$AD$3:$AD$1136)*AD463</f>
        <v>73.678353203954629</v>
      </c>
      <c r="AF463" s="2">
        <f t="shared" si="14"/>
        <v>76.330012804357324</v>
      </c>
      <c r="AG463" s="2">
        <f t="shared" si="15"/>
        <v>71.026693603551934</v>
      </c>
      <c r="AH463" s="22">
        <f>AC463-AE463</f>
        <v>-13.688353203954627</v>
      </c>
    </row>
    <row r="464" spans="1:34" x14ac:dyDescent="0.25">
      <c r="A464" s="1">
        <f>DATEVALUE(Sheet1!A463)</f>
        <v>45236</v>
      </c>
      <c r="B464" s="2">
        <f>VALUE(Sheet1!B463)</f>
        <v>60.05</v>
      </c>
      <c r="C464" s="9">
        <f>(B464-B463)/B463</f>
        <v>1.0001666944489942E-3</v>
      </c>
      <c r="D464" s="2">
        <f>MAX(D463,B464)</f>
        <v>103.9</v>
      </c>
      <c r="E464" s="9">
        <f>(B464-D464)/D464</f>
        <v>-0.42204042348411941</v>
      </c>
      <c r="AB464" s="1">
        <f>A464</f>
        <v>45236</v>
      </c>
      <c r="AC464" s="2">
        <f>B464</f>
        <v>60.05</v>
      </c>
      <c r="AD464" s="2">
        <f>462</f>
        <v>462</v>
      </c>
      <c r="AE464" s="2">
        <f>INTERCEPT($AC$3:$AC$1136,$AD$3:$AD$1136)+SLOPE($AC$3:$AC$1136,$AD$3:$AD$1136)*AD464</f>
        <v>73.659641240542186</v>
      </c>
      <c r="AF464" s="2">
        <f t="shared" si="14"/>
        <v>76.311300840944881</v>
      </c>
      <c r="AG464" s="2">
        <f t="shared" si="15"/>
        <v>71.007981640139491</v>
      </c>
      <c r="AH464" s="22">
        <f>AC464-AE464</f>
        <v>-13.609641240542189</v>
      </c>
    </row>
    <row r="465" spans="1:34" x14ac:dyDescent="0.25">
      <c r="A465" s="1">
        <f>DATEVALUE(Sheet1!A464)</f>
        <v>45237</v>
      </c>
      <c r="B465" s="2">
        <f>VALUE(Sheet1!B464)</f>
        <v>59.46</v>
      </c>
      <c r="C465" s="9">
        <f>(B465-B464)/B464</f>
        <v>-9.8251457119066833E-3</v>
      </c>
      <c r="D465" s="2">
        <f>MAX(D464,B465)</f>
        <v>103.9</v>
      </c>
      <c r="E465" s="9">
        <f>(B465-D465)/D465</f>
        <v>-0.42771896053897979</v>
      </c>
      <c r="AB465" s="1">
        <f>A465</f>
        <v>45237</v>
      </c>
      <c r="AC465" s="2">
        <f>B465</f>
        <v>59.46</v>
      </c>
      <c r="AD465" s="2">
        <f>463</f>
        <v>463</v>
      </c>
      <c r="AE465" s="2">
        <f>INTERCEPT($AC$3:$AC$1136,$AD$3:$AD$1136)+SLOPE($AC$3:$AC$1136,$AD$3:$AD$1136)*AD465</f>
        <v>73.640929277129729</v>
      </c>
      <c r="AF465" s="2">
        <f t="shared" si="14"/>
        <v>76.292588877532424</v>
      </c>
      <c r="AG465" s="2">
        <f t="shared" si="15"/>
        <v>70.989269676727034</v>
      </c>
      <c r="AH465" s="22">
        <f>AC465-AE465</f>
        <v>-14.180929277129728</v>
      </c>
    </row>
    <row r="466" spans="1:34" x14ac:dyDescent="0.25">
      <c r="A466" s="1">
        <f>DATEVALUE(Sheet1!A465)</f>
        <v>45238</v>
      </c>
      <c r="B466" s="2">
        <f>VALUE(Sheet1!B465)</f>
        <v>59.36</v>
      </c>
      <c r="C466" s="9">
        <f>(B466-B465)/B465</f>
        <v>-1.6818028927009993E-3</v>
      </c>
      <c r="D466" s="2">
        <f>MAX(D465,B466)</f>
        <v>103.9</v>
      </c>
      <c r="E466" s="9">
        <f>(B466-D466)/D466</f>
        <v>-0.4286814244465833</v>
      </c>
      <c r="AB466" s="1">
        <f>A466</f>
        <v>45238</v>
      </c>
      <c r="AC466" s="2">
        <f>B466</f>
        <v>59.36</v>
      </c>
      <c r="AD466" s="2">
        <f>464</f>
        <v>464</v>
      </c>
      <c r="AE466" s="2">
        <f>INTERCEPT($AC$3:$AC$1136,$AD$3:$AD$1136)+SLOPE($AC$3:$AC$1136,$AD$3:$AD$1136)*AD466</f>
        <v>73.622217313717286</v>
      </c>
      <c r="AF466" s="2">
        <f t="shared" si="14"/>
        <v>76.273876914119981</v>
      </c>
      <c r="AG466" s="2">
        <f t="shared" si="15"/>
        <v>70.970557713314591</v>
      </c>
      <c r="AH466" s="22">
        <f>AC466-AE466</f>
        <v>-14.262217313717287</v>
      </c>
    </row>
    <row r="467" spans="1:34" x14ac:dyDescent="0.25">
      <c r="A467" s="1">
        <f>DATEVALUE(Sheet1!A466)</f>
        <v>45239</v>
      </c>
      <c r="B467" s="2">
        <f>VALUE(Sheet1!B466)</f>
        <v>59.51</v>
      </c>
      <c r="C467" s="9">
        <f>(B467-B466)/B466</f>
        <v>2.5269541778975501E-3</v>
      </c>
      <c r="D467" s="2">
        <f>MAX(D466,B467)</f>
        <v>103.9</v>
      </c>
      <c r="E467" s="9">
        <f>(B467-D467)/D467</f>
        <v>-0.42723772858517811</v>
      </c>
      <c r="AB467" s="1">
        <f>A467</f>
        <v>45239</v>
      </c>
      <c r="AC467" s="2">
        <f>B467</f>
        <v>59.51</v>
      </c>
      <c r="AD467" s="2">
        <f>465</f>
        <v>465</v>
      </c>
      <c r="AE467" s="2">
        <f>INTERCEPT($AC$3:$AC$1136,$AD$3:$AD$1136)+SLOPE($AC$3:$AC$1136,$AD$3:$AD$1136)*AD467</f>
        <v>73.603505350304843</v>
      </c>
      <c r="AF467" s="2">
        <f t="shared" si="14"/>
        <v>76.255164950707538</v>
      </c>
      <c r="AG467" s="2">
        <f t="shared" si="15"/>
        <v>70.951845749902148</v>
      </c>
      <c r="AH467" s="22">
        <f>AC467-AE467</f>
        <v>-14.093505350304845</v>
      </c>
    </row>
    <row r="468" spans="1:34" x14ac:dyDescent="0.25">
      <c r="A468" s="1">
        <f>DATEVALUE(Sheet1!A467)</f>
        <v>45240</v>
      </c>
      <c r="B468" s="2">
        <f>VALUE(Sheet1!B467)</f>
        <v>59.87</v>
      </c>
      <c r="C468" s="9">
        <f>(B468-B467)/B467</f>
        <v>6.0494034616030822E-3</v>
      </c>
      <c r="D468" s="2">
        <f>MAX(D467,B468)</f>
        <v>103.9</v>
      </c>
      <c r="E468" s="9">
        <f>(B468-D468)/D468</f>
        <v>-0.42377285851780566</v>
      </c>
      <c r="AB468" s="1">
        <f>A468</f>
        <v>45240</v>
      </c>
      <c r="AC468" s="2">
        <f>B468</f>
        <v>59.87</v>
      </c>
      <c r="AD468" s="2">
        <f>466</f>
        <v>466</v>
      </c>
      <c r="AE468" s="2">
        <f>INTERCEPT($AC$3:$AC$1136,$AD$3:$AD$1136)+SLOPE($AC$3:$AC$1136,$AD$3:$AD$1136)*AD468</f>
        <v>73.584793386892386</v>
      </c>
      <c r="AF468" s="2">
        <f t="shared" si="14"/>
        <v>76.236452987295081</v>
      </c>
      <c r="AG468" s="2">
        <f t="shared" si="15"/>
        <v>70.933133786489691</v>
      </c>
      <c r="AH468" s="22">
        <f>AC468-AE468</f>
        <v>-13.714793386892389</v>
      </c>
    </row>
    <row r="469" spans="1:34" x14ac:dyDescent="0.25">
      <c r="A469" s="1">
        <f>DATEVALUE(Sheet1!A468)</f>
        <v>45243</v>
      </c>
      <c r="B469" s="2">
        <f>VALUE(Sheet1!B468)</f>
        <v>59.67</v>
      </c>
      <c r="C469" s="9">
        <f>(B469-B468)/B468</f>
        <v>-3.3405712376815724E-3</v>
      </c>
      <c r="D469" s="2">
        <f>MAX(D468,B469)</f>
        <v>103.9</v>
      </c>
      <c r="E469" s="9">
        <f>(B469-D469)/D469</f>
        <v>-0.42569778633301253</v>
      </c>
      <c r="AB469" s="1">
        <f>A469</f>
        <v>45243</v>
      </c>
      <c r="AC469" s="2">
        <f>B469</f>
        <v>59.67</v>
      </c>
      <c r="AD469" s="2">
        <f>467</f>
        <v>467</v>
      </c>
      <c r="AE469" s="2">
        <f>INTERCEPT($AC$3:$AC$1136,$AD$3:$AD$1136)+SLOPE($AC$3:$AC$1136,$AD$3:$AD$1136)*AD469</f>
        <v>73.566081423479943</v>
      </c>
      <c r="AF469" s="2">
        <f t="shared" si="14"/>
        <v>76.217741023882638</v>
      </c>
      <c r="AG469" s="2">
        <f t="shared" si="15"/>
        <v>70.914421823077248</v>
      </c>
      <c r="AH469" s="22">
        <f>AC469-AE469</f>
        <v>-13.896081423479941</v>
      </c>
    </row>
    <row r="470" spans="1:34" x14ac:dyDescent="0.25">
      <c r="A470" s="1">
        <f>DATEVALUE(Sheet1!A469)</f>
        <v>45244</v>
      </c>
      <c r="B470" s="2">
        <f>VALUE(Sheet1!B469)</f>
        <v>60.15</v>
      </c>
      <c r="C470" s="9">
        <f>(B470-B469)/B469</f>
        <v>8.0442433383609326E-3</v>
      </c>
      <c r="D470" s="2">
        <f>MAX(D469,B470)</f>
        <v>103.9</v>
      </c>
      <c r="E470" s="9">
        <f>(B470-D470)/D470</f>
        <v>-0.42107795957651595</v>
      </c>
      <c r="AB470" s="1">
        <f>A470</f>
        <v>45244</v>
      </c>
      <c r="AC470" s="2">
        <f>B470</f>
        <v>60.15</v>
      </c>
      <c r="AD470" s="2">
        <f>468</f>
        <v>468</v>
      </c>
      <c r="AE470" s="2">
        <f>INTERCEPT($AC$3:$AC$1136,$AD$3:$AD$1136)+SLOPE($AC$3:$AC$1136,$AD$3:$AD$1136)*AD470</f>
        <v>73.5473694600675</v>
      </c>
      <c r="AF470" s="2">
        <f t="shared" si="14"/>
        <v>76.199029060470195</v>
      </c>
      <c r="AG470" s="2">
        <f t="shared" si="15"/>
        <v>70.895709859664805</v>
      </c>
      <c r="AH470" s="22">
        <f>AC470-AE470</f>
        <v>-13.397369460067502</v>
      </c>
    </row>
    <row r="471" spans="1:34" x14ac:dyDescent="0.25">
      <c r="A471" s="1">
        <f>DATEVALUE(Sheet1!A470)</f>
        <v>45246</v>
      </c>
      <c r="B471" s="2">
        <f>VALUE(Sheet1!B470)</f>
        <v>61.14</v>
      </c>
      <c r="C471" s="9">
        <f>(B471-B470)/B470</f>
        <v>1.6458852867830456E-2</v>
      </c>
      <c r="D471" s="2">
        <f>MAX(D470,B471)</f>
        <v>103.9</v>
      </c>
      <c r="E471" s="9">
        <f>(B471-D471)/D471</f>
        <v>-0.41154956689124161</v>
      </c>
      <c r="AB471" s="1">
        <f>A471</f>
        <v>45246</v>
      </c>
      <c r="AC471" s="2">
        <f>B471</f>
        <v>61.14</v>
      </c>
      <c r="AD471" s="2">
        <f>469</f>
        <v>469</v>
      </c>
      <c r="AE471" s="2">
        <f>INTERCEPT($AC$3:$AC$1136,$AD$3:$AD$1136)+SLOPE($AC$3:$AC$1136,$AD$3:$AD$1136)*AD471</f>
        <v>73.528657496655057</v>
      </c>
      <c r="AF471" s="2">
        <f t="shared" si="14"/>
        <v>76.180317097057753</v>
      </c>
      <c r="AG471" s="2">
        <f t="shared" si="15"/>
        <v>70.876997896252362</v>
      </c>
      <c r="AH471" s="22">
        <f>AC471-AE471</f>
        <v>-12.388657496655057</v>
      </c>
    </row>
    <row r="472" spans="1:34" x14ac:dyDescent="0.25">
      <c r="A472" s="1">
        <f>DATEVALUE(Sheet1!A471)</f>
        <v>45247</v>
      </c>
      <c r="B472" s="2">
        <f>VALUE(Sheet1!B471)</f>
        <v>60.74</v>
      </c>
      <c r="C472" s="9">
        <f>(B472-B471)/B471</f>
        <v>-6.5423617926071076E-3</v>
      </c>
      <c r="D472" s="2">
        <f>MAX(D471,B472)</f>
        <v>103.9</v>
      </c>
      <c r="E472" s="9">
        <f>(B472-D472)/D472</f>
        <v>-0.41539942252165546</v>
      </c>
      <c r="AB472" s="1">
        <f>A472</f>
        <v>45247</v>
      </c>
      <c r="AC472" s="2">
        <f>B472</f>
        <v>60.74</v>
      </c>
      <c r="AD472" s="2">
        <f>470</f>
        <v>470</v>
      </c>
      <c r="AE472" s="2">
        <f>INTERCEPT($AC$3:$AC$1136,$AD$3:$AD$1136)+SLOPE($AC$3:$AC$1136,$AD$3:$AD$1136)*AD472</f>
        <v>73.5099455332426</v>
      </c>
      <c r="AF472" s="2">
        <f t="shared" si="14"/>
        <v>76.161605133645295</v>
      </c>
      <c r="AG472" s="2">
        <f t="shared" si="15"/>
        <v>70.858285932839905</v>
      </c>
      <c r="AH472" s="22">
        <f>AC472-AE472</f>
        <v>-12.769945533242598</v>
      </c>
    </row>
    <row r="473" spans="1:34" x14ac:dyDescent="0.25">
      <c r="A473" s="1">
        <f>DATEVALUE(Sheet1!A472)</f>
        <v>45250</v>
      </c>
      <c r="B473" s="2">
        <f>VALUE(Sheet1!B472)</f>
        <v>60.76</v>
      </c>
      <c r="C473" s="9">
        <f>(B473-B472)/B472</f>
        <v>3.2927230819881497E-4</v>
      </c>
      <c r="D473" s="2">
        <f>MAX(D472,B473)</f>
        <v>103.9</v>
      </c>
      <c r="E473" s="9">
        <f>(B473-D473)/D473</f>
        <v>-0.41520692974013479</v>
      </c>
      <c r="AB473" s="1">
        <f>A473</f>
        <v>45250</v>
      </c>
      <c r="AC473" s="2">
        <f>B473</f>
        <v>60.76</v>
      </c>
      <c r="AD473" s="2">
        <f>471</f>
        <v>471</v>
      </c>
      <c r="AE473" s="2">
        <f>INTERCEPT($AC$3:$AC$1136,$AD$3:$AD$1136)+SLOPE($AC$3:$AC$1136,$AD$3:$AD$1136)*AD473</f>
        <v>73.491233569830158</v>
      </c>
      <c r="AF473" s="2">
        <f t="shared" si="14"/>
        <v>76.142893170232853</v>
      </c>
      <c r="AG473" s="2">
        <f t="shared" si="15"/>
        <v>70.839573969427462</v>
      </c>
      <c r="AH473" s="22">
        <f>AC473-AE473</f>
        <v>-12.73123356983016</v>
      </c>
    </row>
    <row r="474" spans="1:34" x14ac:dyDescent="0.25">
      <c r="A474" s="1">
        <f>DATEVALUE(Sheet1!A473)</f>
        <v>45251</v>
      </c>
      <c r="B474" s="2">
        <f>VALUE(Sheet1!B473)</f>
        <v>61.11</v>
      </c>
      <c r="C474" s="9">
        <f>(B474-B473)/B473</f>
        <v>5.7603686635944937E-3</v>
      </c>
      <c r="D474" s="2">
        <f>MAX(D473,B474)</f>
        <v>103.9</v>
      </c>
      <c r="E474" s="9">
        <f>(B474-D474)/D474</f>
        <v>-0.41183830606352267</v>
      </c>
      <c r="AB474" s="1">
        <f>A474</f>
        <v>45251</v>
      </c>
      <c r="AC474" s="2">
        <f>B474</f>
        <v>61.11</v>
      </c>
      <c r="AD474" s="2">
        <f>472</f>
        <v>472</v>
      </c>
      <c r="AE474" s="2">
        <f>INTERCEPT($AC$3:$AC$1136,$AD$3:$AD$1136)+SLOPE($AC$3:$AC$1136,$AD$3:$AD$1136)*AD474</f>
        <v>73.472521606417715</v>
      </c>
      <c r="AF474" s="2">
        <f t="shared" si="14"/>
        <v>76.12418120682041</v>
      </c>
      <c r="AG474" s="2">
        <f t="shared" si="15"/>
        <v>70.82086200601502</v>
      </c>
      <c r="AH474" s="22">
        <f>AC474-AE474</f>
        <v>-12.362521606417715</v>
      </c>
    </row>
    <row r="475" spans="1:34" x14ac:dyDescent="0.25">
      <c r="A475" s="1">
        <f>DATEVALUE(Sheet1!A474)</f>
        <v>45252</v>
      </c>
      <c r="B475" s="2">
        <f>VALUE(Sheet1!B474)</f>
        <v>61.16</v>
      </c>
      <c r="C475" s="9">
        <f>(B475-B474)/B474</f>
        <v>8.1819669448530779E-4</v>
      </c>
      <c r="D475" s="2">
        <f>MAX(D474,B475)</f>
        <v>103.9</v>
      </c>
      <c r="E475" s="9">
        <f>(B475-D475)/D475</f>
        <v>-0.41135707410972094</v>
      </c>
      <c r="AB475" s="1">
        <f>A475</f>
        <v>45252</v>
      </c>
      <c r="AC475" s="2">
        <f>B475</f>
        <v>61.16</v>
      </c>
      <c r="AD475" s="2">
        <f>473</f>
        <v>473</v>
      </c>
      <c r="AE475" s="2">
        <f>INTERCEPT($AC$3:$AC$1136,$AD$3:$AD$1136)+SLOPE($AC$3:$AC$1136,$AD$3:$AD$1136)*AD475</f>
        <v>73.453809643005272</v>
      </c>
      <c r="AF475" s="2">
        <f t="shared" si="14"/>
        <v>76.105469243407967</v>
      </c>
      <c r="AG475" s="2">
        <f t="shared" si="15"/>
        <v>70.802150042602577</v>
      </c>
      <c r="AH475" s="22">
        <f>AC475-AE475</f>
        <v>-12.293809643005275</v>
      </c>
    </row>
    <row r="476" spans="1:34" x14ac:dyDescent="0.25">
      <c r="A476" s="1">
        <f>DATEVALUE(Sheet1!A475)</f>
        <v>45253</v>
      </c>
      <c r="B476" s="2">
        <f>VALUE(Sheet1!B475)</f>
        <v>61.18</v>
      </c>
      <c r="C476" s="9">
        <f>(B476-B475)/B475</f>
        <v>3.2701111837807599E-4</v>
      </c>
      <c r="D476" s="2">
        <f>MAX(D475,B476)</f>
        <v>103.9</v>
      </c>
      <c r="E476" s="9">
        <f>(B476-D476)/D476</f>
        <v>-0.41116458132820022</v>
      </c>
      <c r="AB476" s="1">
        <f>A476</f>
        <v>45253</v>
      </c>
      <c r="AC476" s="2">
        <f>B476</f>
        <v>61.18</v>
      </c>
      <c r="AD476" s="2">
        <f>474</f>
        <v>474</v>
      </c>
      <c r="AE476" s="2">
        <f>INTERCEPT($AC$3:$AC$1136,$AD$3:$AD$1136)+SLOPE($AC$3:$AC$1136,$AD$3:$AD$1136)*AD476</f>
        <v>73.435097679592815</v>
      </c>
      <c r="AF476" s="2">
        <f t="shared" si="14"/>
        <v>76.08675727999551</v>
      </c>
      <c r="AG476" s="2">
        <f t="shared" si="15"/>
        <v>70.78343807919012</v>
      </c>
      <c r="AH476" s="22">
        <f>AC476-AE476</f>
        <v>-12.255097679592815</v>
      </c>
    </row>
    <row r="477" spans="1:34" x14ac:dyDescent="0.25">
      <c r="A477" s="1">
        <f>DATEVALUE(Sheet1!A476)</f>
        <v>45254</v>
      </c>
      <c r="B477" s="2">
        <f>VALUE(Sheet1!B476)</f>
        <v>60.96</v>
      </c>
      <c r="C477" s="9">
        <f>(B477-B476)/B476</f>
        <v>-3.5959463877083828E-3</v>
      </c>
      <c r="D477" s="2">
        <f>MAX(D476,B477)</f>
        <v>103.9</v>
      </c>
      <c r="E477" s="9">
        <f>(B477-D477)/D477</f>
        <v>-0.41328200192492787</v>
      </c>
      <c r="AB477" s="1">
        <f>A477</f>
        <v>45254</v>
      </c>
      <c r="AC477" s="2">
        <f>B477</f>
        <v>60.96</v>
      </c>
      <c r="AD477" s="2">
        <f>475</f>
        <v>475</v>
      </c>
      <c r="AE477" s="2">
        <f>INTERCEPT($AC$3:$AC$1136,$AD$3:$AD$1136)+SLOPE($AC$3:$AC$1136,$AD$3:$AD$1136)*AD477</f>
        <v>73.416385716180372</v>
      </c>
      <c r="AF477" s="2">
        <f t="shared" si="14"/>
        <v>76.068045316583067</v>
      </c>
      <c r="AG477" s="2">
        <f t="shared" si="15"/>
        <v>70.764726115777677</v>
      </c>
      <c r="AH477" s="22">
        <f>AC477-AE477</f>
        <v>-12.456385716180371</v>
      </c>
    </row>
    <row r="478" spans="1:34" x14ac:dyDescent="0.25">
      <c r="A478" s="1">
        <f>DATEVALUE(Sheet1!A477)</f>
        <v>45257</v>
      </c>
      <c r="B478" s="2">
        <f>VALUE(Sheet1!B477)</f>
        <v>61.51</v>
      </c>
      <c r="C478" s="9">
        <f>(B478-B477)/B477</f>
        <v>9.0223097112860431E-3</v>
      </c>
      <c r="D478" s="2">
        <f>MAX(D477,B478)</f>
        <v>103.9</v>
      </c>
      <c r="E478" s="9">
        <f>(B478-D478)/D478</f>
        <v>-0.40798845043310883</v>
      </c>
      <c r="AB478" s="1">
        <f>A478</f>
        <v>45257</v>
      </c>
      <c r="AC478" s="2">
        <f>B478</f>
        <v>61.51</v>
      </c>
      <c r="AD478" s="2">
        <f>476</f>
        <v>476</v>
      </c>
      <c r="AE478" s="2">
        <f>INTERCEPT($AC$3:$AC$1136,$AD$3:$AD$1136)+SLOPE($AC$3:$AC$1136,$AD$3:$AD$1136)*AD478</f>
        <v>73.397673752767929</v>
      </c>
      <c r="AF478" s="2">
        <f t="shared" si="14"/>
        <v>76.049333353170624</v>
      </c>
      <c r="AG478" s="2">
        <f t="shared" si="15"/>
        <v>70.746014152365234</v>
      </c>
      <c r="AH478" s="22">
        <f>AC478-AE478</f>
        <v>-11.887673752767931</v>
      </c>
    </row>
    <row r="479" spans="1:34" x14ac:dyDescent="0.25">
      <c r="A479" s="1">
        <f>DATEVALUE(Sheet1!A478)</f>
        <v>45258</v>
      </c>
      <c r="B479" s="2">
        <f>VALUE(Sheet1!B478)</f>
        <v>61.92</v>
      </c>
      <c r="C479" s="9">
        <f>(B479-B478)/B478</f>
        <v>6.6655828320598878E-3</v>
      </c>
      <c r="D479" s="2">
        <f>MAX(D478,B479)</f>
        <v>103.9</v>
      </c>
      <c r="E479" s="9">
        <f>(B479-D479)/D479</f>
        <v>-0.40404234841193459</v>
      </c>
      <c r="AB479" s="1">
        <f>A479</f>
        <v>45258</v>
      </c>
      <c r="AC479" s="2">
        <f>B479</f>
        <v>61.92</v>
      </c>
      <c r="AD479" s="2">
        <f>477</f>
        <v>477</v>
      </c>
      <c r="AE479" s="2">
        <f>INTERCEPT($AC$3:$AC$1136,$AD$3:$AD$1136)+SLOPE($AC$3:$AC$1136,$AD$3:$AD$1136)*AD479</f>
        <v>73.378961789355486</v>
      </c>
      <c r="AF479" s="2">
        <f t="shared" si="14"/>
        <v>76.030621389758181</v>
      </c>
      <c r="AG479" s="2">
        <f t="shared" si="15"/>
        <v>70.727302188952791</v>
      </c>
      <c r="AH479" s="22">
        <f>AC479-AE479</f>
        <v>-11.458961789355484</v>
      </c>
    </row>
    <row r="480" spans="1:34" x14ac:dyDescent="0.25">
      <c r="A480" s="1">
        <f>DATEVALUE(Sheet1!A479)</f>
        <v>45259</v>
      </c>
      <c r="B480" s="2">
        <f>VALUE(Sheet1!B479)</f>
        <v>61.63</v>
      </c>
      <c r="C480" s="9">
        <f>(B480-B479)/B479</f>
        <v>-4.6834625322997279E-3</v>
      </c>
      <c r="D480" s="2">
        <f>MAX(D479,B480)</f>
        <v>103.9</v>
      </c>
      <c r="E480" s="9">
        <f>(B480-D480)/D480</f>
        <v>-0.40683349374398459</v>
      </c>
      <c r="AB480" s="1">
        <f>A480</f>
        <v>45259</v>
      </c>
      <c r="AC480" s="2">
        <f>B480</f>
        <v>61.63</v>
      </c>
      <c r="AD480" s="2">
        <f>478</f>
        <v>478</v>
      </c>
      <c r="AE480" s="2">
        <f>INTERCEPT($AC$3:$AC$1136,$AD$3:$AD$1136)+SLOPE($AC$3:$AC$1136,$AD$3:$AD$1136)*AD480</f>
        <v>73.360249825943029</v>
      </c>
      <c r="AF480" s="2">
        <f t="shared" si="14"/>
        <v>76.011909426345724</v>
      </c>
      <c r="AG480" s="2">
        <f t="shared" si="15"/>
        <v>70.708590225540334</v>
      </c>
      <c r="AH480" s="22">
        <f>AC480-AE480</f>
        <v>-11.730249825943027</v>
      </c>
    </row>
    <row r="481" spans="1:34" x14ac:dyDescent="0.25">
      <c r="A481" s="1">
        <f>DATEVALUE(Sheet1!A480)</f>
        <v>45260</v>
      </c>
      <c r="B481" s="2">
        <f>VALUE(Sheet1!B480)</f>
        <v>62.74</v>
      </c>
      <c r="C481" s="9">
        <f>(B481-B480)/B480</f>
        <v>1.801070907025798E-2</v>
      </c>
      <c r="D481" s="2">
        <f>MAX(D480,B481)</f>
        <v>103.9</v>
      </c>
      <c r="E481" s="9">
        <f>(B481-D481)/D481</f>
        <v>-0.39615014436958618</v>
      </c>
      <c r="AB481" s="1">
        <f>A481</f>
        <v>45260</v>
      </c>
      <c r="AC481" s="2">
        <f>B481</f>
        <v>62.74</v>
      </c>
      <c r="AD481" s="2">
        <f>479</f>
        <v>479</v>
      </c>
      <c r="AE481" s="2">
        <f>INTERCEPT($AC$3:$AC$1136,$AD$3:$AD$1136)+SLOPE($AC$3:$AC$1136,$AD$3:$AD$1136)*AD481</f>
        <v>73.341537862530586</v>
      </c>
      <c r="AF481" s="2">
        <f t="shared" si="14"/>
        <v>75.993197462933281</v>
      </c>
      <c r="AG481" s="2">
        <f t="shared" si="15"/>
        <v>70.689878262127891</v>
      </c>
      <c r="AH481" s="22">
        <f>AC481-AE481</f>
        <v>-10.601537862530584</v>
      </c>
    </row>
    <row r="482" spans="1:34" x14ac:dyDescent="0.25">
      <c r="A482" s="1">
        <f>DATEVALUE(Sheet1!A481)</f>
        <v>45261</v>
      </c>
      <c r="B482" s="2">
        <f>VALUE(Sheet1!B481)</f>
        <v>62.63</v>
      </c>
      <c r="C482" s="9">
        <f>(B482-B481)/B481</f>
        <v>-1.7532674529805456E-3</v>
      </c>
      <c r="D482" s="2">
        <f>MAX(D481,B482)</f>
        <v>103.9</v>
      </c>
      <c r="E482" s="9">
        <f>(B482-D482)/D482</f>
        <v>-0.39720885466794997</v>
      </c>
      <c r="AB482" s="1">
        <f>A482</f>
        <v>45261</v>
      </c>
      <c r="AC482" s="2">
        <f>B482</f>
        <v>62.63</v>
      </c>
      <c r="AD482" s="2">
        <f>480</f>
        <v>480</v>
      </c>
      <c r="AE482" s="2">
        <f>INTERCEPT($AC$3:$AC$1136,$AD$3:$AD$1136)+SLOPE($AC$3:$AC$1136,$AD$3:$AD$1136)*AD482</f>
        <v>73.322825899118143</v>
      </c>
      <c r="AF482" s="2">
        <f t="shared" si="14"/>
        <v>75.974485499520839</v>
      </c>
      <c r="AG482" s="2">
        <f t="shared" si="15"/>
        <v>70.671166298715448</v>
      </c>
      <c r="AH482" s="22">
        <f>AC482-AE482</f>
        <v>-10.692825899118141</v>
      </c>
    </row>
    <row r="483" spans="1:34" x14ac:dyDescent="0.25">
      <c r="A483" s="1">
        <f>DATEVALUE(Sheet1!A482)</f>
        <v>45264</v>
      </c>
      <c r="B483" s="2">
        <f>VALUE(Sheet1!B482)</f>
        <v>63.29</v>
      </c>
      <c r="C483" s="9">
        <f>(B483-B482)/B482</f>
        <v>1.0538080791952684E-2</v>
      </c>
      <c r="D483" s="2">
        <f>MAX(D482,B483)</f>
        <v>103.9</v>
      </c>
      <c r="E483" s="9">
        <f>(B483-D483)/D483</f>
        <v>-0.39085659287776714</v>
      </c>
      <c r="AB483" s="1">
        <f>A483</f>
        <v>45264</v>
      </c>
      <c r="AC483" s="2">
        <f>B483</f>
        <v>63.29</v>
      </c>
      <c r="AD483" s="2">
        <f>481</f>
        <v>481</v>
      </c>
      <c r="AE483" s="2">
        <f>INTERCEPT($AC$3:$AC$1136,$AD$3:$AD$1136)+SLOPE($AC$3:$AC$1136,$AD$3:$AD$1136)*AD483</f>
        <v>73.304113935705686</v>
      </c>
      <c r="AF483" s="2">
        <f t="shared" si="14"/>
        <v>75.955773536108381</v>
      </c>
      <c r="AG483" s="2">
        <f t="shared" si="15"/>
        <v>70.652454335302991</v>
      </c>
      <c r="AH483" s="22">
        <f>AC483-AE483</f>
        <v>-10.014113935705687</v>
      </c>
    </row>
    <row r="484" spans="1:34" x14ac:dyDescent="0.25">
      <c r="A484" s="1">
        <f>DATEVALUE(Sheet1!A483)</f>
        <v>45265</v>
      </c>
      <c r="B484" s="2">
        <f>VALUE(Sheet1!B483)</f>
        <v>64.67</v>
      </c>
      <c r="C484" s="9">
        <f>(B484-B483)/B483</f>
        <v>2.1804392479064665E-2</v>
      </c>
      <c r="D484" s="2">
        <f>MAX(D483,B484)</f>
        <v>103.9</v>
      </c>
      <c r="E484" s="9">
        <f>(B484-D484)/D484</f>
        <v>-0.3775745909528393</v>
      </c>
      <c r="AB484" s="1">
        <f>A484</f>
        <v>45265</v>
      </c>
      <c r="AC484" s="2">
        <f>B484</f>
        <v>64.67</v>
      </c>
      <c r="AD484" s="2">
        <f>482</f>
        <v>482</v>
      </c>
      <c r="AE484" s="2">
        <f>INTERCEPT($AC$3:$AC$1136,$AD$3:$AD$1136)+SLOPE($AC$3:$AC$1136,$AD$3:$AD$1136)*AD484</f>
        <v>73.285401972293243</v>
      </c>
      <c r="AF484" s="2">
        <f t="shared" si="14"/>
        <v>75.937061572695939</v>
      </c>
      <c r="AG484" s="2">
        <f t="shared" si="15"/>
        <v>70.633742371890548</v>
      </c>
      <c r="AH484" s="22">
        <f>AC484-AE484</f>
        <v>-8.6154019722932418</v>
      </c>
    </row>
    <row r="485" spans="1:34" x14ac:dyDescent="0.25">
      <c r="A485" s="1">
        <f>DATEVALUE(Sheet1!A484)</f>
        <v>45266</v>
      </c>
      <c r="B485" s="2">
        <f>VALUE(Sheet1!B484)</f>
        <v>64.91</v>
      </c>
      <c r="C485" s="9">
        <f>(B485-B484)/B484</f>
        <v>3.7111489098499285E-3</v>
      </c>
      <c r="D485" s="2">
        <f>MAX(D484,B485)</f>
        <v>103.9</v>
      </c>
      <c r="E485" s="9">
        <f>(B485-D485)/D485</f>
        <v>-0.37526467757459103</v>
      </c>
      <c r="AB485" s="1">
        <f>A485</f>
        <v>45266</v>
      </c>
      <c r="AC485" s="2">
        <f>B485</f>
        <v>64.91</v>
      </c>
      <c r="AD485" s="2">
        <f>483</f>
        <v>483</v>
      </c>
      <c r="AE485" s="2">
        <f>INTERCEPT($AC$3:$AC$1136,$AD$3:$AD$1136)+SLOPE($AC$3:$AC$1136,$AD$3:$AD$1136)*AD485</f>
        <v>73.266690008880801</v>
      </c>
      <c r="AF485" s="2">
        <f t="shared" si="14"/>
        <v>75.918349609283496</v>
      </c>
      <c r="AG485" s="2">
        <f t="shared" si="15"/>
        <v>70.615030408478106</v>
      </c>
      <c r="AH485" s="22">
        <f>AC485-AE485</f>
        <v>-8.356690008880804</v>
      </c>
    </row>
    <row r="486" spans="1:34" x14ac:dyDescent="0.25">
      <c r="A486" s="1">
        <f>DATEVALUE(Sheet1!A485)</f>
        <v>45267</v>
      </c>
      <c r="B486" s="2">
        <f>VALUE(Sheet1!B485)</f>
        <v>65.790000000000006</v>
      </c>
      <c r="C486" s="9">
        <f>(B486-B485)/B485</f>
        <v>1.3557233091973651E-2</v>
      </c>
      <c r="D486" s="2">
        <f>MAX(D485,B486)</f>
        <v>103.9</v>
      </c>
      <c r="E486" s="9">
        <f>(B486-D486)/D486</f>
        <v>-0.36679499518768044</v>
      </c>
      <c r="AB486" s="1">
        <f>A486</f>
        <v>45267</v>
      </c>
      <c r="AC486" s="2">
        <f>B486</f>
        <v>65.790000000000006</v>
      </c>
      <c r="AD486" s="2">
        <f>484</f>
        <v>484</v>
      </c>
      <c r="AE486" s="2">
        <f>INTERCEPT($AC$3:$AC$1136,$AD$3:$AD$1136)+SLOPE($AC$3:$AC$1136,$AD$3:$AD$1136)*AD486</f>
        <v>73.247978045468358</v>
      </c>
      <c r="AF486" s="2">
        <f t="shared" si="14"/>
        <v>75.899637645871053</v>
      </c>
      <c r="AG486" s="2">
        <f t="shared" si="15"/>
        <v>70.596318445065663</v>
      </c>
      <c r="AH486" s="22">
        <f>AC486-AE486</f>
        <v>-7.4579780454683515</v>
      </c>
    </row>
    <row r="487" spans="1:34" x14ac:dyDescent="0.25">
      <c r="A487" s="1">
        <f>DATEVALUE(Sheet1!A486)</f>
        <v>45268</v>
      </c>
      <c r="B487" s="2">
        <f>VALUE(Sheet1!B486)</f>
        <v>65.94</v>
      </c>
      <c r="C487" s="9">
        <f>(B487-B486)/B486</f>
        <v>2.2799817601457891E-3</v>
      </c>
      <c r="D487" s="2">
        <f>MAX(D486,B487)</f>
        <v>103.9</v>
      </c>
      <c r="E487" s="9">
        <f>(B487-D487)/D487</f>
        <v>-0.3653512993262753</v>
      </c>
      <c r="AB487" s="1">
        <f>A487</f>
        <v>45268</v>
      </c>
      <c r="AC487" s="2">
        <f>B487</f>
        <v>65.94</v>
      </c>
      <c r="AD487" s="2">
        <f>485</f>
        <v>485</v>
      </c>
      <c r="AE487" s="2">
        <f>INTERCEPT($AC$3:$AC$1136,$AD$3:$AD$1136)+SLOPE($AC$3:$AC$1136,$AD$3:$AD$1136)*AD487</f>
        <v>73.229266082055901</v>
      </c>
      <c r="AF487" s="2">
        <f t="shared" si="14"/>
        <v>75.880925682458596</v>
      </c>
      <c r="AG487" s="2">
        <f t="shared" si="15"/>
        <v>70.577606481653206</v>
      </c>
      <c r="AH487" s="22">
        <f>AC487-AE487</f>
        <v>-7.289266082055903</v>
      </c>
    </row>
    <row r="488" spans="1:34" x14ac:dyDescent="0.25">
      <c r="A488" s="1">
        <f>DATEVALUE(Sheet1!A487)</f>
        <v>45271</v>
      </c>
      <c r="B488" s="2">
        <f>VALUE(Sheet1!B487)</f>
        <v>67.260000000000005</v>
      </c>
      <c r="C488" s="9">
        <f>(B488-B487)/B487</f>
        <v>2.0018198362147518E-2</v>
      </c>
      <c r="D488" s="2">
        <f>MAX(D487,B488)</f>
        <v>103.9</v>
      </c>
      <c r="E488" s="9">
        <f>(B488-D488)/D488</f>
        <v>-0.35264677574590952</v>
      </c>
      <c r="AB488" s="1">
        <f>A488</f>
        <v>45271</v>
      </c>
      <c r="AC488" s="2">
        <f>B488</f>
        <v>67.260000000000005</v>
      </c>
      <c r="AD488" s="2">
        <f>486</f>
        <v>486</v>
      </c>
      <c r="AE488" s="2">
        <f>INTERCEPT($AC$3:$AC$1136,$AD$3:$AD$1136)+SLOPE($AC$3:$AC$1136,$AD$3:$AD$1136)*AD488</f>
        <v>73.210554118643458</v>
      </c>
      <c r="AF488" s="2">
        <f t="shared" si="14"/>
        <v>75.862213719046153</v>
      </c>
      <c r="AG488" s="2">
        <f t="shared" si="15"/>
        <v>70.558894518240763</v>
      </c>
      <c r="AH488" s="22">
        <f>AC488-AE488</f>
        <v>-5.9505541186434527</v>
      </c>
    </row>
    <row r="489" spans="1:34" x14ac:dyDescent="0.25">
      <c r="A489" s="1">
        <f>DATEVALUE(Sheet1!A488)</f>
        <v>45272</v>
      </c>
      <c r="B489" s="2">
        <f>VALUE(Sheet1!B488)</f>
        <v>67.5</v>
      </c>
      <c r="C489" s="9">
        <f>(B489-B488)/B488</f>
        <v>3.5682426404994778E-3</v>
      </c>
      <c r="D489" s="2">
        <f>MAX(D488,B489)</f>
        <v>103.9</v>
      </c>
      <c r="E489" s="9">
        <f>(B489-D489)/D489</f>
        <v>-0.35033686236766126</v>
      </c>
      <c r="AB489" s="1">
        <f>A489</f>
        <v>45272</v>
      </c>
      <c r="AC489" s="2">
        <f>B489</f>
        <v>67.5</v>
      </c>
      <c r="AD489" s="2">
        <f>487</f>
        <v>487</v>
      </c>
      <c r="AE489" s="2">
        <f>INTERCEPT($AC$3:$AC$1136,$AD$3:$AD$1136)+SLOPE($AC$3:$AC$1136,$AD$3:$AD$1136)*AD489</f>
        <v>73.191842155231015</v>
      </c>
      <c r="AF489" s="2">
        <f t="shared" si="14"/>
        <v>75.84350175563371</v>
      </c>
      <c r="AG489" s="2">
        <f t="shared" si="15"/>
        <v>70.54018255482832</v>
      </c>
      <c r="AH489" s="22">
        <f>AC489-AE489</f>
        <v>-5.691842155231015</v>
      </c>
    </row>
    <row r="490" spans="1:34" x14ac:dyDescent="0.25">
      <c r="A490" s="1">
        <f>DATEVALUE(Sheet1!A489)</f>
        <v>45273</v>
      </c>
      <c r="B490" s="2">
        <f>VALUE(Sheet1!B489)</f>
        <v>68.13</v>
      </c>
      <c r="C490" s="9">
        <f>(B490-B489)/B489</f>
        <v>9.3333333333332665E-3</v>
      </c>
      <c r="D490" s="2">
        <f>MAX(D489,B490)</f>
        <v>103.9</v>
      </c>
      <c r="E490" s="9">
        <f>(B490-D490)/D490</f>
        <v>-0.34427333974975949</v>
      </c>
      <c r="AB490" s="1">
        <f>A490</f>
        <v>45273</v>
      </c>
      <c r="AC490" s="2">
        <f>B490</f>
        <v>68.13</v>
      </c>
      <c r="AD490" s="2">
        <f>488</f>
        <v>488</v>
      </c>
      <c r="AE490" s="2">
        <f>INTERCEPT($AC$3:$AC$1136,$AD$3:$AD$1136)+SLOPE($AC$3:$AC$1136,$AD$3:$AD$1136)*AD490</f>
        <v>73.173130191818558</v>
      </c>
      <c r="AF490" s="2">
        <f t="shared" si="14"/>
        <v>75.824789792221253</v>
      </c>
      <c r="AG490" s="2">
        <f t="shared" si="15"/>
        <v>70.521470591415863</v>
      </c>
      <c r="AH490" s="22">
        <f>AC490-AE490</f>
        <v>-5.0431301918185625</v>
      </c>
    </row>
    <row r="491" spans="1:34" x14ac:dyDescent="0.25">
      <c r="A491" s="1">
        <f>DATEVALUE(Sheet1!A490)</f>
        <v>45274</v>
      </c>
      <c r="B491" s="2">
        <f>VALUE(Sheet1!B490)</f>
        <v>68.209999999999994</v>
      </c>
      <c r="C491" s="9">
        <f>(B491-B490)/B490</f>
        <v>1.1742257448994319E-3</v>
      </c>
      <c r="D491" s="2">
        <f>MAX(D490,B491)</f>
        <v>103.9</v>
      </c>
      <c r="E491" s="9">
        <f>(B491-D491)/D491</f>
        <v>-0.3435033686236767</v>
      </c>
      <c r="AB491" s="1">
        <f>A491</f>
        <v>45274</v>
      </c>
      <c r="AC491" s="2">
        <f>B491</f>
        <v>68.209999999999994</v>
      </c>
      <c r="AD491" s="2">
        <f>489</f>
        <v>489</v>
      </c>
      <c r="AE491" s="2">
        <f>INTERCEPT($AC$3:$AC$1136,$AD$3:$AD$1136)+SLOPE($AC$3:$AC$1136,$AD$3:$AD$1136)*AD491</f>
        <v>73.154418228406115</v>
      </c>
      <c r="AF491" s="2">
        <f t="shared" si="14"/>
        <v>75.80607782880881</v>
      </c>
      <c r="AG491" s="2">
        <f t="shared" si="15"/>
        <v>70.50275862800342</v>
      </c>
      <c r="AH491" s="22">
        <f>AC491-AE491</f>
        <v>-4.9444182284061213</v>
      </c>
    </row>
    <row r="492" spans="1:34" x14ac:dyDescent="0.25">
      <c r="A492" s="1">
        <f>DATEVALUE(Sheet1!A491)</f>
        <v>45275</v>
      </c>
      <c r="B492" s="2">
        <f>VALUE(Sheet1!B491)</f>
        <v>67.569999999999993</v>
      </c>
      <c r="C492" s="9">
        <f>(B492-B491)/B491</f>
        <v>-9.3827884474417325E-3</v>
      </c>
      <c r="D492" s="2">
        <f>MAX(D491,B492)</f>
        <v>103.9</v>
      </c>
      <c r="E492" s="9">
        <f>(B492-D492)/D492</f>
        <v>-0.34966313763233892</v>
      </c>
      <c r="AB492" s="1">
        <f>A492</f>
        <v>45275</v>
      </c>
      <c r="AC492" s="2">
        <f>B492</f>
        <v>67.569999999999993</v>
      </c>
      <c r="AD492" s="2">
        <f>490</f>
        <v>490</v>
      </c>
      <c r="AE492" s="2">
        <f>INTERCEPT($AC$3:$AC$1136,$AD$3:$AD$1136)+SLOPE($AC$3:$AC$1136,$AD$3:$AD$1136)*AD492</f>
        <v>73.135706264993672</v>
      </c>
      <c r="AF492" s="2">
        <f t="shared" si="14"/>
        <v>75.787365865396367</v>
      </c>
      <c r="AG492" s="2">
        <f t="shared" si="15"/>
        <v>70.484046664590977</v>
      </c>
      <c r="AH492" s="22">
        <f>AC492-AE492</f>
        <v>-5.565706264993679</v>
      </c>
    </row>
    <row r="493" spans="1:34" x14ac:dyDescent="0.25">
      <c r="A493" s="1">
        <f>DATEVALUE(Sheet1!A492)</f>
        <v>45278</v>
      </c>
      <c r="B493" s="2">
        <f>VALUE(Sheet1!B492)</f>
        <v>67.56</v>
      </c>
      <c r="C493" s="9">
        <f>(B493-B492)/B492</f>
        <v>-1.4799467219166651E-4</v>
      </c>
      <c r="D493" s="2">
        <f>MAX(D492,B493)</f>
        <v>103.9</v>
      </c>
      <c r="E493" s="9">
        <f>(B493-D493)/D493</f>
        <v>-0.34975938402309914</v>
      </c>
      <c r="AB493" s="1">
        <f>A493</f>
        <v>45278</v>
      </c>
      <c r="AC493" s="2">
        <f>B493</f>
        <v>67.56</v>
      </c>
      <c r="AD493" s="2">
        <f>491</f>
        <v>491</v>
      </c>
      <c r="AE493" s="2">
        <f>INTERCEPT($AC$3:$AC$1136,$AD$3:$AD$1136)+SLOPE($AC$3:$AC$1136,$AD$3:$AD$1136)*AD493</f>
        <v>73.116994301581229</v>
      </c>
      <c r="AF493" s="2">
        <f t="shared" si="14"/>
        <v>75.768653901983924</v>
      </c>
      <c r="AG493" s="2">
        <f t="shared" si="15"/>
        <v>70.465334701178534</v>
      </c>
      <c r="AH493" s="22">
        <f>AC493-AE493</f>
        <v>-5.5569943015812271</v>
      </c>
    </row>
    <row r="494" spans="1:34" x14ac:dyDescent="0.25">
      <c r="A494" s="1">
        <f>DATEVALUE(Sheet1!A493)</f>
        <v>45279</v>
      </c>
      <c r="B494" s="2">
        <f>VALUE(Sheet1!B493)</f>
        <v>67.42</v>
      </c>
      <c r="C494" s="9">
        <f>(B494-B493)/B493</f>
        <v>-2.0722320899940875E-3</v>
      </c>
      <c r="D494" s="2">
        <f>MAX(D493,B494)</f>
        <v>103.9</v>
      </c>
      <c r="E494" s="9">
        <f>(B494-D494)/D494</f>
        <v>-0.351106833493744</v>
      </c>
      <c r="AB494" s="1">
        <f>A494</f>
        <v>45279</v>
      </c>
      <c r="AC494" s="2">
        <f>B494</f>
        <v>67.42</v>
      </c>
      <c r="AD494" s="2">
        <f>492</f>
        <v>492</v>
      </c>
      <c r="AE494" s="2">
        <f>INTERCEPT($AC$3:$AC$1136,$AD$3:$AD$1136)+SLOPE($AC$3:$AC$1136,$AD$3:$AD$1136)*AD494</f>
        <v>73.098282338168772</v>
      </c>
      <c r="AF494" s="2">
        <f t="shared" si="14"/>
        <v>75.749941938571467</v>
      </c>
      <c r="AG494" s="2">
        <f t="shared" si="15"/>
        <v>70.446622737766077</v>
      </c>
      <c r="AH494" s="22">
        <f>AC494-AE494</f>
        <v>-5.6782823381687706</v>
      </c>
    </row>
    <row r="495" spans="1:34" x14ac:dyDescent="0.25">
      <c r="A495" s="1">
        <f>DATEVALUE(Sheet1!A494)</f>
        <v>45280</v>
      </c>
      <c r="B495" s="2">
        <f>VALUE(Sheet1!B494)</f>
        <v>67.55</v>
      </c>
      <c r="C495" s="9">
        <f>(B495-B494)/B494</f>
        <v>1.9282112132897574E-3</v>
      </c>
      <c r="D495" s="2">
        <f>MAX(D494,B495)</f>
        <v>103.9</v>
      </c>
      <c r="E495" s="9">
        <f>(B495-D495)/D495</f>
        <v>-0.34985563041385953</v>
      </c>
      <c r="AB495" s="1">
        <f>A495</f>
        <v>45280</v>
      </c>
      <c r="AC495" s="2">
        <f>B495</f>
        <v>67.55</v>
      </c>
      <c r="AD495" s="2">
        <f>493</f>
        <v>493</v>
      </c>
      <c r="AE495" s="2">
        <f>INTERCEPT($AC$3:$AC$1136,$AD$3:$AD$1136)+SLOPE($AC$3:$AC$1136,$AD$3:$AD$1136)*AD495</f>
        <v>73.079570374756329</v>
      </c>
      <c r="AF495" s="2">
        <f t="shared" si="14"/>
        <v>75.731229975159025</v>
      </c>
      <c r="AG495" s="2">
        <f t="shared" si="15"/>
        <v>70.427910774353634</v>
      </c>
      <c r="AH495" s="22">
        <f>AC495-AE495</f>
        <v>-5.5295703747563323</v>
      </c>
    </row>
    <row r="496" spans="1:34" x14ac:dyDescent="0.25">
      <c r="A496" s="1">
        <f>DATEVALUE(Sheet1!A495)</f>
        <v>45281</v>
      </c>
      <c r="B496" s="2">
        <f>VALUE(Sheet1!B495)</f>
        <v>67.59</v>
      </c>
      <c r="C496" s="9">
        <f>(B496-B495)/B495</f>
        <v>5.9215396002970026E-4</v>
      </c>
      <c r="D496" s="2">
        <f>MAX(D495,B496)</f>
        <v>103.9</v>
      </c>
      <c r="E496" s="9">
        <f>(B496-D496)/D496</f>
        <v>-0.34947064485081808</v>
      </c>
      <c r="AB496" s="1">
        <f>A496</f>
        <v>45281</v>
      </c>
      <c r="AC496" s="2">
        <f>B496</f>
        <v>67.59</v>
      </c>
      <c r="AD496" s="2">
        <f>494</f>
        <v>494</v>
      </c>
      <c r="AE496" s="2">
        <f>INTERCEPT($AC$3:$AC$1136,$AD$3:$AD$1136)+SLOPE($AC$3:$AC$1136,$AD$3:$AD$1136)*AD496</f>
        <v>73.060858411343887</v>
      </c>
      <c r="AF496" s="2">
        <f t="shared" si="14"/>
        <v>75.712518011746582</v>
      </c>
      <c r="AG496" s="2">
        <f t="shared" si="15"/>
        <v>70.409198810941191</v>
      </c>
      <c r="AH496" s="22">
        <f>AC496-AE496</f>
        <v>-5.4708584113438832</v>
      </c>
    </row>
    <row r="497" spans="1:34" x14ac:dyDescent="0.25">
      <c r="A497" s="1">
        <f>DATEVALUE(Sheet1!A496)</f>
        <v>45282</v>
      </c>
      <c r="B497" s="2">
        <f>VALUE(Sheet1!B496)</f>
        <v>67.56</v>
      </c>
      <c r="C497" s="9">
        <f>(B497-B496)/B496</f>
        <v>-4.4385264092323029E-4</v>
      </c>
      <c r="D497" s="2">
        <f>MAX(D496,B497)</f>
        <v>103.9</v>
      </c>
      <c r="E497" s="9">
        <f>(B497-D497)/D497</f>
        <v>-0.34975938402309914</v>
      </c>
      <c r="AB497" s="1">
        <f>A497</f>
        <v>45282</v>
      </c>
      <c r="AC497" s="2">
        <f>B497</f>
        <v>67.56</v>
      </c>
      <c r="AD497" s="2">
        <f>495</f>
        <v>495</v>
      </c>
      <c r="AE497" s="2">
        <f>INTERCEPT($AC$3:$AC$1136,$AD$3:$AD$1136)+SLOPE($AC$3:$AC$1136,$AD$3:$AD$1136)*AD497</f>
        <v>73.042146447931444</v>
      </c>
      <c r="AF497" s="2">
        <f t="shared" si="14"/>
        <v>75.693806048334139</v>
      </c>
      <c r="AG497" s="2">
        <f t="shared" si="15"/>
        <v>70.390486847528749</v>
      </c>
      <c r="AH497" s="22">
        <f>AC497-AE497</f>
        <v>-5.4821464479314415</v>
      </c>
    </row>
    <row r="498" spans="1:34" x14ac:dyDescent="0.25">
      <c r="A498" s="1">
        <f>DATEVALUE(Sheet1!A497)</f>
        <v>45286</v>
      </c>
      <c r="B498" s="2">
        <f>VALUE(Sheet1!B497)</f>
        <v>67.84</v>
      </c>
      <c r="C498" s="9">
        <f>(B498-B497)/B497</f>
        <v>4.144464179988175E-3</v>
      </c>
      <c r="D498" s="2">
        <f>MAX(D497,B498)</f>
        <v>103.9</v>
      </c>
      <c r="E498" s="9">
        <f>(B498-D498)/D498</f>
        <v>-0.34706448508180943</v>
      </c>
      <c r="AB498" s="1">
        <f>A498</f>
        <v>45286</v>
      </c>
      <c r="AC498" s="2">
        <f>B498</f>
        <v>67.84</v>
      </c>
      <c r="AD498" s="2">
        <f>496</f>
        <v>496</v>
      </c>
      <c r="AE498" s="2">
        <f>INTERCEPT($AC$3:$AC$1136,$AD$3:$AD$1136)+SLOPE($AC$3:$AC$1136,$AD$3:$AD$1136)*AD498</f>
        <v>73.023434484518987</v>
      </c>
      <c r="AF498" s="2">
        <f t="shared" si="14"/>
        <v>75.675094084921682</v>
      </c>
      <c r="AG498" s="2">
        <f t="shared" si="15"/>
        <v>70.371774884116292</v>
      </c>
      <c r="AH498" s="22">
        <f>AC498-AE498</f>
        <v>-5.1834344845189833</v>
      </c>
    </row>
    <row r="499" spans="1:34" x14ac:dyDescent="0.25">
      <c r="A499" s="1">
        <f>DATEVALUE(Sheet1!A498)</f>
        <v>45287</v>
      </c>
      <c r="B499" s="2">
        <f>VALUE(Sheet1!B498)</f>
        <v>68.02</v>
      </c>
      <c r="C499" s="9">
        <f>(B499-B498)/B498</f>
        <v>2.6533018867923438E-3</v>
      </c>
      <c r="D499" s="2">
        <f>MAX(D498,B499)</f>
        <v>103.9</v>
      </c>
      <c r="E499" s="9">
        <f>(B499-D499)/D499</f>
        <v>-0.34533205004812328</v>
      </c>
      <c r="AB499" s="1">
        <f>A499</f>
        <v>45287</v>
      </c>
      <c r="AC499" s="2">
        <f>B499</f>
        <v>68.02</v>
      </c>
      <c r="AD499" s="2">
        <f>497</f>
        <v>497</v>
      </c>
      <c r="AE499" s="2">
        <f>INTERCEPT($AC$3:$AC$1136,$AD$3:$AD$1136)+SLOPE($AC$3:$AC$1136,$AD$3:$AD$1136)*AD499</f>
        <v>73.004722521106544</v>
      </c>
      <c r="AF499" s="2">
        <f t="shared" si="14"/>
        <v>75.656382121509239</v>
      </c>
      <c r="AG499" s="2">
        <f t="shared" si="15"/>
        <v>70.353062920703849</v>
      </c>
      <c r="AH499" s="22">
        <f>AC499-AE499</f>
        <v>-4.9847225211065478</v>
      </c>
    </row>
    <row r="500" spans="1:34" x14ac:dyDescent="0.25">
      <c r="A500" s="1">
        <f>DATEVALUE(Sheet1!A499)</f>
        <v>45288</v>
      </c>
      <c r="B500" s="2">
        <f>VALUE(Sheet1!B499)</f>
        <v>69.209999999999994</v>
      </c>
      <c r="C500" s="9">
        <f>(B500-B499)/B499</f>
        <v>1.7494854454572151E-2</v>
      </c>
      <c r="D500" s="2">
        <f>MAX(D499,B500)</f>
        <v>103.9</v>
      </c>
      <c r="E500" s="9">
        <f>(B500-D500)/D500</f>
        <v>-0.33387872954764208</v>
      </c>
      <c r="AB500" s="1">
        <f>A500</f>
        <v>45288</v>
      </c>
      <c r="AC500" s="2">
        <f>B500</f>
        <v>69.209999999999994</v>
      </c>
      <c r="AD500" s="2">
        <f>498</f>
        <v>498</v>
      </c>
      <c r="AE500" s="2">
        <f>INTERCEPT($AC$3:$AC$1136,$AD$3:$AD$1136)+SLOPE($AC$3:$AC$1136,$AD$3:$AD$1136)*AD500</f>
        <v>72.986010557694101</v>
      </c>
      <c r="AF500" s="2">
        <f t="shared" si="14"/>
        <v>75.637670158096796</v>
      </c>
      <c r="AG500" s="2">
        <f t="shared" si="15"/>
        <v>70.334350957291406</v>
      </c>
      <c r="AH500" s="22">
        <f>AC500-AE500</f>
        <v>-3.7760105576941072</v>
      </c>
    </row>
    <row r="501" spans="1:34" x14ac:dyDescent="0.25">
      <c r="A501" s="1">
        <f>DATEVALUE(Sheet1!A500)</f>
        <v>45293</v>
      </c>
      <c r="B501" s="2">
        <f>VALUE(Sheet1!B500)</f>
        <v>69.75</v>
      </c>
      <c r="C501" s="9">
        <f>(B501-B500)/B500</f>
        <v>7.8023407022107544E-3</v>
      </c>
      <c r="D501" s="2">
        <f>MAX(D500,B501)</f>
        <v>103.9</v>
      </c>
      <c r="E501" s="9">
        <f>(B501-D501)/D501</f>
        <v>-0.32868142444658327</v>
      </c>
      <c r="AB501" s="1">
        <f>A501</f>
        <v>45293</v>
      </c>
      <c r="AC501" s="2">
        <f>B501</f>
        <v>69.75</v>
      </c>
      <c r="AD501" s="2">
        <f>499</f>
        <v>499</v>
      </c>
      <c r="AE501" s="2">
        <f>INTERCEPT($AC$3:$AC$1136,$AD$3:$AD$1136)+SLOPE($AC$3:$AC$1136,$AD$3:$AD$1136)*AD501</f>
        <v>72.967298594281658</v>
      </c>
      <c r="AF501" s="2">
        <f t="shared" si="14"/>
        <v>75.618958194684353</v>
      </c>
      <c r="AG501" s="2">
        <f t="shared" si="15"/>
        <v>70.315638993878963</v>
      </c>
      <c r="AH501" s="22">
        <f>AC501-AE501</f>
        <v>-3.2172985942816581</v>
      </c>
    </row>
    <row r="502" spans="1:34" x14ac:dyDescent="0.25">
      <c r="A502" s="1">
        <f>DATEVALUE(Sheet1!A501)</f>
        <v>45294</v>
      </c>
      <c r="B502" s="2">
        <f>VALUE(Sheet1!B501)</f>
        <v>69.77</v>
      </c>
      <c r="C502" s="9">
        <f>(B502-B501)/B501</f>
        <v>2.8673835125442326E-4</v>
      </c>
      <c r="D502" s="2">
        <f>MAX(D501,B502)</f>
        <v>103.9</v>
      </c>
      <c r="E502" s="9">
        <f>(B502-D502)/D502</f>
        <v>-0.32848893166506266</v>
      </c>
      <c r="AB502" s="1">
        <f>A502</f>
        <v>45294</v>
      </c>
      <c r="AC502" s="2">
        <f>B502</f>
        <v>69.77</v>
      </c>
      <c r="AD502" s="2">
        <f>500</f>
        <v>500</v>
      </c>
      <c r="AE502" s="2">
        <f>INTERCEPT($AC$3:$AC$1136,$AD$3:$AD$1136)+SLOPE($AC$3:$AC$1136,$AD$3:$AD$1136)*AD502</f>
        <v>72.948586630869201</v>
      </c>
      <c r="AF502" s="2">
        <f t="shared" si="14"/>
        <v>75.600246231271896</v>
      </c>
      <c r="AG502" s="2">
        <f t="shared" si="15"/>
        <v>70.296927030466506</v>
      </c>
      <c r="AH502" s="22">
        <f>AC502-AE502</f>
        <v>-3.178586630869205</v>
      </c>
    </row>
    <row r="503" spans="1:34" x14ac:dyDescent="0.25">
      <c r="A503" s="1">
        <f>DATEVALUE(Sheet1!A502)</f>
        <v>45295</v>
      </c>
      <c r="B503" s="2">
        <f>VALUE(Sheet1!B502)</f>
        <v>71.319999999999993</v>
      </c>
      <c r="C503" s="9">
        <f>(B503-B502)/B502</f>
        <v>2.2215852085423496E-2</v>
      </c>
      <c r="D503" s="2">
        <f>MAX(D502,B503)</f>
        <v>103.9</v>
      </c>
      <c r="E503" s="9">
        <f>(B503-D503)/D503</f>
        <v>-0.31357074109720895</v>
      </c>
      <c r="AB503" s="1">
        <f>A503</f>
        <v>45295</v>
      </c>
      <c r="AC503" s="2">
        <f>B503</f>
        <v>71.319999999999993</v>
      </c>
      <c r="AD503" s="2">
        <f>501</f>
        <v>501</v>
      </c>
      <c r="AE503" s="2">
        <f>INTERCEPT($AC$3:$AC$1136,$AD$3:$AD$1136)+SLOPE($AC$3:$AC$1136,$AD$3:$AD$1136)*AD503</f>
        <v>72.929874667456758</v>
      </c>
      <c r="AF503" s="2">
        <f t="shared" si="14"/>
        <v>75.581534267859453</v>
      </c>
      <c r="AG503" s="2">
        <f t="shared" si="15"/>
        <v>70.278215067054063</v>
      </c>
      <c r="AH503" s="22">
        <f>AC503-AE503</f>
        <v>-1.609874667456765</v>
      </c>
    </row>
    <row r="504" spans="1:34" x14ac:dyDescent="0.25">
      <c r="A504" s="1">
        <f>DATEVALUE(Sheet1!A503)</f>
        <v>45296</v>
      </c>
      <c r="B504" s="2">
        <f>VALUE(Sheet1!B503)</f>
        <v>70.47</v>
      </c>
      <c r="C504" s="9">
        <f>(B504-B503)/B503</f>
        <v>-1.1918115535614055E-2</v>
      </c>
      <c r="D504" s="2">
        <f>MAX(D503,B504)</f>
        <v>103.9</v>
      </c>
      <c r="E504" s="9">
        <f>(B504-D504)/D504</f>
        <v>-0.32175168431183837</v>
      </c>
      <c r="AB504" s="1">
        <f>A504</f>
        <v>45296</v>
      </c>
      <c r="AC504" s="2">
        <f>B504</f>
        <v>70.47</v>
      </c>
      <c r="AD504" s="2">
        <f>502</f>
        <v>502</v>
      </c>
      <c r="AE504" s="2">
        <f>INTERCEPT($AC$3:$AC$1136,$AD$3:$AD$1136)+SLOPE($AC$3:$AC$1136,$AD$3:$AD$1136)*AD504</f>
        <v>72.911162704044315</v>
      </c>
      <c r="AF504" s="2">
        <f t="shared" si="14"/>
        <v>75.56282230444701</v>
      </c>
      <c r="AG504" s="2">
        <f t="shared" si="15"/>
        <v>70.25950310364162</v>
      </c>
      <c r="AH504" s="22">
        <f>AC504-AE504</f>
        <v>-2.4411627040443165</v>
      </c>
    </row>
    <row r="505" spans="1:34" x14ac:dyDescent="0.25">
      <c r="A505" s="1">
        <f>DATEVALUE(Sheet1!A504)</f>
        <v>45299</v>
      </c>
      <c r="B505" s="2">
        <f>VALUE(Sheet1!B504)</f>
        <v>70.12</v>
      </c>
      <c r="C505" s="9">
        <f>(B505-B504)/B504</f>
        <v>-4.9666524762309395E-3</v>
      </c>
      <c r="D505" s="2">
        <f>MAX(D504,B505)</f>
        <v>103.9</v>
      </c>
      <c r="E505" s="9">
        <f>(B505-D505)/D505</f>
        <v>-0.32512030798845043</v>
      </c>
      <c r="AB505" s="1">
        <f>A505</f>
        <v>45299</v>
      </c>
      <c r="AC505" s="2">
        <f>B505</f>
        <v>70.12</v>
      </c>
      <c r="AD505" s="2">
        <f>503</f>
        <v>503</v>
      </c>
      <c r="AE505" s="2">
        <f>INTERCEPT($AC$3:$AC$1136,$AD$3:$AD$1136)+SLOPE($AC$3:$AC$1136,$AD$3:$AD$1136)*AD505</f>
        <v>72.892450740631858</v>
      </c>
      <c r="AF505" s="2">
        <f t="shared" si="14"/>
        <v>75.544110341034553</v>
      </c>
      <c r="AG505" s="2">
        <f t="shared" si="15"/>
        <v>70.240791140229163</v>
      </c>
      <c r="AH505" s="22">
        <f>AC505-AE505</f>
        <v>-2.7724507406318537</v>
      </c>
    </row>
    <row r="506" spans="1:34" x14ac:dyDescent="0.25">
      <c r="A506" s="1">
        <f>DATEVALUE(Sheet1!A505)</f>
        <v>45300</v>
      </c>
      <c r="B506" s="2">
        <f>VALUE(Sheet1!B505)</f>
        <v>70.239999999999995</v>
      </c>
      <c r="C506" s="9">
        <f>(B506-B505)/B505</f>
        <v>1.7113519680546252E-3</v>
      </c>
      <c r="D506" s="2">
        <f>MAX(D505,B506)</f>
        <v>103.9</v>
      </c>
      <c r="E506" s="9">
        <f>(B506-D506)/D506</f>
        <v>-0.32396535129932635</v>
      </c>
      <c r="AB506" s="1">
        <f>A506</f>
        <v>45300</v>
      </c>
      <c r="AC506" s="2">
        <f>B506</f>
        <v>70.239999999999995</v>
      </c>
      <c r="AD506" s="2">
        <f>504</f>
        <v>504</v>
      </c>
      <c r="AE506" s="2">
        <f>INTERCEPT($AC$3:$AC$1136,$AD$3:$AD$1136)+SLOPE($AC$3:$AC$1136,$AD$3:$AD$1136)*AD506</f>
        <v>72.873738777219415</v>
      </c>
      <c r="AF506" s="2">
        <f t="shared" si="14"/>
        <v>75.525398377622111</v>
      </c>
      <c r="AG506" s="2">
        <f t="shared" si="15"/>
        <v>70.22207917681672</v>
      </c>
      <c r="AH506" s="22">
        <f>AC506-AE506</f>
        <v>-2.6337387772194205</v>
      </c>
    </row>
    <row r="507" spans="1:34" x14ac:dyDescent="0.25">
      <c r="A507" s="1">
        <f>DATEVALUE(Sheet1!A506)</f>
        <v>45301</v>
      </c>
      <c r="B507" s="2">
        <f>VALUE(Sheet1!B506)</f>
        <v>69.3</v>
      </c>
      <c r="C507" s="9">
        <f>(B507-B506)/B506</f>
        <v>-1.3382687927107031E-2</v>
      </c>
      <c r="D507" s="2">
        <f>MAX(D506,B507)</f>
        <v>103.9</v>
      </c>
      <c r="E507" s="9">
        <f>(B507-D507)/D507</f>
        <v>-0.3330125120307989</v>
      </c>
      <c r="AB507" s="1">
        <f>A507</f>
        <v>45301</v>
      </c>
      <c r="AC507" s="2">
        <f>B507</f>
        <v>69.3</v>
      </c>
      <c r="AD507" s="2">
        <f>505</f>
        <v>505</v>
      </c>
      <c r="AE507" s="2">
        <f>INTERCEPT($AC$3:$AC$1136,$AD$3:$AD$1136)+SLOPE($AC$3:$AC$1136,$AD$3:$AD$1136)*AD507</f>
        <v>72.855026813806973</v>
      </c>
      <c r="AF507" s="2">
        <f t="shared" si="14"/>
        <v>75.506686414209668</v>
      </c>
      <c r="AG507" s="2">
        <f t="shared" si="15"/>
        <v>70.203367213404277</v>
      </c>
      <c r="AH507" s="22">
        <f>AC507-AE507</f>
        <v>-3.5550268138069754</v>
      </c>
    </row>
    <row r="508" spans="1:34" x14ac:dyDescent="0.25">
      <c r="A508" s="1">
        <f>DATEVALUE(Sheet1!A507)</f>
        <v>45302</v>
      </c>
      <c r="B508" s="2">
        <f>VALUE(Sheet1!B507)</f>
        <v>68</v>
      </c>
      <c r="C508" s="9">
        <f>(B508-B507)/B507</f>
        <v>-1.8759018759018718E-2</v>
      </c>
      <c r="D508" s="2">
        <f>MAX(D507,B508)</f>
        <v>103.9</v>
      </c>
      <c r="E508" s="9">
        <f>(B508-D508)/D508</f>
        <v>-0.3455245428296439</v>
      </c>
      <c r="AB508" s="1">
        <f>A508</f>
        <v>45302</v>
      </c>
      <c r="AC508" s="2">
        <f>B508</f>
        <v>68</v>
      </c>
      <c r="AD508" s="2">
        <f>506</f>
        <v>506</v>
      </c>
      <c r="AE508" s="2">
        <f>INTERCEPT($AC$3:$AC$1136,$AD$3:$AD$1136)+SLOPE($AC$3:$AC$1136,$AD$3:$AD$1136)*AD508</f>
        <v>72.83631485039453</v>
      </c>
      <c r="AF508" s="2">
        <f t="shared" si="14"/>
        <v>75.487974450797225</v>
      </c>
      <c r="AG508" s="2">
        <f t="shared" si="15"/>
        <v>70.184655249991835</v>
      </c>
      <c r="AH508" s="22">
        <f>AC508-AE508</f>
        <v>-4.8363148503945297</v>
      </c>
    </row>
    <row r="509" spans="1:34" x14ac:dyDescent="0.25">
      <c r="A509" s="1">
        <f>DATEVALUE(Sheet1!A508)</f>
        <v>45303</v>
      </c>
      <c r="B509" s="2">
        <f>VALUE(Sheet1!B508)</f>
        <v>67.239999999999995</v>
      </c>
      <c r="C509" s="9">
        <f>(B509-B508)/B508</f>
        <v>-1.1176470588235369E-2</v>
      </c>
      <c r="D509" s="2">
        <f>MAX(D508,B509)</f>
        <v>103.9</v>
      </c>
      <c r="E509" s="9">
        <f>(B509-D509)/D509</f>
        <v>-0.35283926852743031</v>
      </c>
      <c r="AB509" s="1">
        <f>A509</f>
        <v>45303</v>
      </c>
      <c r="AC509" s="2">
        <f>B509</f>
        <v>67.239999999999995</v>
      </c>
      <c r="AD509" s="2">
        <f>507</f>
        <v>507</v>
      </c>
      <c r="AE509" s="2">
        <f>INTERCEPT($AC$3:$AC$1136,$AD$3:$AD$1136)+SLOPE($AC$3:$AC$1136,$AD$3:$AD$1136)*AD509</f>
        <v>72.817602886982073</v>
      </c>
      <c r="AF509" s="2">
        <f t="shared" si="14"/>
        <v>75.469262487384768</v>
      </c>
      <c r="AG509" s="2">
        <f t="shared" si="15"/>
        <v>70.165943286579378</v>
      </c>
      <c r="AH509" s="22">
        <f>AC509-AE509</f>
        <v>-5.5776028869820777</v>
      </c>
    </row>
    <row r="510" spans="1:34" x14ac:dyDescent="0.25">
      <c r="A510" s="1">
        <f>DATEVALUE(Sheet1!A509)</f>
        <v>45306</v>
      </c>
      <c r="B510" s="2">
        <f>VALUE(Sheet1!B509)</f>
        <v>66.08</v>
      </c>
      <c r="C510" s="9">
        <f>(B510-B509)/B509</f>
        <v>-1.7251635930993405E-2</v>
      </c>
      <c r="D510" s="2">
        <f>MAX(D509,B510)</f>
        <v>103.9</v>
      </c>
      <c r="E510" s="9">
        <f>(B510-D510)/D510</f>
        <v>-0.36400384985563045</v>
      </c>
      <c r="AB510" s="1">
        <f>A510</f>
        <v>45306</v>
      </c>
      <c r="AC510" s="2">
        <f>B510</f>
        <v>66.08</v>
      </c>
      <c r="AD510" s="2">
        <f>508</f>
        <v>508</v>
      </c>
      <c r="AE510" s="2">
        <f>INTERCEPT($AC$3:$AC$1136,$AD$3:$AD$1136)+SLOPE($AC$3:$AC$1136,$AD$3:$AD$1136)*AD510</f>
        <v>72.79889092356963</v>
      </c>
      <c r="AF510" s="2">
        <f t="shared" si="14"/>
        <v>75.450550523972325</v>
      </c>
      <c r="AG510" s="2">
        <f t="shared" si="15"/>
        <v>70.147231323166935</v>
      </c>
      <c r="AH510" s="22">
        <f>AC510-AE510</f>
        <v>-6.7188909235696315</v>
      </c>
    </row>
    <row r="511" spans="1:34" x14ac:dyDescent="0.25">
      <c r="A511" s="1">
        <f>DATEVALUE(Sheet1!A510)</f>
        <v>45307</v>
      </c>
      <c r="B511" s="2">
        <f>VALUE(Sheet1!B510)</f>
        <v>65.53</v>
      </c>
      <c r="C511" s="9">
        <f>(B511-B510)/B510</f>
        <v>-8.3232445520580681E-3</v>
      </c>
      <c r="D511" s="2">
        <f>MAX(D510,B511)</f>
        <v>103.9</v>
      </c>
      <c r="E511" s="9">
        <f>(B511-D511)/D511</f>
        <v>-0.36929740134744948</v>
      </c>
      <c r="AB511" s="1">
        <f>A511</f>
        <v>45307</v>
      </c>
      <c r="AC511" s="2">
        <f>B511</f>
        <v>65.53</v>
      </c>
      <c r="AD511" s="2">
        <f>509</f>
        <v>509</v>
      </c>
      <c r="AE511" s="2">
        <f>INTERCEPT($AC$3:$AC$1136,$AD$3:$AD$1136)+SLOPE($AC$3:$AC$1136,$AD$3:$AD$1136)*AD511</f>
        <v>72.780178960157187</v>
      </c>
      <c r="AF511" s="2">
        <f t="shared" si="14"/>
        <v>75.431838560559882</v>
      </c>
      <c r="AG511" s="2">
        <f t="shared" si="15"/>
        <v>70.128519359754492</v>
      </c>
      <c r="AH511" s="22">
        <f>AC511-AE511</f>
        <v>-7.2501789601571858</v>
      </c>
    </row>
    <row r="512" spans="1:34" x14ac:dyDescent="0.25">
      <c r="A512" s="1">
        <f>DATEVALUE(Sheet1!A511)</f>
        <v>45308</v>
      </c>
      <c r="B512" s="2">
        <f>VALUE(Sheet1!B511)</f>
        <v>64.8</v>
      </c>
      <c r="C512" s="9">
        <f>(B512-B511)/B511</f>
        <v>-1.1139935907218129E-2</v>
      </c>
      <c r="D512" s="2">
        <f>MAX(D511,B512)</f>
        <v>103.9</v>
      </c>
      <c r="E512" s="9">
        <f>(B512-D512)/D512</f>
        <v>-0.37632338787295483</v>
      </c>
      <c r="AB512" s="1">
        <f>A512</f>
        <v>45308</v>
      </c>
      <c r="AC512" s="2">
        <f>B512</f>
        <v>64.8</v>
      </c>
      <c r="AD512" s="2">
        <f>510</f>
        <v>510</v>
      </c>
      <c r="AE512" s="2">
        <f>INTERCEPT($AC$3:$AC$1136,$AD$3:$AD$1136)+SLOPE($AC$3:$AC$1136,$AD$3:$AD$1136)*AD512</f>
        <v>72.76146699674473</v>
      </c>
      <c r="AF512" s="2">
        <f t="shared" si="14"/>
        <v>75.413126597147425</v>
      </c>
      <c r="AG512" s="2">
        <f t="shared" si="15"/>
        <v>70.109807396342035</v>
      </c>
      <c r="AH512" s="22">
        <f>AC512-AE512</f>
        <v>-7.9614669967447327</v>
      </c>
    </row>
    <row r="513" spans="1:34" x14ac:dyDescent="0.25">
      <c r="A513" s="1">
        <f>DATEVALUE(Sheet1!A512)</f>
        <v>45309</v>
      </c>
      <c r="B513" s="2">
        <f>VALUE(Sheet1!B512)</f>
        <v>64.09</v>
      </c>
      <c r="C513" s="9">
        <f>(B513-B512)/B512</f>
        <v>-1.0956790123456694E-2</v>
      </c>
      <c r="D513" s="2">
        <f>MAX(D512,B513)</f>
        <v>103.9</v>
      </c>
      <c r="E513" s="9">
        <f>(B513-D513)/D513</f>
        <v>-0.38315688161693939</v>
      </c>
      <c r="AB513" s="1">
        <f>A513</f>
        <v>45309</v>
      </c>
      <c r="AC513" s="2">
        <f>B513</f>
        <v>64.09</v>
      </c>
      <c r="AD513" s="2">
        <f>511</f>
        <v>511</v>
      </c>
      <c r="AE513" s="2">
        <f>INTERCEPT($AC$3:$AC$1136,$AD$3:$AD$1136)+SLOPE($AC$3:$AC$1136,$AD$3:$AD$1136)*AD513</f>
        <v>72.742755033332287</v>
      </c>
      <c r="AF513" s="2">
        <f t="shared" si="14"/>
        <v>75.394414633734982</v>
      </c>
      <c r="AG513" s="2">
        <f t="shared" si="15"/>
        <v>70.091095432929592</v>
      </c>
      <c r="AH513" s="22">
        <f>AC513-AE513</f>
        <v>-8.6527550333322836</v>
      </c>
    </row>
    <row r="514" spans="1:34" x14ac:dyDescent="0.25">
      <c r="A514" s="1">
        <f>DATEVALUE(Sheet1!A513)</f>
        <v>45310</v>
      </c>
      <c r="B514" s="2">
        <f>VALUE(Sheet1!B513)</f>
        <v>63</v>
      </c>
      <c r="C514" s="9">
        <f>(B514-B513)/B513</f>
        <v>-1.7007333437353774E-2</v>
      </c>
      <c r="D514" s="2">
        <f>MAX(D513,B514)</f>
        <v>103.9</v>
      </c>
      <c r="E514" s="9">
        <f>(B514-D514)/D514</f>
        <v>-0.39364773820981719</v>
      </c>
      <c r="AB514" s="1">
        <f>A514</f>
        <v>45310</v>
      </c>
      <c r="AC514" s="2">
        <f>B514</f>
        <v>63</v>
      </c>
      <c r="AD514" s="2">
        <f>512</f>
        <v>512</v>
      </c>
      <c r="AE514" s="2">
        <f>INTERCEPT($AC$3:$AC$1136,$AD$3:$AD$1136)+SLOPE($AC$3:$AC$1136,$AD$3:$AD$1136)*AD514</f>
        <v>72.724043069919844</v>
      </c>
      <c r="AF514" s="2">
        <f t="shared" si="14"/>
        <v>75.375702670322539</v>
      </c>
      <c r="AG514" s="2">
        <f t="shared" si="15"/>
        <v>70.072383469517149</v>
      </c>
      <c r="AH514" s="22">
        <f>AC514-AE514</f>
        <v>-9.7240430699198441</v>
      </c>
    </row>
    <row r="515" spans="1:34" x14ac:dyDescent="0.25">
      <c r="A515" s="1">
        <f>DATEVALUE(Sheet1!A514)</f>
        <v>45313</v>
      </c>
      <c r="B515" s="2">
        <f>VALUE(Sheet1!B514)</f>
        <v>62.28</v>
      </c>
      <c r="C515" s="9">
        <f>(B515-B514)/B514</f>
        <v>-1.1428571428571411E-2</v>
      </c>
      <c r="D515" s="2">
        <f>MAX(D514,B515)</f>
        <v>103.9</v>
      </c>
      <c r="E515" s="9">
        <f>(B515-D515)/D515</f>
        <v>-0.40057747834456209</v>
      </c>
      <c r="AB515" s="1">
        <f>A515</f>
        <v>45313</v>
      </c>
      <c r="AC515" s="2">
        <f>B515</f>
        <v>62.28</v>
      </c>
      <c r="AD515" s="2">
        <f>513</f>
        <v>513</v>
      </c>
      <c r="AE515" s="2">
        <f>INTERCEPT($AC$3:$AC$1136,$AD$3:$AD$1136)+SLOPE($AC$3:$AC$1136,$AD$3:$AD$1136)*AD515</f>
        <v>72.705331106507401</v>
      </c>
      <c r="AF515" s="2">
        <f t="shared" si="14"/>
        <v>75.356990706910096</v>
      </c>
      <c r="AG515" s="2">
        <f t="shared" si="15"/>
        <v>70.053671506104706</v>
      </c>
      <c r="AH515" s="22">
        <f>AC515-AE515</f>
        <v>-10.4253311065074</v>
      </c>
    </row>
    <row r="516" spans="1:34" x14ac:dyDescent="0.25">
      <c r="A516" s="1">
        <f>DATEVALUE(Sheet1!A515)</f>
        <v>45314</v>
      </c>
      <c r="B516" s="2">
        <f>VALUE(Sheet1!B515)</f>
        <v>62.11</v>
      </c>
      <c r="C516" s="9">
        <f>(B516-B515)/B515</f>
        <v>-2.7296082209377279E-3</v>
      </c>
      <c r="D516" s="2">
        <f>MAX(D515,B516)</f>
        <v>103.9</v>
      </c>
      <c r="E516" s="9">
        <f>(B516-D516)/D516</f>
        <v>-0.40221366698748801</v>
      </c>
      <c r="AB516" s="1">
        <f>A516</f>
        <v>45314</v>
      </c>
      <c r="AC516" s="2">
        <f>B516</f>
        <v>62.11</v>
      </c>
      <c r="AD516" s="2">
        <f>514</f>
        <v>514</v>
      </c>
      <c r="AE516" s="2">
        <f>INTERCEPT($AC$3:$AC$1136,$AD$3:$AD$1136)+SLOPE($AC$3:$AC$1136,$AD$3:$AD$1136)*AD516</f>
        <v>72.686619143094958</v>
      </c>
      <c r="AF516" s="2">
        <f t="shared" ref="AF516:AF579" si="16">AE516+$AJ$5*$AJ$4</f>
        <v>75.338278743497654</v>
      </c>
      <c r="AG516" s="2">
        <f t="shared" ref="AG516:AG579" si="17">AE516-$AJ$5*$AJ$4</f>
        <v>70.034959542692263</v>
      </c>
      <c r="AH516" s="22">
        <f>AC516-AE516</f>
        <v>-10.576619143094959</v>
      </c>
    </row>
    <row r="517" spans="1:34" x14ac:dyDescent="0.25">
      <c r="A517" s="1">
        <f>DATEVALUE(Sheet1!A516)</f>
        <v>45315</v>
      </c>
      <c r="B517" s="2">
        <f>VALUE(Sheet1!B516)</f>
        <v>62.64</v>
      </c>
      <c r="C517" s="9">
        <f>(B517-B516)/B516</f>
        <v>8.5332474641764793E-3</v>
      </c>
      <c r="D517" s="2">
        <f>MAX(D516,B517)</f>
        <v>103.9</v>
      </c>
      <c r="E517" s="9">
        <f>(B517-D517)/D517</f>
        <v>-0.39711260827718964</v>
      </c>
      <c r="AB517" s="1">
        <f>A517</f>
        <v>45315</v>
      </c>
      <c r="AC517" s="2">
        <f>B517</f>
        <v>62.64</v>
      </c>
      <c r="AD517" s="2">
        <f>515</f>
        <v>515</v>
      </c>
      <c r="AE517" s="2">
        <f>INTERCEPT($AC$3:$AC$1136,$AD$3:$AD$1136)+SLOPE($AC$3:$AC$1136,$AD$3:$AD$1136)*AD517</f>
        <v>72.667907179682501</v>
      </c>
      <c r="AF517" s="2">
        <f t="shared" si="16"/>
        <v>75.319566780085196</v>
      </c>
      <c r="AG517" s="2">
        <f t="shared" si="17"/>
        <v>70.016247579279806</v>
      </c>
      <c r="AH517" s="22">
        <f>AC517-AE517</f>
        <v>-10.027907179682501</v>
      </c>
    </row>
    <row r="518" spans="1:34" x14ac:dyDescent="0.25">
      <c r="A518" s="1">
        <f>DATEVALUE(Sheet1!A517)</f>
        <v>45316</v>
      </c>
      <c r="B518" s="2">
        <f>VALUE(Sheet1!B517)</f>
        <v>62.24</v>
      </c>
      <c r="C518" s="9">
        <f>(B518-B517)/B517</f>
        <v>-6.3856960408684316E-3</v>
      </c>
      <c r="D518" s="2">
        <f>MAX(D517,B518)</f>
        <v>103.9</v>
      </c>
      <c r="E518" s="9">
        <f>(B518-D518)/D518</f>
        <v>-0.40096246390760348</v>
      </c>
      <c r="AB518" s="1">
        <f>A518</f>
        <v>45316</v>
      </c>
      <c r="AC518" s="2">
        <f>B518</f>
        <v>62.24</v>
      </c>
      <c r="AD518" s="2">
        <f>516</f>
        <v>516</v>
      </c>
      <c r="AE518" s="2">
        <f>INTERCEPT($AC$3:$AC$1136,$AD$3:$AD$1136)+SLOPE($AC$3:$AC$1136,$AD$3:$AD$1136)*AD518</f>
        <v>72.649195216270058</v>
      </c>
      <c r="AF518" s="2">
        <f t="shared" si="16"/>
        <v>75.300854816672754</v>
      </c>
      <c r="AG518" s="2">
        <f t="shared" si="17"/>
        <v>69.997535615867363</v>
      </c>
      <c r="AH518" s="22">
        <f>AC518-AE518</f>
        <v>-10.409195216270057</v>
      </c>
    </row>
    <row r="519" spans="1:34" x14ac:dyDescent="0.25">
      <c r="A519" s="1">
        <f>DATEVALUE(Sheet1!A518)</f>
        <v>45317</v>
      </c>
      <c r="B519" s="2">
        <f>VALUE(Sheet1!B518)</f>
        <v>61.95</v>
      </c>
      <c r="C519" s="9">
        <f>(B519-B518)/B518</f>
        <v>-4.6593830334190093E-3</v>
      </c>
      <c r="D519" s="2">
        <f>MAX(D518,B519)</f>
        <v>103.9</v>
      </c>
      <c r="E519" s="9">
        <f>(B519-D519)/D519</f>
        <v>-0.40375360923965353</v>
      </c>
      <c r="AB519" s="1">
        <f>A519</f>
        <v>45317</v>
      </c>
      <c r="AC519" s="2">
        <f>B519</f>
        <v>61.95</v>
      </c>
      <c r="AD519" s="2">
        <f>517</f>
        <v>517</v>
      </c>
      <c r="AE519" s="2">
        <f>INTERCEPT($AC$3:$AC$1136,$AD$3:$AD$1136)+SLOPE($AC$3:$AC$1136,$AD$3:$AD$1136)*AD519</f>
        <v>72.630483252857616</v>
      </c>
      <c r="AF519" s="2">
        <f t="shared" si="16"/>
        <v>75.282142853260311</v>
      </c>
      <c r="AG519" s="2">
        <f t="shared" si="17"/>
        <v>69.978823652454921</v>
      </c>
      <c r="AH519" s="22">
        <f>AC519-AE519</f>
        <v>-10.680483252857613</v>
      </c>
    </row>
    <row r="520" spans="1:34" x14ac:dyDescent="0.25">
      <c r="A520" s="1">
        <f>DATEVALUE(Sheet1!A519)</f>
        <v>45320</v>
      </c>
      <c r="B520" s="2">
        <f>VALUE(Sheet1!B519)</f>
        <v>62.15</v>
      </c>
      <c r="C520" s="9">
        <f>(B520-B519)/B519</f>
        <v>3.2284100080709559E-3</v>
      </c>
      <c r="D520" s="2">
        <f>MAX(D519,B520)</f>
        <v>103.9</v>
      </c>
      <c r="E520" s="9">
        <f>(B520-D520)/D520</f>
        <v>-0.40182868142444661</v>
      </c>
      <c r="AB520" s="1">
        <f>A520</f>
        <v>45320</v>
      </c>
      <c r="AC520" s="2">
        <f>B520</f>
        <v>62.15</v>
      </c>
      <c r="AD520" s="2">
        <f>518</f>
        <v>518</v>
      </c>
      <c r="AE520" s="2">
        <f>INTERCEPT($AC$3:$AC$1136,$AD$3:$AD$1136)+SLOPE($AC$3:$AC$1136,$AD$3:$AD$1136)*AD520</f>
        <v>72.611771289445159</v>
      </c>
      <c r="AF520" s="2">
        <f t="shared" si="16"/>
        <v>75.263430889847854</v>
      </c>
      <c r="AG520" s="2">
        <f t="shared" si="17"/>
        <v>69.960111689042463</v>
      </c>
      <c r="AH520" s="22">
        <f>AC520-AE520</f>
        <v>-10.46177128944516</v>
      </c>
    </row>
    <row r="521" spans="1:34" x14ac:dyDescent="0.25">
      <c r="A521" s="1">
        <f>DATEVALUE(Sheet1!A520)</f>
        <v>45321</v>
      </c>
      <c r="B521" s="2">
        <f>VALUE(Sheet1!B520)</f>
        <v>62.81</v>
      </c>
      <c r="C521" s="9">
        <f>(B521-B520)/B520</f>
        <v>1.0619469026548731E-2</v>
      </c>
      <c r="D521" s="2">
        <f>MAX(D520,B521)</f>
        <v>103.9</v>
      </c>
      <c r="E521" s="9">
        <f>(B521-D521)/D521</f>
        <v>-0.39547641963426372</v>
      </c>
      <c r="AB521" s="1">
        <f>A521</f>
        <v>45321</v>
      </c>
      <c r="AC521" s="2">
        <f>B521</f>
        <v>62.81</v>
      </c>
      <c r="AD521" s="2">
        <f>519</f>
        <v>519</v>
      </c>
      <c r="AE521" s="2">
        <f>INTERCEPT($AC$3:$AC$1136,$AD$3:$AD$1136)+SLOPE($AC$3:$AC$1136,$AD$3:$AD$1136)*AD521</f>
        <v>72.593059326032716</v>
      </c>
      <c r="AF521" s="2">
        <f t="shared" si="16"/>
        <v>75.244718926435411</v>
      </c>
      <c r="AG521" s="2">
        <f t="shared" si="17"/>
        <v>69.941399725630021</v>
      </c>
      <c r="AH521" s="22">
        <f>AC521-AE521</f>
        <v>-9.7830593260327134</v>
      </c>
    </row>
    <row r="522" spans="1:34" x14ac:dyDescent="0.25">
      <c r="A522" s="1">
        <f>DATEVALUE(Sheet1!A521)</f>
        <v>45322</v>
      </c>
      <c r="B522" s="2">
        <f>VALUE(Sheet1!B521)</f>
        <v>62.34</v>
      </c>
      <c r="C522" s="9">
        <f>(B522-B521)/B521</f>
        <v>-7.4828848909409143E-3</v>
      </c>
      <c r="D522" s="2">
        <f>MAX(D521,B522)</f>
        <v>103.9</v>
      </c>
      <c r="E522" s="9">
        <f>(B522-D522)/D522</f>
        <v>-0.4</v>
      </c>
      <c r="AB522" s="1">
        <f>A522</f>
        <v>45322</v>
      </c>
      <c r="AC522" s="2">
        <f>B522</f>
        <v>62.34</v>
      </c>
      <c r="AD522" s="2">
        <f>520</f>
        <v>520</v>
      </c>
      <c r="AE522" s="2">
        <f>INTERCEPT($AC$3:$AC$1136,$AD$3:$AD$1136)+SLOPE($AC$3:$AC$1136,$AD$3:$AD$1136)*AD522</f>
        <v>72.574347362620273</v>
      </c>
      <c r="AF522" s="2">
        <f t="shared" si="16"/>
        <v>75.226006963022968</v>
      </c>
      <c r="AG522" s="2">
        <f t="shared" si="17"/>
        <v>69.922687762217578</v>
      </c>
      <c r="AH522" s="22">
        <f>AC522-AE522</f>
        <v>-10.234347362620269</v>
      </c>
    </row>
    <row r="523" spans="1:34" x14ac:dyDescent="0.25">
      <c r="A523" s="1">
        <f>DATEVALUE(Sheet1!A522)</f>
        <v>45323</v>
      </c>
      <c r="B523" s="2">
        <f>VALUE(Sheet1!B522)</f>
        <v>61.45</v>
      </c>
      <c r="C523" s="9">
        <f>(B523-B522)/B522</f>
        <v>-1.4276547962784738E-2</v>
      </c>
      <c r="D523" s="2">
        <f>MAX(D522,B523)</f>
        <v>103.9</v>
      </c>
      <c r="E523" s="9">
        <f>(B523-D523)/D523</f>
        <v>-0.40856592877767084</v>
      </c>
      <c r="AB523" s="1">
        <f>A523</f>
        <v>45323</v>
      </c>
      <c r="AC523" s="2">
        <f>B523</f>
        <v>61.45</v>
      </c>
      <c r="AD523" s="2">
        <f>521</f>
        <v>521</v>
      </c>
      <c r="AE523" s="2">
        <f>INTERCEPT($AC$3:$AC$1136,$AD$3:$AD$1136)+SLOPE($AC$3:$AC$1136,$AD$3:$AD$1136)*AD523</f>
        <v>72.55563539920783</v>
      </c>
      <c r="AF523" s="2">
        <f t="shared" si="16"/>
        <v>75.207294999610525</v>
      </c>
      <c r="AG523" s="2">
        <f t="shared" si="17"/>
        <v>69.903975798805135</v>
      </c>
      <c r="AH523" s="22">
        <f>AC523-AE523</f>
        <v>-11.105635399207827</v>
      </c>
    </row>
    <row r="524" spans="1:34" x14ac:dyDescent="0.25">
      <c r="A524" s="1">
        <f>DATEVALUE(Sheet1!A523)</f>
        <v>45324</v>
      </c>
      <c r="B524" s="2">
        <f>VALUE(Sheet1!B523)</f>
        <v>62.13</v>
      </c>
      <c r="C524" s="9">
        <f>(B524-B523)/B523</f>
        <v>1.1065907241659881E-2</v>
      </c>
      <c r="D524" s="2">
        <f>MAX(D523,B524)</f>
        <v>103.9</v>
      </c>
      <c r="E524" s="9">
        <f>(B524-D524)/D524</f>
        <v>-0.40202117420596728</v>
      </c>
      <c r="AB524" s="1">
        <f>A524</f>
        <v>45324</v>
      </c>
      <c r="AC524" s="2">
        <f>B524</f>
        <v>62.13</v>
      </c>
      <c r="AD524" s="2">
        <f>522</f>
        <v>522</v>
      </c>
      <c r="AE524" s="2">
        <f>INTERCEPT($AC$3:$AC$1136,$AD$3:$AD$1136)+SLOPE($AC$3:$AC$1136,$AD$3:$AD$1136)*AD524</f>
        <v>72.536923435795373</v>
      </c>
      <c r="AF524" s="2">
        <f t="shared" si="16"/>
        <v>75.188583036198068</v>
      </c>
      <c r="AG524" s="2">
        <f t="shared" si="17"/>
        <v>69.885263835392678</v>
      </c>
      <c r="AH524" s="22">
        <f>AC524-AE524</f>
        <v>-10.40692343579537</v>
      </c>
    </row>
    <row r="525" spans="1:34" x14ac:dyDescent="0.25">
      <c r="A525" s="1">
        <f>DATEVALUE(Sheet1!A524)</f>
        <v>45327</v>
      </c>
      <c r="B525" s="2">
        <f>VALUE(Sheet1!B524)</f>
        <v>62.72</v>
      </c>
      <c r="C525" s="9">
        <f>(B525-B524)/B524</f>
        <v>9.4962176082407264E-3</v>
      </c>
      <c r="D525" s="2">
        <f>MAX(D524,B525)</f>
        <v>103.9</v>
      </c>
      <c r="E525" s="9">
        <f>(B525-D525)/D525</f>
        <v>-0.3963426371511069</v>
      </c>
      <c r="AB525" s="1">
        <f>A525</f>
        <v>45327</v>
      </c>
      <c r="AC525" s="2">
        <f>B525</f>
        <v>62.72</v>
      </c>
      <c r="AD525" s="2">
        <f>523</f>
        <v>523</v>
      </c>
      <c r="AE525" s="2">
        <f>INTERCEPT($AC$3:$AC$1136,$AD$3:$AD$1136)+SLOPE($AC$3:$AC$1136,$AD$3:$AD$1136)*AD525</f>
        <v>72.51821147238293</v>
      </c>
      <c r="AF525" s="2">
        <f t="shared" si="16"/>
        <v>75.169871072785625</v>
      </c>
      <c r="AG525" s="2">
        <f t="shared" si="17"/>
        <v>69.866551871980235</v>
      </c>
      <c r="AH525" s="22">
        <f>AC525-AE525</f>
        <v>-9.7982114723829312</v>
      </c>
    </row>
    <row r="526" spans="1:34" x14ac:dyDescent="0.25">
      <c r="A526" s="1">
        <f>DATEVALUE(Sheet1!A525)</f>
        <v>45328</v>
      </c>
      <c r="B526" s="2">
        <f>VALUE(Sheet1!B525)</f>
        <v>62.82</v>
      </c>
      <c r="C526" s="9">
        <f>(B526-B525)/B525</f>
        <v>1.5943877551020634E-3</v>
      </c>
      <c r="D526" s="2">
        <f>MAX(D525,B526)</f>
        <v>103.9</v>
      </c>
      <c r="E526" s="9">
        <f>(B526-D526)/D526</f>
        <v>-0.39538017324350339</v>
      </c>
      <c r="AB526" s="1">
        <f>A526</f>
        <v>45328</v>
      </c>
      <c r="AC526" s="2">
        <f>B526</f>
        <v>62.82</v>
      </c>
      <c r="AD526" s="2">
        <f>524</f>
        <v>524</v>
      </c>
      <c r="AE526" s="2">
        <f>INTERCEPT($AC$3:$AC$1136,$AD$3:$AD$1136)+SLOPE($AC$3:$AC$1136,$AD$3:$AD$1136)*AD526</f>
        <v>72.499499508970487</v>
      </c>
      <c r="AF526" s="2">
        <f t="shared" si="16"/>
        <v>75.151159109373182</v>
      </c>
      <c r="AG526" s="2">
        <f t="shared" si="17"/>
        <v>69.847839908567792</v>
      </c>
      <c r="AH526" s="22">
        <f>AC526-AE526</f>
        <v>-9.6794995089704869</v>
      </c>
    </row>
    <row r="527" spans="1:34" x14ac:dyDescent="0.25">
      <c r="A527" s="1">
        <f>DATEVALUE(Sheet1!A526)</f>
        <v>45329</v>
      </c>
      <c r="B527" s="2">
        <f>VALUE(Sheet1!B526)</f>
        <v>63.28</v>
      </c>
      <c r="C527" s="9">
        <f>(B527-B526)/B526</f>
        <v>7.3225087551735254E-3</v>
      </c>
      <c r="D527" s="2">
        <f>MAX(D526,B527)</f>
        <v>103.9</v>
      </c>
      <c r="E527" s="9">
        <f>(B527-D527)/D527</f>
        <v>-0.39095283926852747</v>
      </c>
      <c r="AB527" s="1">
        <f>A527</f>
        <v>45329</v>
      </c>
      <c r="AC527" s="2">
        <f>B527</f>
        <v>63.28</v>
      </c>
      <c r="AD527" s="2">
        <f>525</f>
        <v>525</v>
      </c>
      <c r="AE527" s="2">
        <f>INTERCEPT($AC$3:$AC$1136,$AD$3:$AD$1136)+SLOPE($AC$3:$AC$1136,$AD$3:$AD$1136)*AD527</f>
        <v>72.48078754555803</v>
      </c>
      <c r="AF527" s="2">
        <f t="shared" si="16"/>
        <v>75.132447145960725</v>
      </c>
      <c r="AG527" s="2">
        <f t="shared" si="17"/>
        <v>69.829127945155335</v>
      </c>
      <c r="AH527" s="22">
        <f>AC527-AE527</f>
        <v>-9.200787545558029</v>
      </c>
    </row>
    <row r="528" spans="1:34" x14ac:dyDescent="0.25">
      <c r="A528" s="1">
        <f>DATEVALUE(Sheet1!A527)</f>
        <v>45330</v>
      </c>
      <c r="B528" s="2">
        <f>VALUE(Sheet1!B527)</f>
        <v>62.71</v>
      </c>
      <c r="C528" s="9">
        <f>(B528-B527)/B527</f>
        <v>-9.0075853350189677E-3</v>
      </c>
      <c r="D528" s="2">
        <f>MAX(D527,B528)</f>
        <v>103.9</v>
      </c>
      <c r="E528" s="9">
        <f>(B528-D528)/D528</f>
        <v>-0.39643888354186718</v>
      </c>
      <c r="AB528" s="1">
        <f>A528</f>
        <v>45330</v>
      </c>
      <c r="AC528" s="2">
        <f>B528</f>
        <v>62.71</v>
      </c>
      <c r="AD528" s="2">
        <f>526</f>
        <v>526</v>
      </c>
      <c r="AE528" s="2">
        <f>INTERCEPT($AC$3:$AC$1136,$AD$3:$AD$1136)+SLOPE($AC$3:$AC$1136,$AD$3:$AD$1136)*AD528</f>
        <v>72.462075582145587</v>
      </c>
      <c r="AF528" s="2">
        <f t="shared" si="16"/>
        <v>75.113735182548282</v>
      </c>
      <c r="AG528" s="2">
        <f t="shared" si="17"/>
        <v>69.810415981742892</v>
      </c>
      <c r="AH528" s="22">
        <f>AC528-AE528</f>
        <v>-9.7520755821455865</v>
      </c>
    </row>
    <row r="529" spans="1:34" x14ac:dyDescent="0.25">
      <c r="A529" s="1">
        <f>DATEVALUE(Sheet1!A528)</f>
        <v>45331</v>
      </c>
      <c r="B529" s="2">
        <f>VALUE(Sheet1!B528)</f>
        <v>62.17</v>
      </c>
      <c r="C529" s="9">
        <f>(B529-B528)/B528</f>
        <v>-8.611066815499906E-3</v>
      </c>
      <c r="D529" s="2">
        <f>MAX(D528,B529)</f>
        <v>103.9</v>
      </c>
      <c r="E529" s="9">
        <f>(B529-D529)/D529</f>
        <v>-0.40163618864292588</v>
      </c>
      <c r="AB529" s="1">
        <f>A529</f>
        <v>45331</v>
      </c>
      <c r="AC529" s="2">
        <f>B529</f>
        <v>62.17</v>
      </c>
      <c r="AD529" s="2">
        <f>527</f>
        <v>527</v>
      </c>
      <c r="AE529" s="2">
        <f>INTERCEPT($AC$3:$AC$1136,$AD$3:$AD$1136)+SLOPE($AC$3:$AC$1136,$AD$3:$AD$1136)*AD529</f>
        <v>72.443363618733144</v>
      </c>
      <c r="AF529" s="2">
        <f t="shared" si="16"/>
        <v>75.09502321913584</v>
      </c>
      <c r="AG529" s="2">
        <f t="shared" si="17"/>
        <v>69.791704018330449</v>
      </c>
      <c r="AH529" s="22">
        <f>AC529-AE529</f>
        <v>-10.273363618733143</v>
      </c>
    </row>
    <row r="530" spans="1:34" x14ac:dyDescent="0.25">
      <c r="A530" s="1">
        <f>DATEVALUE(Sheet1!A529)</f>
        <v>45336</v>
      </c>
      <c r="B530" s="2">
        <f>VALUE(Sheet1!B529)</f>
        <v>62.13</v>
      </c>
      <c r="C530" s="9">
        <f>(B530-B529)/B529</f>
        <v>-6.4339713688272714E-4</v>
      </c>
      <c r="D530" s="2">
        <f>MAX(D529,B530)</f>
        <v>103.9</v>
      </c>
      <c r="E530" s="9">
        <f>(B530-D530)/D530</f>
        <v>-0.40202117420596728</v>
      </c>
      <c r="AB530" s="1">
        <f>A530</f>
        <v>45336</v>
      </c>
      <c r="AC530" s="2">
        <f>B530</f>
        <v>62.13</v>
      </c>
      <c r="AD530" s="2">
        <f>528</f>
        <v>528</v>
      </c>
      <c r="AE530" s="2">
        <f>INTERCEPT($AC$3:$AC$1136,$AD$3:$AD$1136)+SLOPE($AC$3:$AC$1136,$AD$3:$AD$1136)*AD530</f>
        <v>72.424651655320702</v>
      </c>
      <c r="AF530" s="2">
        <f t="shared" si="16"/>
        <v>75.076311255723397</v>
      </c>
      <c r="AG530" s="2">
        <f t="shared" si="17"/>
        <v>69.772992054918006</v>
      </c>
      <c r="AH530" s="22">
        <f>AC530-AE530</f>
        <v>-10.294651655320699</v>
      </c>
    </row>
    <row r="531" spans="1:34" x14ac:dyDescent="0.25">
      <c r="A531" s="1">
        <f>DATEVALUE(Sheet1!A530)</f>
        <v>45337</v>
      </c>
      <c r="B531" s="2">
        <f>VALUE(Sheet1!B530)</f>
        <v>62.12</v>
      </c>
      <c r="C531" s="9">
        <f>(B531-B530)/B530</f>
        <v>-1.6095284081772278E-4</v>
      </c>
      <c r="D531" s="2">
        <f>MAX(D530,B531)</f>
        <v>103.9</v>
      </c>
      <c r="E531" s="9">
        <f>(B531-D531)/D531</f>
        <v>-0.40211742059672767</v>
      </c>
      <c r="AB531" s="1">
        <f>A531</f>
        <v>45337</v>
      </c>
      <c r="AC531" s="2">
        <f>B531</f>
        <v>62.12</v>
      </c>
      <c r="AD531" s="2">
        <f>529</f>
        <v>529</v>
      </c>
      <c r="AE531" s="2">
        <f>INTERCEPT($AC$3:$AC$1136,$AD$3:$AD$1136)+SLOPE($AC$3:$AC$1136,$AD$3:$AD$1136)*AD531</f>
        <v>72.405939691908245</v>
      </c>
      <c r="AF531" s="2">
        <f t="shared" si="16"/>
        <v>75.05759929231094</v>
      </c>
      <c r="AG531" s="2">
        <f t="shared" si="17"/>
        <v>69.754280091505549</v>
      </c>
      <c r="AH531" s="22">
        <f>AC531-AE531</f>
        <v>-10.285939691908247</v>
      </c>
    </row>
    <row r="532" spans="1:34" x14ac:dyDescent="0.25">
      <c r="A532" s="1">
        <f>DATEVALUE(Sheet1!A531)</f>
        <v>45338</v>
      </c>
      <c r="B532" s="2">
        <f>VALUE(Sheet1!B531)</f>
        <v>62.47</v>
      </c>
      <c r="C532" s="9">
        <f>(B532-B531)/B531</f>
        <v>5.6342562781713044E-3</v>
      </c>
      <c r="D532" s="2">
        <f>MAX(D531,B532)</f>
        <v>103.9</v>
      </c>
      <c r="E532" s="9">
        <f>(B532-D532)/D532</f>
        <v>-0.39874879692011556</v>
      </c>
      <c r="AB532" s="1">
        <f>A532</f>
        <v>45338</v>
      </c>
      <c r="AC532" s="2">
        <f>B532</f>
        <v>62.47</v>
      </c>
      <c r="AD532" s="2">
        <f>530</f>
        <v>530</v>
      </c>
      <c r="AE532" s="2">
        <f>INTERCEPT($AC$3:$AC$1136,$AD$3:$AD$1136)+SLOPE($AC$3:$AC$1136,$AD$3:$AD$1136)*AD532</f>
        <v>72.387227728495802</v>
      </c>
      <c r="AF532" s="2">
        <f t="shared" si="16"/>
        <v>75.038887328898497</v>
      </c>
      <c r="AG532" s="2">
        <f t="shared" si="17"/>
        <v>69.735568128093107</v>
      </c>
      <c r="AH532" s="22">
        <f>AC532-AE532</f>
        <v>-9.9172277284958028</v>
      </c>
    </row>
    <row r="533" spans="1:34" x14ac:dyDescent="0.25">
      <c r="A533" s="1">
        <f>DATEVALUE(Sheet1!A532)</f>
        <v>45341</v>
      </c>
      <c r="B533" s="2">
        <f>VALUE(Sheet1!B532)</f>
        <v>62.57</v>
      </c>
      <c r="C533" s="9">
        <f>(B533-B532)/B532</f>
        <v>1.600768368817055E-3</v>
      </c>
      <c r="D533" s="2">
        <f>MAX(D532,B533)</f>
        <v>103.9</v>
      </c>
      <c r="E533" s="9">
        <f>(B533-D533)/D533</f>
        <v>-0.39778633301251204</v>
      </c>
      <c r="AB533" s="1">
        <f>A533</f>
        <v>45341</v>
      </c>
      <c r="AC533" s="2">
        <f>B533</f>
        <v>62.57</v>
      </c>
      <c r="AD533" s="2">
        <f>531</f>
        <v>531</v>
      </c>
      <c r="AE533" s="2">
        <f>INTERCEPT($AC$3:$AC$1136,$AD$3:$AD$1136)+SLOPE($AC$3:$AC$1136,$AD$3:$AD$1136)*AD533</f>
        <v>72.368515765083359</v>
      </c>
      <c r="AF533" s="2">
        <f t="shared" si="16"/>
        <v>75.020175365486054</v>
      </c>
      <c r="AG533" s="2">
        <f t="shared" si="17"/>
        <v>69.716856164680664</v>
      </c>
      <c r="AH533" s="22">
        <f>AC533-AE533</f>
        <v>-9.7985157650833585</v>
      </c>
    </row>
    <row r="534" spans="1:34" x14ac:dyDescent="0.25">
      <c r="A534" s="1">
        <f>DATEVALUE(Sheet1!A533)</f>
        <v>45342</v>
      </c>
      <c r="B534" s="2">
        <f>VALUE(Sheet1!B533)</f>
        <v>62.85</v>
      </c>
      <c r="C534" s="9">
        <f>(B534-B533)/B533</f>
        <v>4.4749880134249825E-3</v>
      </c>
      <c r="D534" s="2">
        <f>MAX(D533,B534)</f>
        <v>103.9</v>
      </c>
      <c r="E534" s="9">
        <f>(B534-D534)/D534</f>
        <v>-0.39509143407122232</v>
      </c>
      <c r="AB534" s="1">
        <f>A534</f>
        <v>45342</v>
      </c>
      <c r="AC534" s="2">
        <f>B534</f>
        <v>62.85</v>
      </c>
      <c r="AD534" s="2">
        <f>532</f>
        <v>532</v>
      </c>
      <c r="AE534" s="2">
        <f>INTERCEPT($AC$3:$AC$1136,$AD$3:$AD$1136)+SLOPE($AC$3:$AC$1136,$AD$3:$AD$1136)*AD534</f>
        <v>72.349803801670916</v>
      </c>
      <c r="AF534" s="2">
        <f t="shared" si="16"/>
        <v>75.001463402073611</v>
      </c>
      <c r="AG534" s="2">
        <f t="shared" si="17"/>
        <v>69.698144201268221</v>
      </c>
      <c r="AH534" s="22">
        <f>AC534-AE534</f>
        <v>-9.4998038016709145</v>
      </c>
    </row>
    <row r="535" spans="1:34" x14ac:dyDescent="0.25">
      <c r="A535" s="1">
        <f>DATEVALUE(Sheet1!A534)</f>
        <v>45343</v>
      </c>
      <c r="B535" s="2">
        <f>VALUE(Sheet1!B534)</f>
        <v>63.11</v>
      </c>
      <c r="C535" s="9">
        <f>(B535-B534)/B534</f>
        <v>4.1368337311057761E-3</v>
      </c>
      <c r="D535" s="2">
        <f>MAX(D534,B535)</f>
        <v>103.9</v>
      </c>
      <c r="E535" s="9">
        <f>(B535-D535)/D535</f>
        <v>-0.39258902791145334</v>
      </c>
      <c r="AB535" s="1">
        <f>A535</f>
        <v>45343</v>
      </c>
      <c r="AC535" s="2">
        <f>B535</f>
        <v>63.11</v>
      </c>
      <c r="AD535" s="2">
        <f>533</f>
        <v>533</v>
      </c>
      <c r="AE535" s="2">
        <f>INTERCEPT($AC$3:$AC$1136,$AD$3:$AD$1136)+SLOPE($AC$3:$AC$1136,$AD$3:$AD$1136)*AD535</f>
        <v>72.331091838258459</v>
      </c>
      <c r="AF535" s="2">
        <f t="shared" si="16"/>
        <v>74.982751438661154</v>
      </c>
      <c r="AG535" s="2">
        <f t="shared" si="17"/>
        <v>69.679432237855764</v>
      </c>
      <c r="AH535" s="22">
        <f>AC535-AE535</f>
        <v>-9.2210918382584595</v>
      </c>
    </row>
    <row r="536" spans="1:34" x14ac:dyDescent="0.25">
      <c r="A536" s="1">
        <f>DATEVALUE(Sheet1!A535)</f>
        <v>45344</v>
      </c>
      <c r="B536" s="2">
        <f>VALUE(Sheet1!B535)</f>
        <v>62.87</v>
      </c>
      <c r="C536" s="9">
        <f>(B536-B535)/B535</f>
        <v>-3.8028838535890033E-3</v>
      </c>
      <c r="D536" s="2">
        <f>MAX(D535,B536)</f>
        <v>103.9</v>
      </c>
      <c r="E536" s="9">
        <f>(B536-D536)/D536</f>
        <v>-0.39489894128970171</v>
      </c>
      <c r="AB536" s="1">
        <f>A536</f>
        <v>45344</v>
      </c>
      <c r="AC536" s="2">
        <f>B536</f>
        <v>62.87</v>
      </c>
      <c r="AD536" s="2">
        <f>534</f>
        <v>534</v>
      </c>
      <c r="AE536" s="2">
        <f>INTERCEPT($AC$3:$AC$1136,$AD$3:$AD$1136)+SLOPE($AC$3:$AC$1136,$AD$3:$AD$1136)*AD536</f>
        <v>72.312379874846016</v>
      </c>
      <c r="AF536" s="2">
        <f t="shared" si="16"/>
        <v>74.964039475248711</v>
      </c>
      <c r="AG536" s="2">
        <f t="shared" si="17"/>
        <v>69.660720274443321</v>
      </c>
      <c r="AH536" s="22">
        <f>AC536-AE536</f>
        <v>-9.4423798748460186</v>
      </c>
    </row>
    <row r="537" spans="1:34" x14ac:dyDescent="0.25">
      <c r="A537" s="1">
        <f>DATEVALUE(Sheet1!A536)</f>
        <v>45345</v>
      </c>
      <c r="B537" s="2">
        <f>VALUE(Sheet1!B536)</f>
        <v>63.06</v>
      </c>
      <c r="C537" s="9">
        <f>(B537-B536)/B536</f>
        <v>3.0221091140449313E-3</v>
      </c>
      <c r="D537" s="2">
        <f>MAX(D536,B537)</f>
        <v>103.9</v>
      </c>
      <c r="E537" s="9">
        <f>(B537-D537)/D537</f>
        <v>-0.39307025986525507</v>
      </c>
      <c r="AB537" s="1">
        <f>A537</f>
        <v>45345</v>
      </c>
      <c r="AC537" s="2">
        <f>B537</f>
        <v>63.06</v>
      </c>
      <c r="AD537" s="2">
        <f>535</f>
        <v>535</v>
      </c>
      <c r="AE537" s="2">
        <f>INTERCEPT($AC$3:$AC$1136,$AD$3:$AD$1136)+SLOPE($AC$3:$AC$1136,$AD$3:$AD$1136)*AD537</f>
        <v>72.293667911433573</v>
      </c>
      <c r="AF537" s="2">
        <f t="shared" si="16"/>
        <v>74.945327511836268</v>
      </c>
      <c r="AG537" s="2">
        <f t="shared" si="17"/>
        <v>69.642008311030878</v>
      </c>
      <c r="AH537" s="22">
        <f>AC537-AE537</f>
        <v>-9.2336679114335709</v>
      </c>
    </row>
    <row r="538" spans="1:34" x14ac:dyDescent="0.25">
      <c r="A538" s="1">
        <f>DATEVALUE(Sheet1!A537)</f>
        <v>45348</v>
      </c>
      <c r="B538" s="2">
        <f>VALUE(Sheet1!B537)</f>
        <v>63.11</v>
      </c>
      <c r="C538" s="9">
        <f>(B538-B537)/B537</f>
        <v>7.9289565493176589E-4</v>
      </c>
      <c r="D538" s="2">
        <f>MAX(D537,B538)</f>
        <v>103.9</v>
      </c>
      <c r="E538" s="9">
        <f>(B538-D538)/D538</f>
        <v>-0.39258902791145334</v>
      </c>
      <c r="AB538" s="1">
        <f>A538</f>
        <v>45348</v>
      </c>
      <c r="AC538" s="2">
        <f>B538</f>
        <v>63.11</v>
      </c>
      <c r="AD538" s="2">
        <f>536</f>
        <v>536</v>
      </c>
      <c r="AE538" s="2">
        <f>INTERCEPT($AC$3:$AC$1136,$AD$3:$AD$1136)+SLOPE($AC$3:$AC$1136,$AD$3:$AD$1136)*AD538</f>
        <v>72.27495594802113</v>
      </c>
      <c r="AF538" s="2">
        <f t="shared" si="16"/>
        <v>74.926615548423825</v>
      </c>
      <c r="AG538" s="2">
        <f t="shared" si="17"/>
        <v>69.623296347618435</v>
      </c>
      <c r="AH538" s="22">
        <f>AC538-AE538</f>
        <v>-9.1649559480211309</v>
      </c>
    </row>
    <row r="539" spans="1:34" x14ac:dyDescent="0.25">
      <c r="A539" s="1">
        <f>DATEVALUE(Sheet1!A538)</f>
        <v>45349</v>
      </c>
      <c r="B539" s="2">
        <f>VALUE(Sheet1!B538)</f>
        <v>62.91</v>
      </c>
      <c r="C539" s="9">
        <f>(B539-B538)/B538</f>
        <v>-3.1690698779908546E-3</v>
      </c>
      <c r="D539" s="2">
        <f>MAX(D538,B539)</f>
        <v>103.9</v>
      </c>
      <c r="E539" s="9">
        <f>(B539-D539)/D539</f>
        <v>-0.39451395572666031</v>
      </c>
      <c r="AB539" s="1">
        <f>A539</f>
        <v>45349</v>
      </c>
      <c r="AC539" s="2">
        <f>B539</f>
        <v>62.91</v>
      </c>
      <c r="AD539" s="2">
        <f>537</f>
        <v>537</v>
      </c>
      <c r="AE539" s="2">
        <f>INTERCEPT($AC$3:$AC$1136,$AD$3:$AD$1136)+SLOPE($AC$3:$AC$1136,$AD$3:$AD$1136)*AD539</f>
        <v>72.256243984608673</v>
      </c>
      <c r="AF539" s="2">
        <f t="shared" si="16"/>
        <v>74.907903585011368</v>
      </c>
      <c r="AG539" s="2">
        <f t="shared" si="17"/>
        <v>69.604584384205978</v>
      </c>
      <c r="AH539" s="22">
        <f>AC539-AE539</f>
        <v>-9.3462439846086767</v>
      </c>
    </row>
    <row r="540" spans="1:34" x14ac:dyDescent="0.25">
      <c r="A540" s="1">
        <f>DATEVALUE(Sheet1!A539)</f>
        <v>45350</v>
      </c>
      <c r="B540" s="2">
        <f>VALUE(Sheet1!B539)</f>
        <v>62.3</v>
      </c>
      <c r="C540" s="9">
        <f>(B540-B539)/B539</f>
        <v>-9.6963916706405886E-3</v>
      </c>
      <c r="D540" s="2">
        <f>MAX(D539,B540)</f>
        <v>103.9</v>
      </c>
      <c r="E540" s="9">
        <f>(B540-D540)/D540</f>
        <v>-0.40038498556304147</v>
      </c>
      <c r="AB540" s="1">
        <f>A540</f>
        <v>45350</v>
      </c>
      <c r="AC540" s="2">
        <f>B540</f>
        <v>62.3</v>
      </c>
      <c r="AD540" s="2">
        <f>538</f>
        <v>538</v>
      </c>
      <c r="AE540" s="2">
        <f>INTERCEPT($AC$3:$AC$1136,$AD$3:$AD$1136)+SLOPE($AC$3:$AC$1136,$AD$3:$AD$1136)*AD540</f>
        <v>72.23753202119623</v>
      </c>
      <c r="AF540" s="2">
        <f t="shared" si="16"/>
        <v>74.889191621598926</v>
      </c>
      <c r="AG540" s="2">
        <f t="shared" si="17"/>
        <v>69.585872420793535</v>
      </c>
      <c r="AH540" s="22">
        <f>AC540-AE540</f>
        <v>-9.9375320211962332</v>
      </c>
    </row>
    <row r="541" spans="1:34" x14ac:dyDescent="0.25">
      <c r="A541" s="1">
        <f>DATEVALUE(Sheet1!A540)</f>
        <v>45351</v>
      </c>
      <c r="B541" s="2">
        <f>VALUE(Sheet1!B540)</f>
        <v>62.23</v>
      </c>
      <c r="C541" s="9">
        <f>(B541-B540)/B540</f>
        <v>-1.1235955056179822E-3</v>
      </c>
      <c r="D541" s="2">
        <f>MAX(D540,B541)</f>
        <v>103.9</v>
      </c>
      <c r="E541" s="9">
        <f>(B541-D541)/D541</f>
        <v>-0.40105871029836387</v>
      </c>
      <c r="AB541" s="1">
        <f>A541</f>
        <v>45351</v>
      </c>
      <c r="AC541" s="2">
        <f>B541</f>
        <v>62.23</v>
      </c>
      <c r="AD541" s="2">
        <f>539</f>
        <v>539</v>
      </c>
      <c r="AE541" s="2">
        <f>INTERCEPT($AC$3:$AC$1136,$AD$3:$AD$1136)+SLOPE($AC$3:$AC$1136,$AD$3:$AD$1136)*AD541</f>
        <v>72.218820057783788</v>
      </c>
      <c r="AF541" s="2">
        <f t="shared" si="16"/>
        <v>74.870479658186483</v>
      </c>
      <c r="AG541" s="2">
        <f t="shared" si="17"/>
        <v>69.567160457381092</v>
      </c>
      <c r="AH541" s="22">
        <f>AC541-AE541</f>
        <v>-9.9888200577837907</v>
      </c>
    </row>
    <row r="542" spans="1:34" x14ac:dyDescent="0.25">
      <c r="A542" s="1">
        <f>DATEVALUE(Sheet1!A541)</f>
        <v>45352</v>
      </c>
      <c r="B542" s="2">
        <f>VALUE(Sheet1!B541)</f>
        <v>62.72</v>
      </c>
      <c r="C542" s="9">
        <f>(B542-B541)/B541</f>
        <v>7.8740157480315289E-3</v>
      </c>
      <c r="D542" s="2">
        <f>MAX(D541,B542)</f>
        <v>103.9</v>
      </c>
      <c r="E542" s="9">
        <f>(B542-D542)/D542</f>
        <v>-0.3963426371511069</v>
      </c>
      <c r="AB542" s="1">
        <f>A542</f>
        <v>45352</v>
      </c>
      <c r="AC542" s="2">
        <f>B542</f>
        <v>62.72</v>
      </c>
      <c r="AD542" s="2">
        <f>540</f>
        <v>540</v>
      </c>
      <c r="AE542" s="2">
        <f>INTERCEPT($AC$3:$AC$1136,$AD$3:$AD$1136)+SLOPE($AC$3:$AC$1136,$AD$3:$AD$1136)*AD542</f>
        <v>72.20010809437133</v>
      </c>
      <c r="AF542" s="2">
        <f t="shared" si="16"/>
        <v>74.851767694774026</v>
      </c>
      <c r="AG542" s="2">
        <f t="shared" si="17"/>
        <v>69.548448493968635</v>
      </c>
      <c r="AH542" s="22">
        <f>AC542-AE542</f>
        <v>-9.4801080943713316</v>
      </c>
    </row>
    <row r="543" spans="1:34" x14ac:dyDescent="0.25">
      <c r="A543" s="1">
        <f>DATEVALUE(Sheet1!A542)</f>
        <v>45355</v>
      </c>
      <c r="B543" s="2">
        <f>VALUE(Sheet1!B542)</f>
        <v>63.01</v>
      </c>
      <c r="C543" s="9">
        <f>(B543-B542)/B542</f>
        <v>4.6237244897959053E-3</v>
      </c>
      <c r="D543" s="2">
        <f>MAX(D542,B543)</f>
        <v>103.9</v>
      </c>
      <c r="E543" s="9">
        <f>(B543-D543)/D543</f>
        <v>-0.39355149181905685</v>
      </c>
      <c r="AB543" s="1">
        <f>A543</f>
        <v>45355</v>
      </c>
      <c r="AC543" s="2">
        <f>B543</f>
        <v>63.01</v>
      </c>
      <c r="AD543" s="2">
        <f>541</f>
        <v>541</v>
      </c>
      <c r="AE543" s="2">
        <f>INTERCEPT($AC$3:$AC$1136,$AD$3:$AD$1136)+SLOPE($AC$3:$AC$1136,$AD$3:$AD$1136)*AD543</f>
        <v>72.181396130958888</v>
      </c>
      <c r="AF543" s="2">
        <f t="shared" si="16"/>
        <v>74.833055731361583</v>
      </c>
      <c r="AG543" s="2">
        <f t="shared" si="17"/>
        <v>69.529736530556193</v>
      </c>
      <c r="AH543" s="22">
        <f>AC543-AE543</f>
        <v>-9.1713961309588896</v>
      </c>
    </row>
    <row r="544" spans="1:34" x14ac:dyDescent="0.25">
      <c r="A544" s="1">
        <f>DATEVALUE(Sheet1!A543)</f>
        <v>45356</v>
      </c>
      <c r="B544" s="2">
        <f>VALUE(Sheet1!B543)</f>
        <v>62.77</v>
      </c>
      <c r="C544" s="9">
        <f>(B544-B543)/B543</f>
        <v>-3.8089192191714792E-3</v>
      </c>
      <c r="D544" s="2">
        <f>MAX(D543,B544)</f>
        <v>103.9</v>
      </c>
      <c r="E544" s="9">
        <f>(B544-D544)/D544</f>
        <v>-0.39586140519730512</v>
      </c>
      <c r="AB544" s="1">
        <f>A544</f>
        <v>45356</v>
      </c>
      <c r="AC544" s="2">
        <f>B544</f>
        <v>62.77</v>
      </c>
      <c r="AD544" s="2">
        <f>542</f>
        <v>542</v>
      </c>
      <c r="AE544" s="2">
        <f>INTERCEPT($AC$3:$AC$1136,$AD$3:$AD$1136)+SLOPE($AC$3:$AC$1136,$AD$3:$AD$1136)*AD544</f>
        <v>72.162684167546445</v>
      </c>
      <c r="AF544" s="2">
        <f t="shared" si="16"/>
        <v>74.81434376794914</v>
      </c>
      <c r="AG544" s="2">
        <f t="shared" si="17"/>
        <v>69.51102456714375</v>
      </c>
      <c r="AH544" s="22">
        <f>AC544-AE544</f>
        <v>-9.3926841675464416</v>
      </c>
    </row>
    <row r="545" spans="1:34" x14ac:dyDescent="0.25">
      <c r="A545" s="1">
        <f>DATEVALUE(Sheet1!A544)</f>
        <v>45357</v>
      </c>
      <c r="B545" s="2">
        <f>VALUE(Sheet1!B544)</f>
        <v>62.75</v>
      </c>
      <c r="C545" s="9">
        <f>(B545-B544)/B544</f>
        <v>-3.1862354628011991E-4</v>
      </c>
      <c r="D545" s="2">
        <f>MAX(D544,B545)</f>
        <v>103.9</v>
      </c>
      <c r="E545" s="9">
        <f>(B545-D545)/D545</f>
        <v>-0.39605389797882584</v>
      </c>
      <c r="AB545" s="1">
        <f>A545</f>
        <v>45357</v>
      </c>
      <c r="AC545" s="2">
        <f>B545</f>
        <v>62.75</v>
      </c>
      <c r="AD545" s="2">
        <f>543</f>
        <v>543</v>
      </c>
      <c r="AE545" s="2">
        <f>INTERCEPT($AC$3:$AC$1136,$AD$3:$AD$1136)+SLOPE($AC$3:$AC$1136,$AD$3:$AD$1136)*AD545</f>
        <v>72.143972204134002</v>
      </c>
      <c r="AF545" s="2">
        <f t="shared" si="16"/>
        <v>74.795631804536697</v>
      </c>
      <c r="AG545" s="2">
        <f t="shared" si="17"/>
        <v>69.492312603731307</v>
      </c>
      <c r="AH545" s="22">
        <f>AC545-AE545</f>
        <v>-9.3939722041340019</v>
      </c>
    </row>
    <row r="546" spans="1:34" x14ac:dyDescent="0.25">
      <c r="A546" s="1">
        <f>DATEVALUE(Sheet1!A545)</f>
        <v>45358</v>
      </c>
      <c r="B546" s="2">
        <f>VALUE(Sheet1!B545)</f>
        <v>62.84</v>
      </c>
      <c r="C546" s="9">
        <f>(B546-B545)/B545</f>
        <v>1.4342629482072256E-3</v>
      </c>
      <c r="D546" s="2">
        <f>MAX(D545,B546)</f>
        <v>103.9</v>
      </c>
      <c r="E546" s="9">
        <f>(B546-D546)/D546</f>
        <v>-0.39518768046198266</v>
      </c>
      <c r="AB546" s="1">
        <f>A546</f>
        <v>45358</v>
      </c>
      <c r="AC546" s="2">
        <f>B546</f>
        <v>62.84</v>
      </c>
      <c r="AD546" s="2">
        <f>544</f>
        <v>544</v>
      </c>
      <c r="AE546" s="2">
        <f>INTERCEPT($AC$3:$AC$1136,$AD$3:$AD$1136)+SLOPE($AC$3:$AC$1136,$AD$3:$AD$1136)*AD546</f>
        <v>72.125260240721545</v>
      </c>
      <c r="AF546" s="2">
        <f t="shared" si="16"/>
        <v>74.77691984112424</v>
      </c>
      <c r="AG546" s="2">
        <f t="shared" si="17"/>
        <v>69.47360064031885</v>
      </c>
      <c r="AH546" s="22">
        <f>AC546-AE546</f>
        <v>-9.2852602407215414</v>
      </c>
    </row>
    <row r="547" spans="1:34" x14ac:dyDescent="0.25">
      <c r="A547" s="1">
        <f>DATEVALUE(Sheet1!A546)</f>
        <v>45359</v>
      </c>
      <c r="B547" s="2">
        <f>VALUE(Sheet1!B546)</f>
        <v>62.87</v>
      </c>
      <c r="C547" s="9">
        <f>(B547-B546)/B546</f>
        <v>4.7740292807119718E-4</v>
      </c>
      <c r="D547" s="2">
        <f>MAX(D546,B547)</f>
        <v>103.9</v>
      </c>
      <c r="E547" s="9">
        <f>(B547-D547)/D547</f>
        <v>-0.39489894128970171</v>
      </c>
      <c r="AB547" s="1">
        <f>A547</f>
        <v>45359</v>
      </c>
      <c r="AC547" s="2">
        <f>B547</f>
        <v>62.87</v>
      </c>
      <c r="AD547" s="2">
        <f>545</f>
        <v>545</v>
      </c>
      <c r="AE547" s="2">
        <f>INTERCEPT($AC$3:$AC$1136,$AD$3:$AD$1136)+SLOPE($AC$3:$AC$1136,$AD$3:$AD$1136)*AD547</f>
        <v>72.106548277309102</v>
      </c>
      <c r="AF547" s="2">
        <f t="shared" si="16"/>
        <v>74.758207877711797</v>
      </c>
      <c r="AG547" s="2">
        <f t="shared" si="17"/>
        <v>69.454888676906407</v>
      </c>
      <c r="AH547" s="22">
        <f>AC547-AE547</f>
        <v>-9.2365482773091045</v>
      </c>
    </row>
    <row r="548" spans="1:34" x14ac:dyDescent="0.25">
      <c r="A548" s="1">
        <f>DATEVALUE(Sheet1!A547)</f>
        <v>45362</v>
      </c>
      <c r="B548" s="2">
        <f>VALUE(Sheet1!B547)</f>
        <v>62.9</v>
      </c>
      <c r="C548" s="9">
        <f>(B548-B547)/B547</f>
        <v>4.771751232702583E-4</v>
      </c>
      <c r="D548" s="2">
        <f>MAX(D547,B548)</f>
        <v>103.9</v>
      </c>
      <c r="E548" s="9">
        <f>(B548-D548)/D548</f>
        <v>-0.39461020211742065</v>
      </c>
      <c r="AB548" s="1">
        <f>A548</f>
        <v>45362</v>
      </c>
      <c r="AC548" s="2">
        <f>B548</f>
        <v>62.9</v>
      </c>
      <c r="AD548" s="2">
        <f>546</f>
        <v>546</v>
      </c>
      <c r="AE548" s="2">
        <f>INTERCEPT($AC$3:$AC$1136,$AD$3:$AD$1136)+SLOPE($AC$3:$AC$1136,$AD$3:$AD$1136)*AD548</f>
        <v>72.087836313896659</v>
      </c>
      <c r="AF548" s="2">
        <f t="shared" si="16"/>
        <v>74.739495914299354</v>
      </c>
      <c r="AG548" s="2">
        <f t="shared" si="17"/>
        <v>69.436176713493964</v>
      </c>
      <c r="AH548" s="22">
        <f>AC548-AE548</f>
        <v>-9.1878363138966606</v>
      </c>
    </row>
    <row r="549" spans="1:34" x14ac:dyDescent="0.25">
      <c r="A549" s="1">
        <f>DATEVALUE(Sheet1!A548)</f>
        <v>45363</v>
      </c>
      <c r="B549" s="2">
        <f>VALUE(Sheet1!B548)</f>
        <v>63.07</v>
      </c>
      <c r="C549" s="9">
        <f>(B549-B548)/B548</f>
        <v>2.7027027027027297E-3</v>
      </c>
      <c r="D549" s="2">
        <f>MAX(D548,B549)</f>
        <v>103.9</v>
      </c>
      <c r="E549" s="9">
        <f>(B549-D549)/D549</f>
        <v>-0.39297401347449473</v>
      </c>
      <c r="AB549" s="1">
        <f>A549</f>
        <v>45363</v>
      </c>
      <c r="AC549" s="2">
        <f>B549</f>
        <v>63.07</v>
      </c>
      <c r="AD549" s="2">
        <f>547</f>
        <v>547</v>
      </c>
      <c r="AE549" s="2">
        <f>INTERCEPT($AC$3:$AC$1136,$AD$3:$AD$1136)+SLOPE($AC$3:$AC$1136,$AD$3:$AD$1136)*AD549</f>
        <v>72.069124350484202</v>
      </c>
      <c r="AF549" s="2">
        <f t="shared" si="16"/>
        <v>74.720783950886897</v>
      </c>
      <c r="AG549" s="2">
        <f t="shared" si="17"/>
        <v>69.417464750081507</v>
      </c>
      <c r="AH549" s="22">
        <f>AC549-AE549</f>
        <v>-8.9991243504842018</v>
      </c>
    </row>
    <row r="550" spans="1:34" x14ac:dyDescent="0.25">
      <c r="A550" s="1">
        <f>DATEVALUE(Sheet1!A549)</f>
        <v>45364</v>
      </c>
      <c r="B550" s="2">
        <f>VALUE(Sheet1!B549)</f>
        <v>63</v>
      </c>
      <c r="C550" s="9">
        <f>(B550-B549)/B549</f>
        <v>-1.1098779134295273E-3</v>
      </c>
      <c r="D550" s="2">
        <f>MAX(D549,B550)</f>
        <v>103.9</v>
      </c>
      <c r="E550" s="9">
        <f>(B550-D550)/D550</f>
        <v>-0.39364773820981719</v>
      </c>
      <c r="AB550" s="1">
        <f>A550</f>
        <v>45364</v>
      </c>
      <c r="AC550" s="2">
        <f>B550</f>
        <v>63</v>
      </c>
      <c r="AD550" s="2">
        <f>548</f>
        <v>548</v>
      </c>
      <c r="AE550" s="2">
        <f>INTERCEPT($AC$3:$AC$1136,$AD$3:$AD$1136)+SLOPE($AC$3:$AC$1136,$AD$3:$AD$1136)*AD550</f>
        <v>72.050412387071759</v>
      </c>
      <c r="AF550" s="2">
        <f t="shared" si="16"/>
        <v>74.702071987474454</v>
      </c>
      <c r="AG550" s="2">
        <f t="shared" si="17"/>
        <v>69.398752786669064</v>
      </c>
      <c r="AH550" s="22">
        <f>AC550-AE550</f>
        <v>-9.0504123870717592</v>
      </c>
    </row>
    <row r="551" spans="1:34" x14ac:dyDescent="0.25">
      <c r="A551" s="1">
        <f>DATEVALUE(Sheet1!A550)</f>
        <v>45365</v>
      </c>
      <c r="B551" s="2">
        <f>VALUE(Sheet1!B550)</f>
        <v>63.24</v>
      </c>
      <c r="C551" s="9">
        <f>(B551-B550)/B550</f>
        <v>3.8095238095238412E-3</v>
      </c>
      <c r="D551" s="2">
        <f>MAX(D550,B551)</f>
        <v>103.9</v>
      </c>
      <c r="E551" s="9">
        <f>(B551-D551)/D551</f>
        <v>-0.39133782483156881</v>
      </c>
      <c r="AB551" s="1">
        <f>A551</f>
        <v>45365</v>
      </c>
      <c r="AC551" s="2">
        <f>B551</f>
        <v>63.24</v>
      </c>
      <c r="AD551" s="2">
        <f>549</f>
        <v>549</v>
      </c>
      <c r="AE551" s="2">
        <f>INTERCEPT($AC$3:$AC$1136,$AD$3:$AD$1136)+SLOPE($AC$3:$AC$1136,$AD$3:$AD$1136)*AD551</f>
        <v>72.031700423659316</v>
      </c>
      <c r="AF551" s="2">
        <f t="shared" si="16"/>
        <v>74.683360024062011</v>
      </c>
      <c r="AG551" s="2">
        <f t="shared" si="17"/>
        <v>69.380040823256621</v>
      </c>
      <c r="AH551" s="22">
        <f>AC551-AE551</f>
        <v>-8.7917004236593144</v>
      </c>
    </row>
    <row r="552" spans="1:34" x14ac:dyDescent="0.25">
      <c r="A552" s="1">
        <f>DATEVALUE(Sheet1!A551)</f>
        <v>45366</v>
      </c>
      <c r="B552" s="2">
        <f>VALUE(Sheet1!B551)</f>
        <v>63.17</v>
      </c>
      <c r="C552" s="9">
        <f>(B552-B551)/B551</f>
        <v>-1.1068943706514908E-3</v>
      </c>
      <c r="D552" s="2">
        <f>MAX(D551,B552)</f>
        <v>103.9</v>
      </c>
      <c r="E552" s="9">
        <f>(B552-D552)/D552</f>
        <v>-0.39201154956689127</v>
      </c>
      <c r="AB552" s="1">
        <f>A552</f>
        <v>45366</v>
      </c>
      <c r="AC552" s="2">
        <f>B552</f>
        <v>63.17</v>
      </c>
      <c r="AD552" s="2">
        <f>550</f>
        <v>550</v>
      </c>
      <c r="AE552" s="2">
        <f>INTERCEPT($AC$3:$AC$1136,$AD$3:$AD$1136)+SLOPE($AC$3:$AC$1136,$AD$3:$AD$1136)*AD552</f>
        <v>72.012988460246874</v>
      </c>
      <c r="AF552" s="2">
        <f t="shared" si="16"/>
        <v>74.664648060649569</v>
      </c>
      <c r="AG552" s="2">
        <f t="shared" si="17"/>
        <v>69.361328859844178</v>
      </c>
      <c r="AH552" s="22">
        <f>AC552-AE552</f>
        <v>-8.8429884602468718</v>
      </c>
    </row>
    <row r="553" spans="1:34" x14ac:dyDescent="0.25">
      <c r="A553" s="1">
        <f>DATEVALUE(Sheet1!A552)</f>
        <v>45369</v>
      </c>
      <c r="B553" s="2">
        <f>VALUE(Sheet1!B552)</f>
        <v>62.87</v>
      </c>
      <c r="C553" s="9">
        <f>(B553-B552)/B552</f>
        <v>-4.7490897577964894E-3</v>
      </c>
      <c r="D553" s="2">
        <f>MAX(D552,B553)</f>
        <v>103.9</v>
      </c>
      <c r="E553" s="9">
        <f>(B553-D553)/D553</f>
        <v>-0.39489894128970171</v>
      </c>
      <c r="AB553" s="1">
        <f>A553</f>
        <v>45369</v>
      </c>
      <c r="AC553" s="2">
        <f>B553</f>
        <v>62.87</v>
      </c>
      <c r="AD553" s="2">
        <f>551</f>
        <v>551</v>
      </c>
      <c r="AE553" s="2">
        <f>INTERCEPT($AC$3:$AC$1136,$AD$3:$AD$1136)+SLOPE($AC$3:$AC$1136,$AD$3:$AD$1136)*AD553</f>
        <v>71.994276496834416</v>
      </c>
      <c r="AF553" s="2">
        <f t="shared" si="16"/>
        <v>74.645936097237112</v>
      </c>
      <c r="AG553" s="2">
        <f t="shared" si="17"/>
        <v>69.342616896431721</v>
      </c>
      <c r="AH553" s="22">
        <f>AC553-AE553</f>
        <v>-9.124276496834419</v>
      </c>
    </row>
    <row r="554" spans="1:34" x14ac:dyDescent="0.25">
      <c r="A554" s="1">
        <f>DATEVALUE(Sheet1!A553)</f>
        <v>45370</v>
      </c>
      <c r="B554" s="2">
        <f>VALUE(Sheet1!B553)</f>
        <v>62.86</v>
      </c>
      <c r="C554" s="9">
        <f>(B554-B553)/B553</f>
        <v>-1.5905837442338177E-4</v>
      </c>
      <c r="D554" s="2">
        <f>MAX(D553,B554)</f>
        <v>103.9</v>
      </c>
      <c r="E554" s="9">
        <f>(B554-D554)/D554</f>
        <v>-0.39499518768046205</v>
      </c>
      <c r="AB554" s="1">
        <f>A554</f>
        <v>45370</v>
      </c>
      <c r="AC554" s="2">
        <f>B554</f>
        <v>62.86</v>
      </c>
      <c r="AD554" s="2">
        <f>552</f>
        <v>552</v>
      </c>
      <c r="AE554" s="2">
        <f>INTERCEPT($AC$3:$AC$1136,$AD$3:$AD$1136)+SLOPE($AC$3:$AC$1136,$AD$3:$AD$1136)*AD554</f>
        <v>71.975564533421974</v>
      </c>
      <c r="AF554" s="2">
        <f t="shared" si="16"/>
        <v>74.627224133824669</v>
      </c>
      <c r="AG554" s="2">
        <f t="shared" si="17"/>
        <v>69.323904933019278</v>
      </c>
      <c r="AH554" s="22">
        <f>AC554-AE554</f>
        <v>-9.1155645334219741</v>
      </c>
    </row>
    <row r="555" spans="1:34" x14ac:dyDescent="0.25">
      <c r="A555" s="1">
        <f>DATEVALUE(Sheet1!A554)</f>
        <v>45371</v>
      </c>
      <c r="B555" s="2">
        <f>VALUE(Sheet1!B554)</f>
        <v>62.75</v>
      </c>
      <c r="C555" s="9">
        <f>(B555-B554)/B554</f>
        <v>-1.7499204581609836E-3</v>
      </c>
      <c r="D555" s="2">
        <f>MAX(D554,B555)</f>
        <v>103.9</v>
      </c>
      <c r="E555" s="9">
        <f>(B555-D555)/D555</f>
        <v>-0.39605389797882584</v>
      </c>
      <c r="AB555" s="1">
        <f>A555</f>
        <v>45371</v>
      </c>
      <c r="AC555" s="2">
        <f>B555</f>
        <v>62.75</v>
      </c>
      <c r="AD555" s="2">
        <f>553</f>
        <v>553</v>
      </c>
      <c r="AE555" s="2">
        <f>INTERCEPT($AC$3:$AC$1136,$AD$3:$AD$1136)+SLOPE($AC$3:$AC$1136,$AD$3:$AD$1136)*AD555</f>
        <v>71.956852570009531</v>
      </c>
      <c r="AF555" s="2">
        <f t="shared" si="16"/>
        <v>74.608512170412226</v>
      </c>
      <c r="AG555" s="2">
        <f t="shared" si="17"/>
        <v>69.305192969606836</v>
      </c>
      <c r="AH555" s="22">
        <f>AC555-AE555</f>
        <v>-9.2068525700095307</v>
      </c>
    </row>
    <row r="556" spans="1:34" x14ac:dyDescent="0.25">
      <c r="A556" s="1">
        <f>DATEVALUE(Sheet1!A555)</f>
        <v>45372</v>
      </c>
      <c r="B556" s="2">
        <f>VALUE(Sheet1!B555)</f>
        <v>62.62</v>
      </c>
      <c r="C556" s="9">
        <f>(B556-B555)/B555</f>
        <v>-2.0717131474103992E-3</v>
      </c>
      <c r="D556" s="2">
        <f>MAX(D555,B556)</f>
        <v>103.9</v>
      </c>
      <c r="E556" s="9">
        <f>(B556-D556)/D556</f>
        <v>-0.39730510105871036</v>
      </c>
      <c r="AB556" s="1">
        <f>A556</f>
        <v>45372</v>
      </c>
      <c r="AC556" s="2">
        <f>B556</f>
        <v>62.62</v>
      </c>
      <c r="AD556" s="2">
        <f>554</f>
        <v>554</v>
      </c>
      <c r="AE556" s="2">
        <f>INTERCEPT($AC$3:$AC$1136,$AD$3:$AD$1136)+SLOPE($AC$3:$AC$1136,$AD$3:$AD$1136)*AD556</f>
        <v>71.938140606597088</v>
      </c>
      <c r="AF556" s="2">
        <f t="shared" si="16"/>
        <v>74.589800206999783</v>
      </c>
      <c r="AG556" s="2">
        <f t="shared" si="17"/>
        <v>69.286481006194393</v>
      </c>
      <c r="AH556" s="22">
        <f>AC556-AE556</f>
        <v>-9.3181406065970904</v>
      </c>
    </row>
    <row r="557" spans="1:34" x14ac:dyDescent="0.25">
      <c r="A557" s="1">
        <f>DATEVALUE(Sheet1!A556)</f>
        <v>45373</v>
      </c>
      <c r="B557" s="2">
        <f>VALUE(Sheet1!B556)</f>
        <v>62.45</v>
      </c>
      <c r="C557" s="9">
        <f>(B557-B556)/B556</f>
        <v>-2.7147876077929511E-3</v>
      </c>
      <c r="D557" s="2">
        <f>MAX(D556,B557)</f>
        <v>103.9</v>
      </c>
      <c r="E557" s="9">
        <f>(B557-D557)/D557</f>
        <v>-0.39894128970163617</v>
      </c>
      <c r="AB557" s="1">
        <f>A557</f>
        <v>45373</v>
      </c>
      <c r="AC557" s="2">
        <f>B557</f>
        <v>62.45</v>
      </c>
      <c r="AD557" s="2">
        <f>555</f>
        <v>555</v>
      </c>
      <c r="AE557" s="2">
        <f>INTERCEPT($AC$3:$AC$1136,$AD$3:$AD$1136)+SLOPE($AC$3:$AC$1136,$AD$3:$AD$1136)*AD557</f>
        <v>71.919428643184631</v>
      </c>
      <c r="AF557" s="2">
        <f t="shared" si="16"/>
        <v>74.571088243587326</v>
      </c>
      <c r="AG557" s="2">
        <f t="shared" si="17"/>
        <v>69.267769042781936</v>
      </c>
      <c r="AH557" s="22">
        <f>AC557-AE557</f>
        <v>-9.469428643184628</v>
      </c>
    </row>
    <row r="558" spans="1:34" x14ac:dyDescent="0.25">
      <c r="A558" s="1">
        <f>DATEVALUE(Sheet1!A557)</f>
        <v>45376</v>
      </c>
      <c r="B558" s="2">
        <f>VALUE(Sheet1!B557)</f>
        <v>62.6</v>
      </c>
      <c r="C558" s="9">
        <f>(B558-B557)/B557</f>
        <v>2.4019215372297611E-3</v>
      </c>
      <c r="D558" s="2">
        <f>MAX(D557,B558)</f>
        <v>103.9</v>
      </c>
      <c r="E558" s="9">
        <f>(B558-D558)/D558</f>
        <v>-0.39749759384023103</v>
      </c>
      <c r="AB558" s="1">
        <f>A558</f>
        <v>45376</v>
      </c>
      <c r="AC558" s="2">
        <f>B558</f>
        <v>62.6</v>
      </c>
      <c r="AD558" s="2">
        <f>556</f>
        <v>556</v>
      </c>
      <c r="AE558" s="2">
        <f>INTERCEPT($AC$3:$AC$1136,$AD$3:$AD$1136)+SLOPE($AC$3:$AC$1136,$AD$3:$AD$1136)*AD558</f>
        <v>71.900716679772188</v>
      </c>
      <c r="AF558" s="2">
        <f t="shared" si="16"/>
        <v>74.552376280174883</v>
      </c>
      <c r="AG558" s="2">
        <f t="shared" si="17"/>
        <v>69.249057079369493</v>
      </c>
      <c r="AH558" s="22">
        <f>AC558-AE558</f>
        <v>-9.3007166797721865</v>
      </c>
    </row>
    <row r="559" spans="1:34" x14ac:dyDescent="0.25">
      <c r="A559" s="1">
        <f>DATEVALUE(Sheet1!A558)</f>
        <v>45377</v>
      </c>
      <c r="B559" s="2">
        <f>VALUE(Sheet1!B558)</f>
        <v>62.3</v>
      </c>
      <c r="C559" s="9">
        <f>(B559-B558)/B558</f>
        <v>-4.7923322683706754E-3</v>
      </c>
      <c r="D559" s="2">
        <f>MAX(D558,B559)</f>
        <v>103.9</v>
      </c>
      <c r="E559" s="9">
        <f>(B559-D559)/D559</f>
        <v>-0.40038498556304147</v>
      </c>
      <c r="AB559" s="1">
        <f>A559</f>
        <v>45377</v>
      </c>
      <c r="AC559" s="2">
        <f>B559</f>
        <v>62.3</v>
      </c>
      <c r="AD559" s="2">
        <f>557</f>
        <v>557</v>
      </c>
      <c r="AE559" s="2">
        <f>INTERCEPT($AC$3:$AC$1136,$AD$3:$AD$1136)+SLOPE($AC$3:$AC$1136,$AD$3:$AD$1136)*AD559</f>
        <v>71.882004716359745</v>
      </c>
      <c r="AF559" s="2">
        <f t="shared" si="16"/>
        <v>74.53366431676244</v>
      </c>
      <c r="AG559" s="2">
        <f t="shared" si="17"/>
        <v>69.23034511595705</v>
      </c>
      <c r="AH559" s="22">
        <f>AC559-AE559</f>
        <v>-9.5820047163597479</v>
      </c>
    </row>
    <row r="560" spans="1:34" x14ac:dyDescent="0.25">
      <c r="A560" s="1">
        <f>DATEVALUE(Sheet1!A559)</f>
        <v>45378</v>
      </c>
      <c r="B560" s="2">
        <f>VALUE(Sheet1!B559)</f>
        <v>61.82</v>
      </c>
      <c r="C560" s="9">
        <f>(B560-B559)/B559</f>
        <v>-7.7046548956660821E-3</v>
      </c>
      <c r="D560" s="2">
        <f>MAX(D559,B560)</f>
        <v>103.9</v>
      </c>
      <c r="E560" s="9">
        <f>(B560-D560)/D560</f>
        <v>-0.40500481231953805</v>
      </c>
      <c r="AB560" s="1">
        <f>A560</f>
        <v>45378</v>
      </c>
      <c r="AC560" s="2">
        <f>B560</f>
        <v>61.82</v>
      </c>
      <c r="AD560" s="2">
        <f>558</f>
        <v>558</v>
      </c>
      <c r="AE560" s="2">
        <f>INTERCEPT($AC$3:$AC$1136,$AD$3:$AD$1136)+SLOPE($AC$3:$AC$1136,$AD$3:$AD$1136)*AD560</f>
        <v>71.863292752947302</v>
      </c>
      <c r="AF560" s="2">
        <f t="shared" si="16"/>
        <v>74.514952353349997</v>
      </c>
      <c r="AG560" s="2">
        <f t="shared" si="17"/>
        <v>69.211633152544607</v>
      </c>
      <c r="AH560" s="22">
        <f>AC560-AE560</f>
        <v>-10.043292752947302</v>
      </c>
    </row>
    <row r="561" spans="1:34" x14ac:dyDescent="0.25">
      <c r="A561" s="1">
        <f>DATEVALUE(Sheet1!A560)</f>
        <v>45379</v>
      </c>
      <c r="B561" s="2">
        <f>VALUE(Sheet1!B560)</f>
        <v>61.78</v>
      </c>
      <c r="C561" s="9">
        <f>(B561-B560)/B560</f>
        <v>-6.4703979294725242E-4</v>
      </c>
      <c r="D561" s="2">
        <f>MAX(D560,B561)</f>
        <v>103.9</v>
      </c>
      <c r="E561" s="9">
        <f>(B561-D561)/D561</f>
        <v>-0.40538979788257945</v>
      </c>
      <c r="AB561" s="1">
        <f>A561</f>
        <v>45379</v>
      </c>
      <c r="AC561" s="2">
        <f>B561</f>
        <v>61.78</v>
      </c>
      <c r="AD561" s="2">
        <f>559</f>
        <v>559</v>
      </c>
      <c r="AE561" s="2">
        <f>INTERCEPT($AC$3:$AC$1136,$AD$3:$AD$1136)+SLOPE($AC$3:$AC$1136,$AD$3:$AD$1136)*AD561</f>
        <v>71.844580789534845</v>
      </c>
      <c r="AF561" s="2">
        <f t="shared" si="16"/>
        <v>74.49624038993754</v>
      </c>
      <c r="AG561" s="2">
        <f t="shared" si="17"/>
        <v>69.19292118913215</v>
      </c>
      <c r="AH561" s="22">
        <f>AC561-AE561</f>
        <v>-10.064580789534844</v>
      </c>
    </row>
    <row r="562" spans="1:34" x14ac:dyDescent="0.25">
      <c r="A562" s="1">
        <f>DATEVALUE(Sheet1!A561)</f>
        <v>45383</v>
      </c>
      <c r="B562" s="2">
        <f>VALUE(Sheet1!B561)</f>
        <v>61.71</v>
      </c>
      <c r="C562" s="9">
        <f>(B562-B561)/B561</f>
        <v>-1.1330527678860519E-3</v>
      </c>
      <c r="D562" s="2">
        <f>MAX(D561,B562)</f>
        <v>103.9</v>
      </c>
      <c r="E562" s="9">
        <f>(B562-D562)/D562</f>
        <v>-0.40606352261790185</v>
      </c>
      <c r="AB562" s="1">
        <f>A562</f>
        <v>45383</v>
      </c>
      <c r="AC562" s="2">
        <f>B562</f>
        <v>61.71</v>
      </c>
      <c r="AD562" s="2">
        <f>560</f>
        <v>560</v>
      </c>
      <c r="AE562" s="2">
        <f>INTERCEPT($AC$3:$AC$1136,$AD$3:$AD$1136)+SLOPE($AC$3:$AC$1136,$AD$3:$AD$1136)*AD562</f>
        <v>71.825868826122402</v>
      </c>
      <c r="AF562" s="2">
        <f t="shared" si="16"/>
        <v>74.477528426525097</v>
      </c>
      <c r="AG562" s="2">
        <f t="shared" si="17"/>
        <v>69.174209225719707</v>
      </c>
      <c r="AH562" s="22">
        <f>AC562-AE562</f>
        <v>-10.115868826122401</v>
      </c>
    </row>
    <row r="563" spans="1:34" x14ac:dyDescent="0.25">
      <c r="A563" s="1">
        <f>DATEVALUE(Sheet1!A562)</f>
        <v>45384</v>
      </c>
      <c r="B563" s="2">
        <f>VALUE(Sheet1!B562)</f>
        <v>61.57</v>
      </c>
      <c r="C563" s="9">
        <f>(B563-B562)/B562</f>
        <v>-2.2686760654675184E-3</v>
      </c>
      <c r="D563" s="2">
        <f>MAX(D562,B563)</f>
        <v>103.9</v>
      </c>
      <c r="E563" s="9">
        <f>(B563-D563)/D563</f>
        <v>-0.40741097208854671</v>
      </c>
      <c r="AB563" s="1">
        <f>A563</f>
        <v>45384</v>
      </c>
      <c r="AC563" s="2">
        <f>B563</f>
        <v>61.57</v>
      </c>
      <c r="AD563" s="2">
        <f>561</f>
        <v>561</v>
      </c>
      <c r="AE563" s="2">
        <f>INTERCEPT($AC$3:$AC$1136,$AD$3:$AD$1136)+SLOPE($AC$3:$AC$1136,$AD$3:$AD$1136)*AD563</f>
        <v>71.807156862709959</v>
      </c>
      <c r="AF563" s="2">
        <f t="shared" si="16"/>
        <v>74.458816463112655</v>
      </c>
      <c r="AG563" s="2">
        <f t="shared" si="17"/>
        <v>69.155497262307264</v>
      </c>
      <c r="AH563" s="22">
        <f>AC563-AE563</f>
        <v>-10.237156862709959</v>
      </c>
    </row>
    <row r="564" spans="1:34" x14ac:dyDescent="0.25">
      <c r="A564" s="1">
        <f>DATEVALUE(Sheet1!A563)</f>
        <v>45385</v>
      </c>
      <c r="B564" s="2">
        <f>VALUE(Sheet1!B563)</f>
        <v>61.49</v>
      </c>
      <c r="C564" s="9">
        <f>(B564-B563)/B563</f>
        <v>-1.2993340912781921E-3</v>
      </c>
      <c r="D564" s="2">
        <f>MAX(D563,B564)</f>
        <v>103.9</v>
      </c>
      <c r="E564" s="9">
        <f>(B564-D564)/D564</f>
        <v>-0.40818094321462944</v>
      </c>
      <c r="AB564" s="1">
        <f>A564</f>
        <v>45385</v>
      </c>
      <c r="AC564" s="2">
        <f>B564</f>
        <v>61.49</v>
      </c>
      <c r="AD564" s="2">
        <f>562</f>
        <v>562</v>
      </c>
      <c r="AE564" s="2">
        <f>INTERCEPT($AC$3:$AC$1136,$AD$3:$AD$1136)+SLOPE($AC$3:$AC$1136,$AD$3:$AD$1136)*AD564</f>
        <v>71.788444899297502</v>
      </c>
      <c r="AF564" s="2">
        <f t="shared" si="16"/>
        <v>74.440104499700197</v>
      </c>
      <c r="AG564" s="2">
        <f t="shared" si="17"/>
        <v>69.136785298894807</v>
      </c>
      <c r="AH564" s="22">
        <f>AC564-AE564</f>
        <v>-10.2984448992975</v>
      </c>
    </row>
    <row r="565" spans="1:34" x14ac:dyDescent="0.25">
      <c r="A565" s="1">
        <f>DATEVALUE(Sheet1!A564)</f>
        <v>45386</v>
      </c>
      <c r="B565" s="2">
        <f>VALUE(Sheet1!B564)</f>
        <v>61.48</v>
      </c>
      <c r="C565" s="9">
        <f>(B565-B564)/B564</f>
        <v>-1.6262806960489699E-4</v>
      </c>
      <c r="D565" s="2">
        <f>MAX(D564,B565)</f>
        <v>103.9</v>
      </c>
      <c r="E565" s="9">
        <f>(B565-D565)/D565</f>
        <v>-0.40827718960538983</v>
      </c>
      <c r="AB565" s="1">
        <f>A565</f>
        <v>45386</v>
      </c>
      <c r="AC565" s="2">
        <f>B565</f>
        <v>61.48</v>
      </c>
      <c r="AD565" s="2">
        <f>563</f>
        <v>563</v>
      </c>
      <c r="AE565" s="2">
        <f>INTERCEPT($AC$3:$AC$1136,$AD$3:$AD$1136)+SLOPE($AC$3:$AC$1136,$AD$3:$AD$1136)*AD565</f>
        <v>71.76973293588506</v>
      </c>
      <c r="AF565" s="2">
        <f t="shared" si="16"/>
        <v>74.421392536287755</v>
      </c>
      <c r="AG565" s="2">
        <f t="shared" si="17"/>
        <v>69.118073335482364</v>
      </c>
      <c r="AH565" s="22">
        <f>AC565-AE565</f>
        <v>-10.289732935885063</v>
      </c>
    </row>
    <row r="566" spans="1:34" x14ac:dyDescent="0.25">
      <c r="A566" s="1">
        <f>DATEVALUE(Sheet1!A565)</f>
        <v>45387</v>
      </c>
      <c r="B566" s="2">
        <f>VALUE(Sheet1!B565)</f>
        <v>60.99</v>
      </c>
      <c r="C566" s="9">
        <f>(B566-B565)/B565</f>
        <v>-7.9700715679895066E-3</v>
      </c>
      <c r="D566" s="2">
        <f>MAX(D565,B566)</f>
        <v>103.9</v>
      </c>
      <c r="E566" s="9">
        <f>(B566-D566)/D566</f>
        <v>-0.41299326275264681</v>
      </c>
      <c r="AB566" s="1">
        <f>A566</f>
        <v>45387</v>
      </c>
      <c r="AC566" s="2">
        <f>B566</f>
        <v>60.99</v>
      </c>
      <c r="AD566" s="2">
        <f>564</f>
        <v>564</v>
      </c>
      <c r="AE566" s="2">
        <f>INTERCEPT($AC$3:$AC$1136,$AD$3:$AD$1136)+SLOPE($AC$3:$AC$1136,$AD$3:$AD$1136)*AD566</f>
        <v>71.751020972472617</v>
      </c>
      <c r="AF566" s="2">
        <f t="shared" si="16"/>
        <v>74.402680572875312</v>
      </c>
      <c r="AG566" s="2">
        <f t="shared" si="17"/>
        <v>69.099361372069922</v>
      </c>
      <c r="AH566" s="22">
        <f>AC566-AE566</f>
        <v>-10.761020972472615</v>
      </c>
    </row>
    <row r="567" spans="1:34" x14ac:dyDescent="0.25">
      <c r="A567" s="1">
        <f>DATEVALUE(Sheet1!A566)</f>
        <v>45390</v>
      </c>
      <c r="B567" s="2">
        <f>VALUE(Sheet1!B566)</f>
        <v>60.62</v>
      </c>
      <c r="C567" s="9">
        <f>(B567-B566)/B566</f>
        <v>-6.0665682898836618E-3</v>
      </c>
      <c r="D567" s="2">
        <f>MAX(D566,B567)</f>
        <v>103.9</v>
      </c>
      <c r="E567" s="9">
        <f>(B567-D567)/D567</f>
        <v>-0.41655437921077965</v>
      </c>
      <c r="AB567" s="1">
        <f>A567</f>
        <v>45390</v>
      </c>
      <c r="AC567" s="2">
        <f>B567</f>
        <v>60.62</v>
      </c>
      <c r="AD567" s="2">
        <f>565</f>
        <v>565</v>
      </c>
      <c r="AE567" s="2">
        <f>INTERCEPT($AC$3:$AC$1136,$AD$3:$AD$1136)+SLOPE($AC$3:$AC$1136,$AD$3:$AD$1136)*AD567</f>
        <v>71.732309009060174</v>
      </c>
      <c r="AF567" s="2">
        <f t="shared" si="16"/>
        <v>74.383968609462869</v>
      </c>
      <c r="AG567" s="2">
        <f t="shared" si="17"/>
        <v>69.080649408657479</v>
      </c>
      <c r="AH567" s="22">
        <f>AC567-AE567</f>
        <v>-11.112309009060176</v>
      </c>
    </row>
    <row r="568" spans="1:34" x14ac:dyDescent="0.25">
      <c r="A568" s="1">
        <f>DATEVALUE(Sheet1!A567)</f>
        <v>45391</v>
      </c>
      <c r="B568" s="2">
        <f>VALUE(Sheet1!B567)</f>
        <v>60.14</v>
      </c>
      <c r="C568" s="9">
        <f>(B568-B567)/B567</f>
        <v>-7.9181788188716091E-3</v>
      </c>
      <c r="D568" s="2">
        <f>MAX(D567,B568)</f>
        <v>103.9</v>
      </c>
      <c r="E568" s="9">
        <f>(B568-D568)/D568</f>
        <v>-0.42117420596727623</v>
      </c>
      <c r="AB568" s="1">
        <f>A568</f>
        <v>45391</v>
      </c>
      <c r="AC568" s="2">
        <f>B568</f>
        <v>60.14</v>
      </c>
      <c r="AD568" s="2">
        <f>566</f>
        <v>566</v>
      </c>
      <c r="AE568" s="2">
        <f>INTERCEPT($AC$3:$AC$1136,$AD$3:$AD$1136)+SLOPE($AC$3:$AC$1136,$AD$3:$AD$1136)*AD568</f>
        <v>71.713597045647717</v>
      </c>
      <c r="AF568" s="2">
        <f t="shared" si="16"/>
        <v>74.365256646050412</v>
      </c>
      <c r="AG568" s="2">
        <f t="shared" si="17"/>
        <v>69.061937445245022</v>
      </c>
      <c r="AH568" s="22">
        <f>AC568-AE568</f>
        <v>-11.573597045647716</v>
      </c>
    </row>
    <row r="569" spans="1:34" x14ac:dyDescent="0.25">
      <c r="A569" s="1">
        <f>DATEVALUE(Sheet1!A568)</f>
        <v>45392</v>
      </c>
      <c r="B569" s="2">
        <f>VALUE(Sheet1!B568)</f>
        <v>59.83</v>
      </c>
      <c r="C569" s="9">
        <f>(B569-B568)/B568</f>
        <v>-5.15463917525777E-3</v>
      </c>
      <c r="D569" s="2">
        <f>MAX(D568,B569)</f>
        <v>103.9</v>
      </c>
      <c r="E569" s="9">
        <f>(B569-D569)/D569</f>
        <v>-0.424157844080847</v>
      </c>
      <c r="AB569" s="1">
        <f>A569</f>
        <v>45392</v>
      </c>
      <c r="AC569" s="2">
        <f>B569</f>
        <v>59.83</v>
      </c>
      <c r="AD569" s="2">
        <f>567</f>
        <v>567</v>
      </c>
      <c r="AE569" s="2">
        <f>INTERCEPT($AC$3:$AC$1136,$AD$3:$AD$1136)+SLOPE($AC$3:$AC$1136,$AD$3:$AD$1136)*AD569</f>
        <v>71.694885082235274</v>
      </c>
      <c r="AF569" s="2">
        <f t="shared" si="16"/>
        <v>74.346544682637969</v>
      </c>
      <c r="AG569" s="2">
        <f t="shared" si="17"/>
        <v>69.043225481832579</v>
      </c>
      <c r="AH569" s="22">
        <f>AC569-AE569</f>
        <v>-11.864885082235276</v>
      </c>
    </row>
    <row r="570" spans="1:34" x14ac:dyDescent="0.25">
      <c r="A570" s="1">
        <f>DATEVALUE(Sheet1!A569)</f>
        <v>45393</v>
      </c>
      <c r="B570" s="2">
        <f>VALUE(Sheet1!B569)</f>
        <v>59.53</v>
      </c>
      <c r="C570" s="9">
        <f>(B570-B569)/B569</f>
        <v>-5.0142069196055013E-3</v>
      </c>
      <c r="D570" s="2">
        <f>MAX(D569,B570)</f>
        <v>103.9</v>
      </c>
      <c r="E570" s="9">
        <f>(B570-D570)/D570</f>
        <v>-0.42704523580365739</v>
      </c>
      <c r="AB570" s="1">
        <f>A570</f>
        <v>45393</v>
      </c>
      <c r="AC570" s="2">
        <f>B570</f>
        <v>59.53</v>
      </c>
      <c r="AD570" s="2">
        <f>568</f>
        <v>568</v>
      </c>
      <c r="AE570" s="2">
        <f>INTERCEPT($AC$3:$AC$1136,$AD$3:$AD$1136)+SLOPE($AC$3:$AC$1136,$AD$3:$AD$1136)*AD570</f>
        <v>71.676173118822831</v>
      </c>
      <c r="AF570" s="2">
        <f t="shared" si="16"/>
        <v>74.327832719225526</v>
      </c>
      <c r="AG570" s="2">
        <f t="shared" si="17"/>
        <v>69.024513518420136</v>
      </c>
      <c r="AH570" s="22">
        <f>AC570-AE570</f>
        <v>-12.14617311882283</v>
      </c>
    </row>
    <row r="571" spans="1:34" x14ac:dyDescent="0.25">
      <c r="A571" s="1">
        <f>DATEVALUE(Sheet1!A570)</f>
        <v>45394</v>
      </c>
      <c r="B571" s="2">
        <f>VALUE(Sheet1!B570)</f>
        <v>59.62</v>
      </c>
      <c r="C571" s="9">
        <f>(B571-B570)/B570</f>
        <v>1.5118427683520294E-3</v>
      </c>
      <c r="D571" s="2">
        <f>MAX(D570,B571)</f>
        <v>103.9</v>
      </c>
      <c r="E571" s="9">
        <f>(B571-D571)/D571</f>
        <v>-0.42617901828681432</v>
      </c>
      <c r="AB571" s="1">
        <f>A571</f>
        <v>45394</v>
      </c>
      <c r="AC571" s="2">
        <f>B571</f>
        <v>59.62</v>
      </c>
      <c r="AD571" s="2">
        <f>569</f>
        <v>569</v>
      </c>
      <c r="AE571" s="2">
        <f>INTERCEPT($AC$3:$AC$1136,$AD$3:$AD$1136)+SLOPE($AC$3:$AC$1136,$AD$3:$AD$1136)*AD571</f>
        <v>71.657461155410374</v>
      </c>
      <c r="AF571" s="2">
        <f t="shared" si="16"/>
        <v>74.309120755813069</v>
      </c>
      <c r="AG571" s="2">
        <f t="shared" si="17"/>
        <v>69.005801555007679</v>
      </c>
      <c r="AH571" s="22">
        <f>AC571-AE571</f>
        <v>-12.037461155410377</v>
      </c>
    </row>
    <row r="572" spans="1:34" x14ac:dyDescent="0.25">
      <c r="A572" s="1">
        <f>DATEVALUE(Sheet1!A571)</f>
        <v>45397</v>
      </c>
      <c r="B572" s="2">
        <f>VALUE(Sheet1!B571)</f>
        <v>59.7</v>
      </c>
      <c r="C572" s="9">
        <f>(B572-B571)/B571</f>
        <v>1.3418316001342738E-3</v>
      </c>
      <c r="D572" s="2">
        <f>MAX(D571,B572)</f>
        <v>103.9</v>
      </c>
      <c r="E572" s="9">
        <f>(B572-D572)/D572</f>
        <v>-0.42540904716073147</v>
      </c>
      <c r="AB572" s="1">
        <f>A572</f>
        <v>45397</v>
      </c>
      <c r="AC572" s="2">
        <f>B572</f>
        <v>59.7</v>
      </c>
      <c r="AD572" s="2">
        <f>570</f>
        <v>570</v>
      </c>
      <c r="AE572" s="2">
        <f>INTERCEPT($AC$3:$AC$1136,$AD$3:$AD$1136)+SLOPE($AC$3:$AC$1136,$AD$3:$AD$1136)*AD572</f>
        <v>71.638749191997931</v>
      </c>
      <c r="AF572" s="2">
        <f t="shared" si="16"/>
        <v>74.290408792400626</v>
      </c>
      <c r="AG572" s="2">
        <f t="shared" si="17"/>
        <v>68.987089591595236</v>
      </c>
      <c r="AH572" s="22">
        <f>AC572-AE572</f>
        <v>-11.938749191997928</v>
      </c>
    </row>
    <row r="573" spans="1:34" x14ac:dyDescent="0.25">
      <c r="A573" s="1">
        <f>DATEVALUE(Sheet1!A572)</f>
        <v>45398</v>
      </c>
      <c r="B573" s="2">
        <f>VALUE(Sheet1!B572)</f>
        <v>59.74</v>
      </c>
      <c r="C573" s="9">
        <f>(B573-B572)/B572</f>
        <v>6.7001675041874619E-4</v>
      </c>
      <c r="D573" s="2">
        <f>MAX(D572,B573)</f>
        <v>103.9</v>
      </c>
      <c r="E573" s="9">
        <f>(B573-D573)/D573</f>
        <v>-0.42502406159769007</v>
      </c>
      <c r="AB573" s="1">
        <f>A573</f>
        <v>45398</v>
      </c>
      <c r="AC573" s="2">
        <f>B573</f>
        <v>59.74</v>
      </c>
      <c r="AD573" s="2">
        <f>571</f>
        <v>571</v>
      </c>
      <c r="AE573" s="2">
        <f>INTERCEPT($AC$3:$AC$1136,$AD$3:$AD$1136)+SLOPE($AC$3:$AC$1136,$AD$3:$AD$1136)*AD573</f>
        <v>71.620037228585488</v>
      </c>
      <c r="AF573" s="2">
        <f t="shared" si="16"/>
        <v>74.271696828988183</v>
      </c>
      <c r="AG573" s="2">
        <f t="shared" si="17"/>
        <v>68.968377628182793</v>
      </c>
      <c r="AH573" s="22">
        <f>AC573-AE573</f>
        <v>-11.880037228585486</v>
      </c>
    </row>
    <row r="574" spans="1:34" x14ac:dyDescent="0.25">
      <c r="A574" s="1">
        <f>DATEVALUE(Sheet1!A573)</f>
        <v>45399</v>
      </c>
      <c r="B574" s="2">
        <f>VALUE(Sheet1!B573)</f>
        <v>59.41</v>
      </c>
      <c r="C574" s="9">
        <f>(B574-B573)/B573</f>
        <v>-5.5239370605960061E-3</v>
      </c>
      <c r="D574" s="2">
        <f>MAX(D573,B574)</f>
        <v>103.9</v>
      </c>
      <c r="E574" s="9">
        <f>(B574-D574)/D574</f>
        <v>-0.42820019249278157</v>
      </c>
      <c r="AB574" s="1">
        <f>A574</f>
        <v>45399</v>
      </c>
      <c r="AC574" s="2">
        <f>B574</f>
        <v>59.41</v>
      </c>
      <c r="AD574" s="2">
        <f>572</f>
        <v>572</v>
      </c>
      <c r="AE574" s="2">
        <f>INTERCEPT($AC$3:$AC$1136,$AD$3:$AD$1136)+SLOPE($AC$3:$AC$1136,$AD$3:$AD$1136)*AD574</f>
        <v>71.601325265173045</v>
      </c>
      <c r="AF574" s="2">
        <f t="shared" si="16"/>
        <v>74.252984865575741</v>
      </c>
      <c r="AG574" s="2">
        <f t="shared" si="17"/>
        <v>68.94966566477035</v>
      </c>
      <c r="AH574" s="22">
        <f>AC574-AE574</f>
        <v>-12.191325265173049</v>
      </c>
    </row>
    <row r="575" spans="1:34" x14ac:dyDescent="0.25">
      <c r="A575" s="1">
        <f>DATEVALUE(Sheet1!A574)</f>
        <v>45400</v>
      </c>
      <c r="B575" s="2">
        <f>VALUE(Sheet1!B574)</f>
        <v>59.29</v>
      </c>
      <c r="C575" s="9">
        <f>(B575-B574)/B574</f>
        <v>-2.0198619760982569E-3</v>
      </c>
      <c r="D575" s="2">
        <f>MAX(D574,B575)</f>
        <v>103.9</v>
      </c>
      <c r="E575" s="9">
        <f>(B575-D575)/D575</f>
        <v>-0.4293551491819057</v>
      </c>
      <c r="AB575" s="1">
        <f>A575</f>
        <v>45400</v>
      </c>
      <c r="AC575" s="2">
        <f>B575</f>
        <v>59.29</v>
      </c>
      <c r="AD575" s="2">
        <f>573</f>
        <v>573</v>
      </c>
      <c r="AE575" s="2">
        <f>INTERCEPT($AC$3:$AC$1136,$AD$3:$AD$1136)+SLOPE($AC$3:$AC$1136,$AD$3:$AD$1136)*AD575</f>
        <v>71.582613301760603</v>
      </c>
      <c r="AF575" s="2">
        <f t="shared" si="16"/>
        <v>74.234272902163298</v>
      </c>
      <c r="AG575" s="2">
        <f t="shared" si="17"/>
        <v>68.930953701357907</v>
      </c>
      <c r="AH575" s="22">
        <f>AC575-AE575</f>
        <v>-12.292613301760603</v>
      </c>
    </row>
    <row r="576" spans="1:34" x14ac:dyDescent="0.25">
      <c r="A576" s="1">
        <f>DATEVALUE(Sheet1!A575)</f>
        <v>45401</v>
      </c>
      <c r="B576" s="2">
        <f>VALUE(Sheet1!B575)</f>
        <v>59.11</v>
      </c>
      <c r="C576" s="9">
        <f>(B576-B575)/B575</f>
        <v>-3.035925113847187E-3</v>
      </c>
      <c r="D576" s="2">
        <f>MAX(D575,B576)</f>
        <v>103.9</v>
      </c>
      <c r="E576" s="9">
        <f>(B576-D576)/D576</f>
        <v>-0.43108758421559196</v>
      </c>
      <c r="AB576" s="1">
        <f>A576</f>
        <v>45401</v>
      </c>
      <c r="AC576" s="2">
        <f>B576</f>
        <v>59.11</v>
      </c>
      <c r="AD576" s="2">
        <f>574</f>
        <v>574</v>
      </c>
      <c r="AE576" s="2">
        <f>INTERCEPT($AC$3:$AC$1136,$AD$3:$AD$1136)+SLOPE($AC$3:$AC$1136,$AD$3:$AD$1136)*AD576</f>
        <v>71.563901338348145</v>
      </c>
      <c r="AF576" s="2">
        <f t="shared" si="16"/>
        <v>74.215560938750841</v>
      </c>
      <c r="AG576" s="2">
        <f t="shared" si="17"/>
        <v>68.91224173794545</v>
      </c>
      <c r="AH576" s="22">
        <f>AC576-AE576</f>
        <v>-12.453901338348146</v>
      </c>
    </row>
    <row r="577" spans="1:34" x14ac:dyDescent="0.25">
      <c r="A577" s="1">
        <f>DATEVALUE(Sheet1!A576)</f>
        <v>45404</v>
      </c>
      <c r="B577" s="2">
        <f>VALUE(Sheet1!B576)</f>
        <v>58.76</v>
      </c>
      <c r="C577" s="9">
        <f>(B577-B576)/B576</f>
        <v>-5.9211639316528748E-3</v>
      </c>
      <c r="D577" s="2">
        <f>MAX(D576,B577)</f>
        <v>103.9</v>
      </c>
      <c r="E577" s="9">
        <f>(B577-D577)/D577</f>
        <v>-0.43445620789220407</v>
      </c>
      <c r="AB577" s="1">
        <f>A577</f>
        <v>45404</v>
      </c>
      <c r="AC577" s="2">
        <f>B577</f>
        <v>58.76</v>
      </c>
      <c r="AD577" s="2">
        <f>575</f>
        <v>575</v>
      </c>
      <c r="AE577" s="2">
        <f>INTERCEPT($AC$3:$AC$1136,$AD$3:$AD$1136)+SLOPE($AC$3:$AC$1136,$AD$3:$AD$1136)*AD577</f>
        <v>71.545189374935703</v>
      </c>
      <c r="AF577" s="2">
        <f t="shared" si="16"/>
        <v>74.196848975338398</v>
      </c>
      <c r="AG577" s="2">
        <f t="shared" si="17"/>
        <v>68.893529774533008</v>
      </c>
      <c r="AH577" s="22">
        <f>AC577-AE577</f>
        <v>-12.785189374935705</v>
      </c>
    </row>
    <row r="578" spans="1:34" x14ac:dyDescent="0.25">
      <c r="A578" s="1">
        <f>DATEVALUE(Sheet1!A577)</f>
        <v>45405</v>
      </c>
      <c r="B578" s="2">
        <f>VALUE(Sheet1!B577)</f>
        <v>58.49</v>
      </c>
      <c r="C578" s="9">
        <f>(B578-B577)/B577</f>
        <v>-4.5949625595642623E-3</v>
      </c>
      <c r="D578" s="2">
        <f>MAX(D577,B578)</f>
        <v>103.9</v>
      </c>
      <c r="E578" s="9">
        <f>(B578-D578)/D578</f>
        <v>-0.43705486044273339</v>
      </c>
      <c r="AB578" s="1">
        <f>A578</f>
        <v>45405</v>
      </c>
      <c r="AC578" s="2">
        <f>B578</f>
        <v>58.49</v>
      </c>
      <c r="AD578" s="2">
        <f>576</f>
        <v>576</v>
      </c>
      <c r="AE578" s="2">
        <f>INTERCEPT($AC$3:$AC$1136,$AD$3:$AD$1136)+SLOPE($AC$3:$AC$1136,$AD$3:$AD$1136)*AD578</f>
        <v>71.52647741152326</v>
      </c>
      <c r="AF578" s="2">
        <f t="shared" si="16"/>
        <v>74.178137011925955</v>
      </c>
      <c r="AG578" s="2">
        <f t="shared" si="17"/>
        <v>68.874817811120565</v>
      </c>
      <c r="AH578" s="22">
        <f>AC578-AE578</f>
        <v>-13.036477411523258</v>
      </c>
    </row>
    <row r="579" spans="1:34" x14ac:dyDescent="0.25">
      <c r="A579" s="1">
        <f>DATEVALUE(Sheet1!A578)</f>
        <v>45406</v>
      </c>
      <c r="B579" s="2">
        <f>VALUE(Sheet1!B578)</f>
        <v>58.27</v>
      </c>
      <c r="C579" s="9">
        <f>(B579-B578)/B578</f>
        <v>-3.76132672251665E-3</v>
      </c>
      <c r="D579" s="2">
        <f>MAX(D578,B579)</f>
        <v>103.9</v>
      </c>
      <c r="E579" s="9">
        <f>(B579-D579)/D579</f>
        <v>-0.43917228103946104</v>
      </c>
      <c r="AB579" s="1">
        <f>A579</f>
        <v>45406</v>
      </c>
      <c r="AC579" s="2">
        <f>B579</f>
        <v>58.27</v>
      </c>
      <c r="AD579" s="2">
        <f>577</f>
        <v>577</v>
      </c>
      <c r="AE579" s="2">
        <f>INTERCEPT($AC$3:$AC$1136,$AD$3:$AD$1136)+SLOPE($AC$3:$AC$1136,$AD$3:$AD$1136)*AD579</f>
        <v>71.507765448110803</v>
      </c>
      <c r="AF579" s="2">
        <f t="shared" si="16"/>
        <v>74.159425048513498</v>
      </c>
      <c r="AG579" s="2">
        <f t="shared" si="17"/>
        <v>68.856105847708108</v>
      </c>
      <c r="AH579" s="22">
        <f>AC579-AE579</f>
        <v>-13.2377654481108</v>
      </c>
    </row>
    <row r="580" spans="1:34" x14ac:dyDescent="0.25">
      <c r="A580" s="1">
        <f>DATEVALUE(Sheet1!A579)</f>
        <v>45407</v>
      </c>
      <c r="B580" s="2">
        <f>VALUE(Sheet1!B579)</f>
        <v>58.01</v>
      </c>
      <c r="C580" s="9">
        <f>(B580-B579)/B579</f>
        <v>-4.4619873004977705E-3</v>
      </c>
      <c r="D580" s="2">
        <f>MAX(D579,B580)</f>
        <v>103.9</v>
      </c>
      <c r="E580" s="9">
        <f>(B580-D580)/D580</f>
        <v>-0.44167468719923009</v>
      </c>
      <c r="AB580" s="1">
        <f>A580</f>
        <v>45407</v>
      </c>
      <c r="AC580" s="2">
        <f>B580</f>
        <v>58.01</v>
      </c>
      <c r="AD580" s="2">
        <f>578</f>
        <v>578</v>
      </c>
      <c r="AE580" s="2">
        <f>INTERCEPT($AC$3:$AC$1136,$AD$3:$AD$1136)+SLOPE($AC$3:$AC$1136,$AD$3:$AD$1136)*AD580</f>
        <v>71.48905348469836</v>
      </c>
      <c r="AF580" s="2">
        <f t="shared" ref="AF580:AF643" si="18">AE580+$AJ$5*$AJ$4</f>
        <v>74.140713085101055</v>
      </c>
      <c r="AG580" s="2">
        <f t="shared" ref="AG580:AG643" si="19">AE580-$AJ$5*$AJ$4</f>
        <v>68.837393884295665</v>
      </c>
      <c r="AH580" s="22">
        <f>AC580-AE580</f>
        <v>-13.479053484698362</v>
      </c>
    </row>
    <row r="581" spans="1:34" x14ac:dyDescent="0.25">
      <c r="A581" s="1">
        <f>DATEVALUE(Sheet1!A580)</f>
        <v>45408</v>
      </c>
      <c r="B581" s="2">
        <f>VALUE(Sheet1!B580)</f>
        <v>58.09</v>
      </c>
      <c r="C581" s="9">
        <f>(B581-B580)/B580</f>
        <v>1.3790725736942838E-3</v>
      </c>
      <c r="D581" s="2">
        <f>MAX(D580,B581)</f>
        <v>103.9</v>
      </c>
      <c r="E581" s="9">
        <f>(B581-D581)/D581</f>
        <v>-0.44090471607314724</v>
      </c>
      <c r="AB581" s="1">
        <f>A581</f>
        <v>45408</v>
      </c>
      <c r="AC581" s="2">
        <f>B581</f>
        <v>58.09</v>
      </c>
      <c r="AD581" s="2">
        <f>579</f>
        <v>579</v>
      </c>
      <c r="AE581" s="2">
        <f>INTERCEPT($AC$3:$AC$1136,$AD$3:$AD$1136)+SLOPE($AC$3:$AC$1136,$AD$3:$AD$1136)*AD581</f>
        <v>71.470341521285917</v>
      </c>
      <c r="AF581" s="2">
        <f t="shared" si="18"/>
        <v>74.122001121688612</v>
      </c>
      <c r="AG581" s="2">
        <f t="shared" si="19"/>
        <v>68.818681920883222</v>
      </c>
      <c r="AH581" s="22">
        <f>AC581-AE581</f>
        <v>-13.380341521285914</v>
      </c>
    </row>
    <row r="582" spans="1:34" x14ac:dyDescent="0.25">
      <c r="A582" s="1">
        <f>DATEVALUE(Sheet1!A581)</f>
        <v>45411</v>
      </c>
      <c r="B582" s="2">
        <f>VALUE(Sheet1!B581)</f>
        <v>58.11</v>
      </c>
      <c r="C582" s="9">
        <f>(B582-B581)/B581</f>
        <v>3.4429333792384268E-4</v>
      </c>
      <c r="D582" s="2">
        <f>MAX(D581,B582)</f>
        <v>103.9</v>
      </c>
      <c r="E582" s="9">
        <f>(B582-D582)/D582</f>
        <v>-0.44071222329162663</v>
      </c>
      <c r="AB582" s="1">
        <f>A582</f>
        <v>45411</v>
      </c>
      <c r="AC582" s="2">
        <f>B582</f>
        <v>58.11</v>
      </c>
      <c r="AD582" s="2">
        <f>580</f>
        <v>580</v>
      </c>
      <c r="AE582" s="2">
        <f>INTERCEPT($AC$3:$AC$1136,$AD$3:$AD$1136)+SLOPE($AC$3:$AC$1136,$AD$3:$AD$1136)*AD582</f>
        <v>71.451629557873474</v>
      </c>
      <c r="AF582" s="2">
        <f t="shared" si="18"/>
        <v>74.103289158276169</v>
      </c>
      <c r="AG582" s="2">
        <f t="shared" si="19"/>
        <v>68.799969957470779</v>
      </c>
      <c r="AH582" s="22">
        <f>AC582-AE582</f>
        <v>-13.341629557873475</v>
      </c>
    </row>
    <row r="583" spans="1:34" x14ac:dyDescent="0.25">
      <c r="A583" s="1">
        <f>DATEVALUE(Sheet1!A582)</f>
        <v>45412</v>
      </c>
      <c r="B583" s="2">
        <f>VALUE(Sheet1!B582)</f>
        <v>57.93</v>
      </c>
      <c r="C583" s="9">
        <f>(B583-B582)/B582</f>
        <v>-3.0975735673722201E-3</v>
      </c>
      <c r="D583" s="2">
        <f>MAX(D582,B583)</f>
        <v>103.9</v>
      </c>
      <c r="E583" s="9">
        <f>(B583-D583)/D583</f>
        <v>-0.44244465832531282</v>
      </c>
      <c r="AB583" s="1">
        <f>A583</f>
        <v>45412</v>
      </c>
      <c r="AC583" s="2">
        <f>B583</f>
        <v>57.93</v>
      </c>
      <c r="AD583" s="2">
        <f>581</f>
        <v>581</v>
      </c>
      <c r="AE583" s="2">
        <f>INTERCEPT($AC$3:$AC$1136,$AD$3:$AD$1136)+SLOPE($AC$3:$AC$1136,$AD$3:$AD$1136)*AD583</f>
        <v>71.432917594461017</v>
      </c>
      <c r="AF583" s="2">
        <f t="shared" si="18"/>
        <v>74.084577194863712</v>
      </c>
      <c r="AG583" s="2">
        <f t="shared" si="19"/>
        <v>68.781257994058322</v>
      </c>
      <c r="AH583" s="22">
        <f>AC583-AE583</f>
        <v>-13.502917594461017</v>
      </c>
    </row>
    <row r="584" spans="1:34" x14ac:dyDescent="0.25">
      <c r="A584" s="1">
        <f>DATEVALUE(Sheet1!A583)</f>
        <v>45414</v>
      </c>
      <c r="B584" s="2">
        <f>VALUE(Sheet1!B583)</f>
        <v>57.56</v>
      </c>
      <c r="C584" s="9">
        <f>(B584-B583)/B583</f>
        <v>-6.387018815812143E-3</v>
      </c>
      <c r="D584" s="2">
        <f>MAX(D583,B584)</f>
        <v>103.9</v>
      </c>
      <c r="E584" s="9">
        <f>(B584-D584)/D584</f>
        <v>-0.44600577478344561</v>
      </c>
      <c r="AB584" s="1">
        <f>A584</f>
        <v>45414</v>
      </c>
      <c r="AC584" s="2">
        <f>B584</f>
        <v>57.56</v>
      </c>
      <c r="AD584" s="2">
        <f>582</f>
        <v>582</v>
      </c>
      <c r="AE584" s="2">
        <f>INTERCEPT($AC$3:$AC$1136,$AD$3:$AD$1136)+SLOPE($AC$3:$AC$1136,$AD$3:$AD$1136)*AD584</f>
        <v>71.414205631048574</v>
      </c>
      <c r="AF584" s="2">
        <f t="shared" si="18"/>
        <v>74.065865231451269</v>
      </c>
      <c r="AG584" s="2">
        <f t="shared" si="19"/>
        <v>68.762546030645879</v>
      </c>
      <c r="AH584" s="22">
        <f>AC584-AE584</f>
        <v>-13.854205631048572</v>
      </c>
    </row>
    <row r="585" spans="1:34" x14ac:dyDescent="0.25">
      <c r="A585" s="1">
        <f>DATEVALUE(Sheet1!A584)</f>
        <v>45415</v>
      </c>
      <c r="B585" s="2">
        <f>VALUE(Sheet1!B584)</f>
        <v>58.1</v>
      </c>
      <c r="C585" s="9">
        <f>(B585-B584)/B584</f>
        <v>9.3815149409311877E-3</v>
      </c>
      <c r="D585" s="2">
        <f>MAX(D584,B585)</f>
        <v>103.9</v>
      </c>
      <c r="E585" s="9">
        <f>(B585-D585)/D585</f>
        <v>-0.44080846968238691</v>
      </c>
      <c r="AB585" s="1">
        <f>A585</f>
        <v>45415</v>
      </c>
      <c r="AC585" s="2">
        <f>B585</f>
        <v>58.1</v>
      </c>
      <c r="AD585" s="2">
        <f>583</f>
        <v>583</v>
      </c>
      <c r="AE585" s="2">
        <f>INTERCEPT($AC$3:$AC$1136,$AD$3:$AD$1136)+SLOPE($AC$3:$AC$1136,$AD$3:$AD$1136)*AD585</f>
        <v>71.395493667636131</v>
      </c>
      <c r="AF585" s="2">
        <f t="shared" si="18"/>
        <v>74.047153268038826</v>
      </c>
      <c r="AG585" s="2">
        <f t="shared" si="19"/>
        <v>68.743834067233436</v>
      </c>
      <c r="AH585" s="22">
        <f>AC585-AE585</f>
        <v>-13.29549366763613</v>
      </c>
    </row>
    <row r="586" spans="1:34" x14ac:dyDescent="0.25">
      <c r="A586" s="1">
        <f>DATEVALUE(Sheet1!A585)</f>
        <v>45418</v>
      </c>
      <c r="B586" s="2">
        <f>VALUE(Sheet1!B585)</f>
        <v>58.2</v>
      </c>
      <c r="C586" s="9">
        <f>(B586-B585)/B585</f>
        <v>1.7211703958692154E-3</v>
      </c>
      <c r="D586" s="2">
        <f>MAX(D585,B586)</f>
        <v>103.9</v>
      </c>
      <c r="E586" s="9">
        <f>(B586-D586)/D586</f>
        <v>-0.43984600577478344</v>
      </c>
      <c r="AB586" s="1">
        <f>A586</f>
        <v>45418</v>
      </c>
      <c r="AC586" s="2">
        <f>B586</f>
        <v>58.2</v>
      </c>
      <c r="AD586" s="2">
        <f>584</f>
        <v>584</v>
      </c>
      <c r="AE586" s="2">
        <f>INTERCEPT($AC$3:$AC$1136,$AD$3:$AD$1136)+SLOPE($AC$3:$AC$1136,$AD$3:$AD$1136)*AD586</f>
        <v>71.376781704223674</v>
      </c>
      <c r="AF586" s="2">
        <f t="shared" si="18"/>
        <v>74.028441304626369</v>
      </c>
      <c r="AG586" s="2">
        <f t="shared" si="19"/>
        <v>68.725122103820979</v>
      </c>
      <c r="AH586" s="22">
        <f>AC586-AE586</f>
        <v>-13.176781704223671</v>
      </c>
    </row>
    <row r="587" spans="1:34" x14ac:dyDescent="0.25">
      <c r="A587" s="1">
        <f>DATEVALUE(Sheet1!A586)</f>
        <v>45419</v>
      </c>
      <c r="B587" s="2">
        <f>VALUE(Sheet1!B586)</f>
        <v>58.16</v>
      </c>
      <c r="C587" s="9">
        <f>(B587-B586)/B586</f>
        <v>-6.8728522336780498E-4</v>
      </c>
      <c r="D587" s="2">
        <f>MAX(D586,B587)</f>
        <v>103.9</v>
      </c>
      <c r="E587" s="9">
        <f>(B587-D587)/D587</f>
        <v>-0.4402309913378249</v>
      </c>
      <c r="AB587" s="1">
        <f>A587</f>
        <v>45419</v>
      </c>
      <c r="AC587" s="2">
        <f>B587</f>
        <v>58.16</v>
      </c>
      <c r="AD587" s="2">
        <f>585</f>
        <v>585</v>
      </c>
      <c r="AE587" s="2">
        <f>INTERCEPT($AC$3:$AC$1136,$AD$3:$AD$1136)+SLOPE($AC$3:$AC$1136,$AD$3:$AD$1136)*AD587</f>
        <v>71.358069740811231</v>
      </c>
      <c r="AF587" s="2">
        <f t="shared" si="18"/>
        <v>74.009729341213927</v>
      </c>
      <c r="AG587" s="2">
        <f t="shared" si="19"/>
        <v>68.706410140408536</v>
      </c>
      <c r="AH587" s="22">
        <f>AC587-AE587</f>
        <v>-13.198069740811235</v>
      </c>
    </row>
    <row r="588" spans="1:34" x14ac:dyDescent="0.25">
      <c r="A588" s="1">
        <f>DATEVALUE(Sheet1!A587)</f>
        <v>45420</v>
      </c>
      <c r="B588" s="2">
        <f>VALUE(Sheet1!B587)</f>
        <v>58.1</v>
      </c>
      <c r="C588" s="9">
        <f>(B588-B587)/B587</f>
        <v>-1.031636863823851E-3</v>
      </c>
      <c r="D588" s="2">
        <f>MAX(D587,B588)</f>
        <v>103.9</v>
      </c>
      <c r="E588" s="9">
        <f>(B588-D588)/D588</f>
        <v>-0.44080846968238691</v>
      </c>
      <c r="AB588" s="1">
        <f>A588</f>
        <v>45420</v>
      </c>
      <c r="AC588" s="2">
        <f>B588</f>
        <v>58.1</v>
      </c>
      <c r="AD588" s="2">
        <f>586</f>
        <v>586</v>
      </c>
      <c r="AE588" s="2">
        <f>INTERCEPT($AC$3:$AC$1136,$AD$3:$AD$1136)+SLOPE($AC$3:$AC$1136,$AD$3:$AD$1136)*AD588</f>
        <v>71.339357777398789</v>
      </c>
      <c r="AF588" s="2">
        <f t="shared" si="18"/>
        <v>73.991017377801484</v>
      </c>
      <c r="AG588" s="2">
        <f t="shared" si="19"/>
        <v>68.687698176996093</v>
      </c>
      <c r="AH588" s="22">
        <f>AC588-AE588</f>
        <v>-13.239357777398787</v>
      </c>
    </row>
    <row r="589" spans="1:34" x14ac:dyDescent="0.25">
      <c r="A589" s="1">
        <f>DATEVALUE(Sheet1!A588)</f>
        <v>45421</v>
      </c>
      <c r="B589" s="2">
        <f>VALUE(Sheet1!B588)</f>
        <v>58.19</v>
      </c>
      <c r="C589" s="9">
        <f>(B589-B588)/B588</f>
        <v>1.5490533562822083E-3</v>
      </c>
      <c r="D589" s="2">
        <f>MAX(D588,B589)</f>
        <v>103.9</v>
      </c>
      <c r="E589" s="9">
        <f>(B589-D589)/D589</f>
        <v>-0.43994225216554383</v>
      </c>
      <c r="AB589" s="1">
        <f>A589</f>
        <v>45421</v>
      </c>
      <c r="AC589" s="2">
        <f>B589</f>
        <v>58.19</v>
      </c>
      <c r="AD589" s="2">
        <f>587</f>
        <v>587</v>
      </c>
      <c r="AE589" s="2">
        <f>INTERCEPT($AC$3:$AC$1136,$AD$3:$AD$1136)+SLOPE($AC$3:$AC$1136,$AD$3:$AD$1136)*AD589</f>
        <v>71.320645813986346</v>
      </c>
      <c r="AF589" s="2">
        <f t="shared" si="18"/>
        <v>73.972305414389041</v>
      </c>
      <c r="AG589" s="2">
        <f t="shared" si="19"/>
        <v>68.668986213583651</v>
      </c>
      <c r="AH589" s="22">
        <f>AC589-AE589</f>
        <v>-13.130645813986348</v>
      </c>
    </row>
    <row r="590" spans="1:34" x14ac:dyDescent="0.25">
      <c r="A590" s="1">
        <f>DATEVALUE(Sheet1!A589)</f>
        <v>45422</v>
      </c>
      <c r="B590" s="2">
        <f>VALUE(Sheet1!B589)</f>
        <v>58.88</v>
      </c>
      <c r="C590" s="9">
        <f>(B590-B589)/B589</f>
        <v>1.1857707509881507E-2</v>
      </c>
      <c r="D590" s="2">
        <f>MAX(D589,B590)</f>
        <v>103.9</v>
      </c>
      <c r="E590" s="9">
        <f>(B590-D590)/D590</f>
        <v>-0.43330125120307988</v>
      </c>
      <c r="AB590" s="1">
        <f>A590</f>
        <v>45422</v>
      </c>
      <c r="AC590" s="2">
        <f>B590</f>
        <v>58.88</v>
      </c>
      <c r="AD590" s="2">
        <f>588</f>
        <v>588</v>
      </c>
      <c r="AE590" s="2">
        <f>INTERCEPT($AC$3:$AC$1136,$AD$3:$AD$1136)+SLOPE($AC$3:$AC$1136,$AD$3:$AD$1136)*AD590</f>
        <v>71.301933850573889</v>
      </c>
      <c r="AF590" s="2">
        <f t="shared" si="18"/>
        <v>73.953593450976584</v>
      </c>
      <c r="AG590" s="2">
        <f t="shared" si="19"/>
        <v>68.650274250171194</v>
      </c>
      <c r="AH590" s="22">
        <f>AC590-AE590</f>
        <v>-12.421933850573886</v>
      </c>
    </row>
    <row r="591" spans="1:34" x14ac:dyDescent="0.25">
      <c r="A591" s="1">
        <f>DATEVALUE(Sheet1!A590)</f>
        <v>45425</v>
      </c>
      <c r="B591" s="2">
        <f>VALUE(Sheet1!B590)</f>
        <v>58.83</v>
      </c>
      <c r="C591" s="9">
        <f>(B591-B590)/B590</f>
        <v>-8.4918478260876805E-4</v>
      </c>
      <c r="D591" s="2">
        <f>MAX(D590,B591)</f>
        <v>103.9</v>
      </c>
      <c r="E591" s="9">
        <f>(B591-D591)/D591</f>
        <v>-0.43378248315688167</v>
      </c>
      <c r="AB591" s="1">
        <f>A591</f>
        <v>45425</v>
      </c>
      <c r="AC591" s="2">
        <f>B591</f>
        <v>58.83</v>
      </c>
      <c r="AD591" s="2">
        <f>589</f>
        <v>589</v>
      </c>
      <c r="AE591" s="2">
        <f>INTERCEPT($AC$3:$AC$1136,$AD$3:$AD$1136)+SLOPE($AC$3:$AC$1136,$AD$3:$AD$1136)*AD591</f>
        <v>71.283221887161446</v>
      </c>
      <c r="AF591" s="2">
        <f t="shared" si="18"/>
        <v>73.934881487564141</v>
      </c>
      <c r="AG591" s="2">
        <f t="shared" si="19"/>
        <v>68.631562286758751</v>
      </c>
      <c r="AH591" s="22">
        <f>AC591-AE591</f>
        <v>-12.453221887161448</v>
      </c>
    </row>
    <row r="592" spans="1:34" x14ac:dyDescent="0.25">
      <c r="A592" s="1">
        <f>DATEVALUE(Sheet1!A591)</f>
        <v>45426</v>
      </c>
      <c r="B592" s="2">
        <f>VALUE(Sheet1!B591)</f>
        <v>58.67</v>
      </c>
      <c r="C592" s="9">
        <f>(B592-B591)/B591</f>
        <v>-2.719700832908322E-3</v>
      </c>
      <c r="D592" s="2">
        <f>MAX(D591,B592)</f>
        <v>103.9</v>
      </c>
      <c r="E592" s="9">
        <f>(B592-D592)/D592</f>
        <v>-0.4353224254090472</v>
      </c>
      <c r="AB592" s="1">
        <f>A592</f>
        <v>45426</v>
      </c>
      <c r="AC592" s="2">
        <f>B592</f>
        <v>58.67</v>
      </c>
      <c r="AD592" s="2">
        <f>590</f>
        <v>590</v>
      </c>
      <c r="AE592" s="2">
        <f>INTERCEPT($AC$3:$AC$1136,$AD$3:$AD$1136)+SLOPE($AC$3:$AC$1136,$AD$3:$AD$1136)*AD592</f>
        <v>71.264509923749003</v>
      </c>
      <c r="AF592" s="2">
        <f t="shared" si="18"/>
        <v>73.916169524151698</v>
      </c>
      <c r="AG592" s="2">
        <f t="shared" si="19"/>
        <v>68.612850323346308</v>
      </c>
      <c r="AH592" s="22">
        <f>AC592-AE592</f>
        <v>-12.594509923749001</v>
      </c>
    </row>
    <row r="593" spans="1:34" x14ac:dyDescent="0.25">
      <c r="A593" s="1">
        <f>DATEVALUE(Sheet1!A592)</f>
        <v>45427</v>
      </c>
      <c r="B593" s="2">
        <f>VALUE(Sheet1!B592)</f>
        <v>58.96</v>
      </c>
      <c r="C593" s="9">
        <f>(B593-B592)/B592</f>
        <v>4.9429009715356931E-3</v>
      </c>
      <c r="D593" s="2">
        <f>MAX(D592,B593)</f>
        <v>103.9</v>
      </c>
      <c r="E593" s="9">
        <f>(B593-D593)/D593</f>
        <v>-0.43253128007699715</v>
      </c>
      <c r="AB593" s="1">
        <f>A593</f>
        <v>45427</v>
      </c>
      <c r="AC593" s="2">
        <f>B593</f>
        <v>58.96</v>
      </c>
      <c r="AD593" s="2">
        <f>591</f>
        <v>591</v>
      </c>
      <c r="AE593" s="2">
        <f>INTERCEPT($AC$3:$AC$1136,$AD$3:$AD$1136)+SLOPE($AC$3:$AC$1136,$AD$3:$AD$1136)*AD593</f>
        <v>71.245797960336546</v>
      </c>
      <c r="AF593" s="2">
        <f t="shared" si="18"/>
        <v>73.897457560739241</v>
      </c>
      <c r="AG593" s="2">
        <f t="shared" si="19"/>
        <v>68.594138359933851</v>
      </c>
      <c r="AH593" s="22">
        <f>AC593-AE593</f>
        <v>-12.285797960336545</v>
      </c>
    </row>
    <row r="594" spans="1:34" x14ac:dyDescent="0.25">
      <c r="A594" s="1">
        <f>DATEVALUE(Sheet1!A593)</f>
        <v>45428</v>
      </c>
      <c r="B594" s="2">
        <f>VALUE(Sheet1!B593)</f>
        <v>58.85</v>
      </c>
      <c r="C594" s="9">
        <f>(B594-B593)/B593</f>
        <v>-1.8656716417910352E-3</v>
      </c>
      <c r="D594" s="2">
        <f>MAX(D593,B594)</f>
        <v>103.9</v>
      </c>
      <c r="E594" s="9">
        <f>(B594-D594)/D594</f>
        <v>-0.43358999037536095</v>
      </c>
      <c r="AB594" s="1">
        <f>A594</f>
        <v>45428</v>
      </c>
      <c r="AC594" s="2">
        <f>B594</f>
        <v>58.85</v>
      </c>
      <c r="AD594" s="2">
        <f>592</f>
        <v>592</v>
      </c>
      <c r="AE594" s="2">
        <f>INTERCEPT($AC$3:$AC$1136,$AD$3:$AD$1136)+SLOPE($AC$3:$AC$1136,$AD$3:$AD$1136)*AD594</f>
        <v>71.227085996924103</v>
      </c>
      <c r="AF594" s="2">
        <f t="shared" si="18"/>
        <v>73.878745597326798</v>
      </c>
      <c r="AG594" s="2">
        <f t="shared" si="19"/>
        <v>68.575426396521408</v>
      </c>
      <c r="AH594" s="22">
        <f>AC594-AE594</f>
        <v>-12.377085996924102</v>
      </c>
    </row>
    <row r="595" spans="1:34" x14ac:dyDescent="0.25">
      <c r="A595" s="1">
        <f>DATEVALUE(Sheet1!A594)</f>
        <v>45429</v>
      </c>
      <c r="B595" s="2">
        <f>VALUE(Sheet1!B594)</f>
        <v>59.13</v>
      </c>
      <c r="C595" s="9">
        <f>(B595-B594)/B594</f>
        <v>4.7578589634664596E-3</v>
      </c>
      <c r="D595" s="2">
        <f>MAX(D594,B595)</f>
        <v>103.9</v>
      </c>
      <c r="E595" s="9">
        <f>(B595-D595)/D595</f>
        <v>-0.43089509143407123</v>
      </c>
      <c r="AB595" s="1">
        <f>A595</f>
        <v>45429</v>
      </c>
      <c r="AC595" s="2">
        <f>B595</f>
        <v>59.13</v>
      </c>
      <c r="AD595" s="2">
        <f>593</f>
        <v>593</v>
      </c>
      <c r="AE595" s="2">
        <f>INTERCEPT($AC$3:$AC$1136,$AD$3:$AD$1136)+SLOPE($AC$3:$AC$1136,$AD$3:$AD$1136)*AD595</f>
        <v>71.20837403351166</v>
      </c>
      <c r="AF595" s="2">
        <f t="shared" si="18"/>
        <v>73.860033633914355</v>
      </c>
      <c r="AG595" s="2">
        <f t="shared" si="19"/>
        <v>68.556714433108965</v>
      </c>
      <c r="AH595" s="22">
        <f>AC595-AE595</f>
        <v>-12.078374033511658</v>
      </c>
    </row>
    <row r="596" spans="1:34" x14ac:dyDescent="0.25">
      <c r="A596" s="1">
        <f>DATEVALUE(Sheet1!A595)</f>
        <v>45432</v>
      </c>
      <c r="B596" s="2">
        <f>VALUE(Sheet1!B595)</f>
        <v>59.68</v>
      </c>
      <c r="C596" s="9">
        <f>(B596-B595)/B595</f>
        <v>9.3015389819042296E-3</v>
      </c>
      <c r="D596" s="2">
        <f>MAX(D595,B596)</f>
        <v>103.9</v>
      </c>
      <c r="E596" s="9">
        <f>(B596-D596)/D596</f>
        <v>-0.42560153994225219</v>
      </c>
      <c r="AB596" s="1">
        <f>A596</f>
        <v>45432</v>
      </c>
      <c r="AC596" s="2">
        <f>B596</f>
        <v>59.68</v>
      </c>
      <c r="AD596" s="2">
        <f>594</f>
        <v>594</v>
      </c>
      <c r="AE596" s="2">
        <f>INTERCEPT($AC$3:$AC$1136,$AD$3:$AD$1136)+SLOPE($AC$3:$AC$1136,$AD$3:$AD$1136)*AD596</f>
        <v>71.189662070099217</v>
      </c>
      <c r="AF596" s="2">
        <f t="shared" si="18"/>
        <v>73.841321670501912</v>
      </c>
      <c r="AG596" s="2">
        <f t="shared" si="19"/>
        <v>68.538002469696522</v>
      </c>
      <c r="AH596" s="22">
        <f>AC596-AE596</f>
        <v>-11.509662070099218</v>
      </c>
    </row>
    <row r="597" spans="1:34" x14ac:dyDescent="0.25">
      <c r="A597" s="1">
        <f>DATEVALUE(Sheet1!A596)</f>
        <v>45433</v>
      </c>
      <c r="B597" s="2">
        <f>VALUE(Sheet1!B596)</f>
        <v>59.48</v>
      </c>
      <c r="C597" s="9">
        <f>(B597-B596)/B596</f>
        <v>-3.3512064343164017E-3</v>
      </c>
      <c r="D597" s="2">
        <f>MAX(D596,B597)</f>
        <v>103.9</v>
      </c>
      <c r="E597" s="9">
        <f>(B597-D597)/D597</f>
        <v>-0.42752646775745917</v>
      </c>
      <c r="AB597" s="1">
        <f>A597</f>
        <v>45433</v>
      </c>
      <c r="AC597" s="2">
        <f>B597</f>
        <v>59.48</v>
      </c>
      <c r="AD597" s="2">
        <f>595</f>
        <v>595</v>
      </c>
      <c r="AE597" s="2">
        <f>INTERCEPT($AC$3:$AC$1136,$AD$3:$AD$1136)+SLOPE($AC$3:$AC$1136,$AD$3:$AD$1136)*AD597</f>
        <v>71.170950106686774</v>
      </c>
      <c r="AF597" s="2">
        <f t="shared" si="18"/>
        <v>73.82260970708947</v>
      </c>
      <c r="AG597" s="2">
        <f t="shared" si="19"/>
        <v>68.519290506284079</v>
      </c>
      <c r="AH597" s="22">
        <f>AC597-AE597</f>
        <v>-11.690950106686778</v>
      </c>
    </row>
    <row r="598" spans="1:34" x14ac:dyDescent="0.25">
      <c r="A598" s="1">
        <f>DATEVALUE(Sheet1!A597)</f>
        <v>45434</v>
      </c>
      <c r="B598" s="2">
        <f>VALUE(Sheet1!B597)</f>
        <v>59.36</v>
      </c>
      <c r="C598" s="9">
        <f>(B598-B597)/B597</f>
        <v>-2.0174848688634408E-3</v>
      </c>
      <c r="D598" s="2">
        <f>MAX(D597,B598)</f>
        <v>103.9</v>
      </c>
      <c r="E598" s="9">
        <f>(B598-D598)/D598</f>
        <v>-0.4286814244465833</v>
      </c>
      <c r="AB598" s="1">
        <f>A598</f>
        <v>45434</v>
      </c>
      <c r="AC598" s="2">
        <f>B598</f>
        <v>59.36</v>
      </c>
      <c r="AD598" s="2">
        <f>596</f>
        <v>596</v>
      </c>
      <c r="AE598" s="2">
        <f>INTERCEPT($AC$3:$AC$1136,$AD$3:$AD$1136)+SLOPE($AC$3:$AC$1136,$AD$3:$AD$1136)*AD598</f>
        <v>71.152238143274317</v>
      </c>
      <c r="AF598" s="2">
        <f t="shared" si="18"/>
        <v>73.803897743677012</v>
      </c>
      <c r="AG598" s="2">
        <f t="shared" si="19"/>
        <v>68.500578542871622</v>
      </c>
      <c r="AH598" s="22">
        <f>AC598-AE598</f>
        <v>-11.792238143274318</v>
      </c>
    </row>
    <row r="599" spans="1:34" x14ac:dyDescent="0.25">
      <c r="A599" s="1">
        <f>DATEVALUE(Sheet1!A598)</f>
        <v>45435</v>
      </c>
      <c r="B599" s="2">
        <f>VALUE(Sheet1!B598)</f>
        <v>59.77</v>
      </c>
      <c r="C599" s="9">
        <f>(B599-B598)/B598</f>
        <v>6.9070080862534316E-3</v>
      </c>
      <c r="D599" s="2">
        <f>MAX(D598,B599)</f>
        <v>103.9</v>
      </c>
      <c r="E599" s="9">
        <f>(B599-D599)/D599</f>
        <v>-0.42473532242540907</v>
      </c>
      <c r="AB599" s="1">
        <f>A599</f>
        <v>45435</v>
      </c>
      <c r="AC599" s="2">
        <f>B599</f>
        <v>59.77</v>
      </c>
      <c r="AD599" s="2">
        <f>597</f>
        <v>597</v>
      </c>
      <c r="AE599" s="2">
        <f>INTERCEPT($AC$3:$AC$1136,$AD$3:$AD$1136)+SLOPE($AC$3:$AC$1136,$AD$3:$AD$1136)*AD599</f>
        <v>71.133526179861875</v>
      </c>
      <c r="AF599" s="2">
        <f t="shared" si="18"/>
        <v>73.78518578026457</v>
      </c>
      <c r="AG599" s="2">
        <f t="shared" si="19"/>
        <v>68.481866579459179</v>
      </c>
      <c r="AH599" s="22">
        <f>AC599-AE599</f>
        <v>-11.363526179861871</v>
      </c>
    </row>
    <row r="600" spans="1:34" x14ac:dyDescent="0.25">
      <c r="A600" s="1">
        <f>DATEVALUE(Sheet1!A599)</f>
        <v>45436</v>
      </c>
      <c r="B600" s="2">
        <f>VALUE(Sheet1!B599)</f>
        <v>59.74</v>
      </c>
      <c r="C600" s="9">
        <f>(B600-B599)/B599</f>
        <v>-5.0192404216163849E-4</v>
      </c>
      <c r="D600" s="2">
        <f>MAX(D599,B600)</f>
        <v>103.9</v>
      </c>
      <c r="E600" s="9">
        <f>(B600-D600)/D600</f>
        <v>-0.42502406159769007</v>
      </c>
      <c r="AB600" s="1">
        <f>A600</f>
        <v>45436</v>
      </c>
      <c r="AC600" s="2">
        <f>B600</f>
        <v>59.74</v>
      </c>
      <c r="AD600" s="2">
        <f>598</f>
        <v>598</v>
      </c>
      <c r="AE600" s="2">
        <f>INTERCEPT($AC$3:$AC$1136,$AD$3:$AD$1136)+SLOPE($AC$3:$AC$1136,$AD$3:$AD$1136)*AD600</f>
        <v>71.114814216449432</v>
      </c>
      <c r="AF600" s="2">
        <f t="shared" si="18"/>
        <v>73.766473816852127</v>
      </c>
      <c r="AG600" s="2">
        <f t="shared" si="19"/>
        <v>68.463154616046737</v>
      </c>
      <c r="AH600" s="22">
        <f>AC600-AE600</f>
        <v>-11.37481421644943</v>
      </c>
    </row>
    <row r="601" spans="1:34" x14ac:dyDescent="0.25">
      <c r="A601" s="1">
        <f>DATEVALUE(Sheet1!A600)</f>
        <v>45439</v>
      </c>
      <c r="B601" s="2">
        <f>VALUE(Sheet1!B600)</f>
        <v>59.67</v>
      </c>
      <c r="C601" s="9">
        <f>(B601-B600)/B600</f>
        <v>-1.1717442249748959E-3</v>
      </c>
      <c r="D601" s="2">
        <f>MAX(D600,B601)</f>
        <v>103.9</v>
      </c>
      <c r="E601" s="9">
        <f>(B601-D601)/D601</f>
        <v>-0.42569778633301253</v>
      </c>
      <c r="AB601" s="1">
        <f>A601</f>
        <v>45439</v>
      </c>
      <c r="AC601" s="2">
        <f>B601</f>
        <v>59.67</v>
      </c>
      <c r="AD601" s="2">
        <f>599</f>
        <v>599</v>
      </c>
      <c r="AE601" s="2">
        <f>INTERCEPT($AC$3:$AC$1136,$AD$3:$AD$1136)+SLOPE($AC$3:$AC$1136,$AD$3:$AD$1136)*AD601</f>
        <v>71.096102253036975</v>
      </c>
      <c r="AF601" s="2">
        <f t="shared" si="18"/>
        <v>73.74776185343967</v>
      </c>
      <c r="AG601" s="2">
        <f t="shared" si="19"/>
        <v>68.44444265263428</v>
      </c>
      <c r="AH601" s="22">
        <f>AC601-AE601</f>
        <v>-11.426102253036973</v>
      </c>
    </row>
    <row r="602" spans="1:34" x14ac:dyDescent="0.25">
      <c r="A602" s="1">
        <f>DATEVALUE(Sheet1!A601)</f>
        <v>45440</v>
      </c>
      <c r="B602" s="2">
        <f>VALUE(Sheet1!B601)</f>
        <v>59.43</v>
      </c>
      <c r="C602" s="9">
        <f>(B602-B601)/B601</f>
        <v>-4.0221216691805261E-3</v>
      </c>
      <c r="D602" s="2">
        <f>MAX(D601,B602)</f>
        <v>103.9</v>
      </c>
      <c r="E602" s="9">
        <f>(B602-D602)/D602</f>
        <v>-0.42800769971126085</v>
      </c>
      <c r="AB602" s="1">
        <f>A602</f>
        <v>45440</v>
      </c>
      <c r="AC602" s="2">
        <f>B602</f>
        <v>59.43</v>
      </c>
      <c r="AD602" s="2">
        <f>600</f>
        <v>600</v>
      </c>
      <c r="AE602" s="2">
        <f>INTERCEPT($AC$3:$AC$1136,$AD$3:$AD$1136)+SLOPE($AC$3:$AC$1136,$AD$3:$AD$1136)*AD602</f>
        <v>71.077390289624532</v>
      </c>
      <c r="AF602" s="2">
        <f t="shared" si="18"/>
        <v>73.729049890027227</v>
      </c>
      <c r="AG602" s="2">
        <f t="shared" si="19"/>
        <v>68.425730689221837</v>
      </c>
      <c r="AH602" s="22">
        <f>AC602-AE602</f>
        <v>-11.647390289624532</v>
      </c>
    </row>
    <row r="603" spans="1:34" x14ac:dyDescent="0.25">
      <c r="A603" s="1">
        <f>DATEVALUE(Sheet1!A602)</f>
        <v>45441</v>
      </c>
      <c r="B603" s="2">
        <f>VALUE(Sheet1!B602)</f>
        <v>59.29</v>
      </c>
      <c r="C603" s="9">
        <f>(B603-B602)/B602</f>
        <v>-2.3557126030624357E-3</v>
      </c>
      <c r="D603" s="2">
        <f>MAX(D602,B603)</f>
        <v>103.9</v>
      </c>
      <c r="E603" s="9">
        <f>(B603-D603)/D603</f>
        <v>-0.4293551491819057</v>
      </c>
      <c r="AB603" s="1">
        <f>A603</f>
        <v>45441</v>
      </c>
      <c r="AC603" s="2">
        <f>B603</f>
        <v>59.29</v>
      </c>
      <c r="AD603" s="2">
        <f>601</f>
        <v>601</v>
      </c>
      <c r="AE603" s="2">
        <f>INTERCEPT($AC$3:$AC$1136,$AD$3:$AD$1136)+SLOPE($AC$3:$AC$1136,$AD$3:$AD$1136)*AD603</f>
        <v>71.058678326212089</v>
      </c>
      <c r="AF603" s="2">
        <f t="shared" si="18"/>
        <v>73.710337926614784</v>
      </c>
      <c r="AG603" s="2">
        <f t="shared" si="19"/>
        <v>68.407018725809394</v>
      </c>
      <c r="AH603" s="22">
        <f>AC603-AE603</f>
        <v>-11.76867832621209</v>
      </c>
    </row>
    <row r="604" spans="1:34" x14ac:dyDescent="0.25">
      <c r="A604" s="1">
        <f>DATEVALUE(Sheet1!A603)</f>
        <v>45443</v>
      </c>
      <c r="B604" s="2">
        <f>VALUE(Sheet1!B603)</f>
        <v>59.36</v>
      </c>
      <c r="C604" s="9">
        <f>(B604-B603)/B603</f>
        <v>1.1806375442739126E-3</v>
      </c>
      <c r="D604" s="2">
        <f>MAX(D603,B604)</f>
        <v>103.9</v>
      </c>
      <c r="E604" s="9">
        <f>(B604-D604)/D604</f>
        <v>-0.4286814244465833</v>
      </c>
      <c r="AB604" s="1">
        <f>A604</f>
        <v>45443</v>
      </c>
      <c r="AC604" s="2">
        <f>B604</f>
        <v>59.36</v>
      </c>
      <c r="AD604" s="2">
        <f>602</f>
        <v>602</v>
      </c>
      <c r="AE604" s="2">
        <f>INTERCEPT($AC$3:$AC$1136,$AD$3:$AD$1136)+SLOPE($AC$3:$AC$1136,$AD$3:$AD$1136)*AD604</f>
        <v>71.039966362799646</v>
      </c>
      <c r="AF604" s="2">
        <f t="shared" si="18"/>
        <v>73.691625963202341</v>
      </c>
      <c r="AG604" s="2">
        <f t="shared" si="19"/>
        <v>68.388306762396951</v>
      </c>
      <c r="AH604" s="22">
        <f>AC604-AE604</f>
        <v>-11.679966362799647</v>
      </c>
    </row>
    <row r="605" spans="1:34" x14ac:dyDescent="0.25">
      <c r="A605" s="1">
        <f>DATEVALUE(Sheet1!A604)</f>
        <v>45446</v>
      </c>
      <c r="B605" s="2">
        <f>VALUE(Sheet1!B604)</f>
        <v>58.95</v>
      </c>
      <c r="C605" s="9">
        <f>(B605-B604)/B604</f>
        <v>-6.9070080862533119E-3</v>
      </c>
      <c r="D605" s="2">
        <f>MAX(D604,B605)</f>
        <v>103.9</v>
      </c>
      <c r="E605" s="9">
        <f>(B605-D605)/D605</f>
        <v>-0.43262752646775748</v>
      </c>
      <c r="AB605" s="1">
        <f>A605</f>
        <v>45446</v>
      </c>
      <c r="AC605" s="2">
        <f>B605</f>
        <v>58.95</v>
      </c>
      <c r="AD605" s="2">
        <f>603</f>
        <v>603</v>
      </c>
      <c r="AE605" s="2">
        <f>INTERCEPT($AC$3:$AC$1136,$AD$3:$AD$1136)+SLOPE($AC$3:$AC$1136,$AD$3:$AD$1136)*AD605</f>
        <v>71.021254399387189</v>
      </c>
      <c r="AF605" s="2">
        <f t="shared" si="18"/>
        <v>73.672913999789884</v>
      </c>
      <c r="AG605" s="2">
        <f t="shared" si="19"/>
        <v>68.369594798984494</v>
      </c>
      <c r="AH605" s="22">
        <f>AC605-AE605</f>
        <v>-12.071254399387186</v>
      </c>
    </row>
    <row r="606" spans="1:34" x14ac:dyDescent="0.25">
      <c r="A606" s="1">
        <f>DATEVALUE(Sheet1!A605)</f>
        <v>45447</v>
      </c>
      <c r="B606" s="2">
        <f>VALUE(Sheet1!B605)</f>
        <v>58.58</v>
      </c>
      <c r="C606" s="9">
        <f>(B606-B605)/B605</f>
        <v>-6.2765055131468114E-3</v>
      </c>
      <c r="D606" s="2">
        <f>MAX(D605,B606)</f>
        <v>103.9</v>
      </c>
      <c r="E606" s="9">
        <f>(B606-D606)/D606</f>
        <v>-0.43618864292589032</v>
      </c>
      <c r="AB606" s="1">
        <f>A606</f>
        <v>45447</v>
      </c>
      <c r="AC606" s="2">
        <f>B606</f>
        <v>58.58</v>
      </c>
      <c r="AD606" s="2">
        <f>604</f>
        <v>604</v>
      </c>
      <c r="AE606" s="2">
        <f>INTERCEPT($AC$3:$AC$1136,$AD$3:$AD$1136)+SLOPE($AC$3:$AC$1136,$AD$3:$AD$1136)*AD606</f>
        <v>71.002542435974746</v>
      </c>
      <c r="AF606" s="2">
        <f t="shared" si="18"/>
        <v>73.654202036377441</v>
      </c>
      <c r="AG606" s="2">
        <f t="shared" si="19"/>
        <v>68.350882835572051</v>
      </c>
      <c r="AH606" s="22">
        <f>AC606-AE606</f>
        <v>-12.422542435974748</v>
      </c>
    </row>
    <row r="607" spans="1:34" x14ac:dyDescent="0.25">
      <c r="A607" s="1">
        <f>DATEVALUE(Sheet1!A606)</f>
        <v>45448</v>
      </c>
      <c r="B607" s="2">
        <f>VALUE(Sheet1!B606)</f>
        <v>58.55</v>
      </c>
      <c r="C607" s="9">
        <f>(B607-B606)/B606</f>
        <v>-5.1212017753501427E-4</v>
      </c>
      <c r="D607" s="2">
        <f>MAX(D606,B607)</f>
        <v>103.9</v>
      </c>
      <c r="E607" s="9">
        <f>(B607-D607)/D607</f>
        <v>-0.43647738209817138</v>
      </c>
      <c r="AB607" s="1">
        <f>A607</f>
        <v>45448</v>
      </c>
      <c r="AC607" s="2">
        <f>B607</f>
        <v>58.55</v>
      </c>
      <c r="AD607" s="2">
        <f>605</f>
        <v>605</v>
      </c>
      <c r="AE607" s="2">
        <f>INTERCEPT($AC$3:$AC$1136,$AD$3:$AD$1136)+SLOPE($AC$3:$AC$1136,$AD$3:$AD$1136)*AD607</f>
        <v>70.983830472562303</v>
      </c>
      <c r="AF607" s="2">
        <f t="shared" si="18"/>
        <v>73.635490072964998</v>
      </c>
      <c r="AG607" s="2">
        <f t="shared" si="19"/>
        <v>68.332170872159608</v>
      </c>
      <c r="AH607" s="22">
        <f>AC607-AE607</f>
        <v>-12.433830472562306</v>
      </c>
    </row>
    <row r="608" spans="1:34" x14ac:dyDescent="0.25">
      <c r="A608" s="1">
        <f>DATEVALUE(Sheet1!A607)</f>
        <v>45449</v>
      </c>
      <c r="B608" s="2">
        <f>VALUE(Sheet1!B607)</f>
        <v>58.27</v>
      </c>
      <c r="C608" s="9">
        <f>(B608-B607)/B607</f>
        <v>-4.7822374039281643E-3</v>
      </c>
      <c r="D608" s="2">
        <f>MAX(D607,B608)</f>
        <v>103.9</v>
      </c>
      <c r="E608" s="9">
        <f>(B608-D608)/D608</f>
        <v>-0.43917228103946104</v>
      </c>
      <c r="AB608" s="1">
        <f>A608</f>
        <v>45449</v>
      </c>
      <c r="AC608" s="2">
        <f>B608</f>
        <v>58.27</v>
      </c>
      <c r="AD608" s="2">
        <f>606</f>
        <v>606</v>
      </c>
      <c r="AE608" s="2">
        <f>INTERCEPT($AC$3:$AC$1136,$AD$3:$AD$1136)+SLOPE($AC$3:$AC$1136,$AD$3:$AD$1136)*AD608</f>
        <v>70.965118509149846</v>
      </c>
      <c r="AF608" s="2">
        <f t="shared" si="18"/>
        <v>73.616778109552541</v>
      </c>
      <c r="AG608" s="2">
        <f t="shared" si="19"/>
        <v>68.313458908747151</v>
      </c>
      <c r="AH608" s="22">
        <f>AC608-AE608</f>
        <v>-12.695118509149843</v>
      </c>
    </row>
    <row r="609" spans="1:34" x14ac:dyDescent="0.25">
      <c r="A609" s="1">
        <f>DATEVALUE(Sheet1!A608)</f>
        <v>45450</v>
      </c>
      <c r="B609" s="2">
        <f>VALUE(Sheet1!B608)</f>
        <v>57.85</v>
      </c>
      <c r="C609" s="9">
        <f>(B609-B608)/B608</f>
        <v>-7.2078256392655174E-3</v>
      </c>
      <c r="D609" s="2">
        <f>MAX(D608,B609)</f>
        <v>103.9</v>
      </c>
      <c r="E609" s="9">
        <f>(B609-D609)/D609</f>
        <v>-0.44321462945139561</v>
      </c>
      <c r="AB609" s="1">
        <f>A609</f>
        <v>45450</v>
      </c>
      <c r="AC609" s="2">
        <f>B609</f>
        <v>57.85</v>
      </c>
      <c r="AD609" s="2">
        <f>607</f>
        <v>607</v>
      </c>
      <c r="AE609" s="2">
        <f>INTERCEPT($AC$3:$AC$1136,$AD$3:$AD$1136)+SLOPE($AC$3:$AC$1136,$AD$3:$AD$1136)*AD609</f>
        <v>70.946406545737403</v>
      </c>
      <c r="AF609" s="2">
        <f t="shared" si="18"/>
        <v>73.598066146140098</v>
      </c>
      <c r="AG609" s="2">
        <f t="shared" si="19"/>
        <v>68.294746945334708</v>
      </c>
      <c r="AH609" s="22">
        <f>AC609-AE609</f>
        <v>-13.096406545737402</v>
      </c>
    </row>
    <row r="610" spans="1:34" x14ac:dyDescent="0.25">
      <c r="A610" s="1">
        <f>DATEVALUE(Sheet1!A609)</f>
        <v>45453</v>
      </c>
      <c r="B610" s="2">
        <f>VALUE(Sheet1!B609)</f>
        <v>58.22</v>
      </c>
      <c r="C610" s="9">
        <f>(B610-B609)/B609</f>
        <v>6.3958513396715202E-3</v>
      </c>
      <c r="D610" s="2">
        <f>MAX(D609,B610)</f>
        <v>103.9</v>
      </c>
      <c r="E610" s="9">
        <f>(B610-D610)/D610</f>
        <v>-0.43965351299326277</v>
      </c>
      <c r="AB610" s="1">
        <f>A610</f>
        <v>45453</v>
      </c>
      <c r="AC610" s="2">
        <f>B610</f>
        <v>58.22</v>
      </c>
      <c r="AD610" s="2">
        <f>608</f>
        <v>608</v>
      </c>
      <c r="AE610" s="2">
        <f>INTERCEPT($AC$3:$AC$1136,$AD$3:$AD$1136)+SLOPE($AC$3:$AC$1136,$AD$3:$AD$1136)*AD610</f>
        <v>70.92769458232496</v>
      </c>
      <c r="AF610" s="2">
        <f t="shared" si="18"/>
        <v>73.579354182727656</v>
      </c>
      <c r="AG610" s="2">
        <f t="shared" si="19"/>
        <v>68.276034981922265</v>
      </c>
      <c r="AH610" s="22">
        <f>AC610-AE610</f>
        <v>-12.707694582324962</v>
      </c>
    </row>
    <row r="611" spans="1:34" x14ac:dyDescent="0.25">
      <c r="A611" s="1">
        <f>DATEVALUE(Sheet1!A610)</f>
        <v>45454</v>
      </c>
      <c r="B611" s="2">
        <f>VALUE(Sheet1!B610)</f>
        <v>57.94</v>
      </c>
      <c r="C611" s="9">
        <f>(B611-B610)/B610</f>
        <v>-4.8093438680865876E-3</v>
      </c>
      <c r="D611" s="2">
        <f>MAX(D610,B611)</f>
        <v>103.9</v>
      </c>
      <c r="E611" s="9">
        <f>(B611-D611)/D611</f>
        <v>-0.44234841193455249</v>
      </c>
      <c r="AB611" s="1">
        <f>A611</f>
        <v>45454</v>
      </c>
      <c r="AC611" s="2">
        <f>B611</f>
        <v>57.94</v>
      </c>
      <c r="AD611" s="2">
        <f>609</f>
        <v>609</v>
      </c>
      <c r="AE611" s="2">
        <f>INTERCEPT($AC$3:$AC$1136,$AD$3:$AD$1136)+SLOPE($AC$3:$AC$1136,$AD$3:$AD$1136)*AD611</f>
        <v>70.908982618912518</v>
      </c>
      <c r="AF611" s="2">
        <f t="shared" si="18"/>
        <v>73.560642219315213</v>
      </c>
      <c r="AG611" s="2">
        <f t="shared" si="19"/>
        <v>68.257323018509823</v>
      </c>
      <c r="AH611" s="22">
        <f>AC611-AE611</f>
        <v>-12.96898261891252</v>
      </c>
    </row>
    <row r="612" spans="1:34" x14ac:dyDescent="0.25">
      <c r="A612" s="1">
        <f>DATEVALUE(Sheet1!A611)</f>
        <v>45455</v>
      </c>
      <c r="B612" s="2">
        <f>VALUE(Sheet1!B611)</f>
        <v>57.51</v>
      </c>
      <c r="C612" s="9">
        <f>(B612-B611)/B611</f>
        <v>-7.4214704867103859E-3</v>
      </c>
      <c r="D612" s="2">
        <f>MAX(D611,B612)</f>
        <v>103.9</v>
      </c>
      <c r="E612" s="9">
        <f>(B612-D612)/D612</f>
        <v>-0.44648700673724739</v>
      </c>
      <c r="AB612" s="1">
        <f>A612</f>
        <v>45455</v>
      </c>
      <c r="AC612" s="2">
        <f>B612</f>
        <v>57.51</v>
      </c>
      <c r="AD612" s="2">
        <f>610</f>
        <v>610</v>
      </c>
      <c r="AE612" s="2">
        <f>INTERCEPT($AC$3:$AC$1136,$AD$3:$AD$1136)+SLOPE($AC$3:$AC$1136,$AD$3:$AD$1136)*AD612</f>
        <v>70.890270655500061</v>
      </c>
      <c r="AF612" s="2">
        <f t="shared" si="18"/>
        <v>73.541930255902756</v>
      </c>
      <c r="AG612" s="2">
        <f t="shared" si="19"/>
        <v>68.238611055097365</v>
      </c>
      <c r="AH612" s="22">
        <f>AC612-AE612</f>
        <v>-13.380270655500063</v>
      </c>
    </row>
    <row r="613" spans="1:34" x14ac:dyDescent="0.25">
      <c r="A613" s="1">
        <f>DATEVALUE(Sheet1!A612)</f>
        <v>45456</v>
      </c>
      <c r="B613" s="2">
        <f>VALUE(Sheet1!B612)</f>
        <v>57.53</v>
      </c>
      <c r="C613" s="9">
        <f>(B613-B612)/B612</f>
        <v>3.4776560598162278E-4</v>
      </c>
      <c r="D613" s="2">
        <f>MAX(D612,B613)</f>
        <v>103.9</v>
      </c>
      <c r="E613" s="9">
        <f>(B613-D613)/D613</f>
        <v>-0.44629451395572667</v>
      </c>
      <c r="AB613" s="1">
        <f>A613</f>
        <v>45456</v>
      </c>
      <c r="AC613" s="2">
        <f>B613</f>
        <v>57.53</v>
      </c>
      <c r="AD613" s="2">
        <f>611</f>
        <v>611</v>
      </c>
      <c r="AE613" s="2">
        <f>INTERCEPT($AC$3:$AC$1136,$AD$3:$AD$1136)+SLOPE($AC$3:$AC$1136,$AD$3:$AD$1136)*AD613</f>
        <v>70.871558692087618</v>
      </c>
      <c r="AF613" s="2">
        <f t="shared" si="18"/>
        <v>73.523218292490313</v>
      </c>
      <c r="AG613" s="2">
        <f t="shared" si="19"/>
        <v>68.219899091684923</v>
      </c>
      <c r="AH613" s="22">
        <f>AC613-AE613</f>
        <v>-13.341558692087617</v>
      </c>
    </row>
    <row r="614" spans="1:34" x14ac:dyDescent="0.25">
      <c r="A614" s="1">
        <f>DATEVALUE(Sheet1!A613)</f>
        <v>45457</v>
      </c>
      <c r="B614" s="2">
        <f>VALUE(Sheet1!B613)</f>
        <v>57.77</v>
      </c>
      <c r="C614" s="9">
        <f>(B614-B613)/B613</f>
        <v>4.1717364853120454E-3</v>
      </c>
      <c r="D614" s="2">
        <f>MAX(D613,B614)</f>
        <v>103.9</v>
      </c>
      <c r="E614" s="9">
        <f>(B614-D614)/D614</f>
        <v>-0.44398460057747835</v>
      </c>
      <c r="AB614" s="1">
        <f>A614</f>
        <v>45457</v>
      </c>
      <c r="AC614" s="2">
        <f>B614</f>
        <v>57.77</v>
      </c>
      <c r="AD614" s="2">
        <f>612</f>
        <v>612</v>
      </c>
      <c r="AE614" s="2">
        <f>INTERCEPT($AC$3:$AC$1136,$AD$3:$AD$1136)+SLOPE($AC$3:$AC$1136,$AD$3:$AD$1136)*AD614</f>
        <v>70.852846728675175</v>
      </c>
      <c r="AF614" s="2">
        <f t="shared" si="18"/>
        <v>73.50450632907787</v>
      </c>
      <c r="AG614" s="2">
        <f t="shared" si="19"/>
        <v>68.20118712827248</v>
      </c>
      <c r="AH614" s="22">
        <f>AC614-AE614</f>
        <v>-13.082846728675172</v>
      </c>
    </row>
    <row r="615" spans="1:34" x14ac:dyDescent="0.25">
      <c r="A615" s="1">
        <f>DATEVALUE(Sheet1!A614)</f>
        <v>45460</v>
      </c>
      <c r="B615" s="2">
        <f>VALUE(Sheet1!B614)</f>
        <v>57.72</v>
      </c>
      <c r="C615" s="9">
        <f>(B615-B614)/B614</f>
        <v>-8.6550112515153645E-4</v>
      </c>
      <c r="D615" s="2">
        <f>MAX(D614,B615)</f>
        <v>103.9</v>
      </c>
      <c r="E615" s="9">
        <f>(B615-D615)/D615</f>
        <v>-0.44446583253128014</v>
      </c>
      <c r="AB615" s="1">
        <f>A615</f>
        <v>45460</v>
      </c>
      <c r="AC615" s="2">
        <f>B615</f>
        <v>57.72</v>
      </c>
      <c r="AD615" s="2">
        <f>613</f>
        <v>613</v>
      </c>
      <c r="AE615" s="2">
        <f>INTERCEPT($AC$3:$AC$1136,$AD$3:$AD$1136)+SLOPE($AC$3:$AC$1136,$AD$3:$AD$1136)*AD615</f>
        <v>70.834134765262732</v>
      </c>
      <c r="AF615" s="2">
        <f t="shared" si="18"/>
        <v>73.485794365665427</v>
      </c>
      <c r="AG615" s="2">
        <f t="shared" si="19"/>
        <v>68.182475164860037</v>
      </c>
      <c r="AH615" s="22">
        <f>AC615-AE615</f>
        <v>-13.114134765262733</v>
      </c>
    </row>
    <row r="616" spans="1:34" x14ac:dyDescent="0.25">
      <c r="A616" s="1">
        <f>DATEVALUE(Sheet1!A615)</f>
        <v>45461</v>
      </c>
      <c r="B616" s="2">
        <f>VALUE(Sheet1!B615)</f>
        <v>57.71</v>
      </c>
      <c r="C616" s="9">
        <f>(B616-B615)/B615</f>
        <v>-1.7325017325013877E-4</v>
      </c>
      <c r="D616" s="2">
        <f>MAX(D615,B616)</f>
        <v>103.9</v>
      </c>
      <c r="E616" s="9">
        <f>(B616-D616)/D616</f>
        <v>-0.44456207892204047</v>
      </c>
      <c r="AB616" s="1">
        <f>A616</f>
        <v>45461</v>
      </c>
      <c r="AC616" s="2">
        <f>B616</f>
        <v>57.71</v>
      </c>
      <c r="AD616" s="2">
        <f>614</f>
        <v>614</v>
      </c>
      <c r="AE616" s="2">
        <f>INTERCEPT($AC$3:$AC$1136,$AD$3:$AD$1136)+SLOPE($AC$3:$AC$1136,$AD$3:$AD$1136)*AD616</f>
        <v>70.815422801850275</v>
      </c>
      <c r="AF616" s="2">
        <f t="shared" si="18"/>
        <v>73.46708240225297</v>
      </c>
      <c r="AG616" s="2">
        <f t="shared" si="19"/>
        <v>68.16376320144758</v>
      </c>
      <c r="AH616" s="22">
        <f>AC616-AE616</f>
        <v>-13.105422801850274</v>
      </c>
    </row>
    <row r="617" spans="1:34" x14ac:dyDescent="0.25">
      <c r="A617" s="1">
        <f>DATEVALUE(Sheet1!A616)</f>
        <v>45462</v>
      </c>
      <c r="B617" s="2">
        <f>VALUE(Sheet1!B616)</f>
        <v>58.06</v>
      </c>
      <c r="C617" s="9">
        <f>(B617-B616)/B616</f>
        <v>6.0648067925836322E-3</v>
      </c>
      <c r="D617" s="2">
        <f>MAX(D616,B617)</f>
        <v>103.9</v>
      </c>
      <c r="E617" s="9">
        <f>(B617-D617)/D617</f>
        <v>-0.4411934552454283</v>
      </c>
      <c r="AB617" s="1">
        <f>A617</f>
        <v>45462</v>
      </c>
      <c r="AC617" s="2">
        <f>B617</f>
        <v>58.06</v>
      </c>
      <c r="AD617" s="2">
        <f>615</f>
        <v>615</v>
      </c>
      <c r="AE617" s="2">
        <f>INTERCEPT($AC$3:$AC$1136,$AD$3:$AD$1136)+SLOPE($AC$3:$AC$1136,$AD$3:$AD$1136)*AD617</f>
        <v>70.796710838437832</v>
      </c>
      <c r="AF617" s="2">
        <f t="shared" si="18"/>
        <v>73.448370438840527</v>
      </c>
      <c r="AG617" s="2">
        <f t="shared" si="19"/>
        <v>68.145051238035137</v>
      </c>
      <c r="AH617" s="22">
        <f>AC617-AE617</f>
        <v>-12.73671083843783</v>
      </c>
    </row>
    <row r="618" spans="1:34" x14ac:dyDescent="0.25">
      <c r="A618" s="1">
        <f>DATEVALUE(Sheet1!A617)</f>
        <v>45463</v>
      </c>
      <c r="B618" s="2">
        <f>VALUE(Sheet1!B617)</f>
        <v>58.15</v>
      </c>
      <c r="C618" s="9">
        <f>(B618-B617)/B617</f>
        <v>1.5501205649327645E-3</v>
      </c>
      <c r="D618" s="2">
        <f>MAX(D617,B618)</f>
        <v>103.9</v>
      </c>
      <c r="E618" s="9">
        <f>(B618-D618)/D618</f>
        <v>-0.44032723772858523</v>
      </c>
      <c r="AB618" s="1">
        <f>A618</f>
        <v>45463</v>
      </c>
      <c r="AC618" s="2">
        <f>B618</f>
        <v>58.15</v>
      </c>
      <c r="AD618" s="2">
        <f>616</f>
        <v>616</v>
      </c>
      <c r="AE618" s="2">
        <f>INTERCEPT($AC$3:$AC$1136,$AD$3:$AD$1136)+SLOPE($AC$3:$AC$1136,$AD$3:$AD$1136)*AD618</f>
        <v>70.777998875025389</v>
      </c>
      <c r="AF618" s="2">
        <f t="shared" si="18"/>
        <v>73.429658475428084</v>
      </c>
      <c r="AG618" s="2">
        <f t="shared" si="19"/>
        <v>68.126339274622694</v>
      </c>
      <c r="AH618" s="22">
        <f>AC618-AE618</f>
        <v>-12.627998875025391</v>
      </c>
    </row>
    <row r="619" spans="1:34" x14ac:dyDescent="0.25">
      <c r="A619" s="1">
        <f>DATEVALUE(Sheet1!A618)</f>
        <v>45464</v>
      </c>
      <c r="B619" s="2">
        <f>VALUE(Sheet1!B618)</f>
        <v>58.13</v>
      </c>
      <c r="C619" s="9">
        <f>(B619-B618)/B618</f>
        <v>-3.4393809114352574E-4</v>
      </c>
      <c r="D619" s="2">
        <f>MAX(D618,B619)</f>
        <v>103.9</v>
      </c>
      <c r="E619" s="9">
        <f>(B619-D619)/D619</f>
        <v>-0.4405197305101059</v>
      </c>
      <c r="AB619" s="1">
        <f>A619</f>
        <v>45464</v>
      </c>
      <c r="AC619" s="2">
        <f>B619</f>
        <v>58.13</v>
      </c>
      <c r="AD619" s="2">
        <f>617</f>
        <v>617</v>
      </c>
      <c r="AE619" s="2">
        <f>INTERCEPT($AC$3:$AC$1136,$AD$3:$AD$1136)+SLOPE($AC$3:$AC$1136,$AD$3:$AD$1136)*AD619</f>
        <v>70.759286911612946</v>
      </c>
      <c r="AF619" s="2">
        <f t="shared" si="18"/>
        <v>73.410946512015641</v>
      </c>
      <c r="AG619" s="2">
        <f t="shared" si="19"/>
        <v>68.107627311210251</v>
      </c>
      <c r="AH619" s="22">
        <f>AC619-AE619</f>
        <v>-12.629286911612944</v>
      </c>
    </row>
    <row r="620" spans="1:34" x14ac:dyDescent="0.25">
      <c r="A620" s="1">
        <f>DATEVALUE(Sheet1!A619)</f>
        <v>45467</v>
      </c>
      <c r="B620" s="2">
        <f>VALUE(Sheet1!B619)</f>
        <v>57.26</v>
      </c>
      <c r="C620" s="9">
        <f>(B620-B619)/B619</f>
        <v>-1.4966454498537838E-2</v>
      </c>
      <c r="D620" s="2">
        <f>MAX(D619,B620)</f>
        <v>103.9</v>
      </c>
      <c r="E620" s="9">
        <f>(B620-D620)/D620</f>
        <v>-0.44889316650625605</v>
      </c>
      <c r="AB620" s="1">
        <f>A620</f>
        <v>45467</v>
      </c>
      <c r="AC620" s="2">
        <f>B620</f>
        <v>57.26</v>
      </c>
      <c r="AD620" s="2">
        <f>618</f>
        <v>618</v>
      </c>
      <c r="AE620" s="2">
        <f>INTERCEPT($AC$3:$AC$1136,$AD$3:$AD$1136)+SLOPE($AC$3:$AC$1136,$AD$3:$AD$1136)*AD620</f>
        <v>70.740574948200489</v>
      </c>
      <c r="AF620" s="2">
        <f t="shared" si="18"/>
        <v>73.392234548603184</v>
      </c>
      <c r="AG620" s="2">
        <f t="shared" si="19"/>
        <v>68.088915347797794</v>
      </c>
      <c r="AH620" s="22">
        <f>AC620-AE620</f>
        <v>-13.480574948200491</v>
      </c>
    </row>
    <row r="621" spans="1:34" x14ac:dyDescent="0.25">
      <c r="A621" s="1">
        <f>DATEVALUE(Sheet1!A620)</f>
        <v>45468</v>
      </c>
      <c r="B621" s="2">
        <f>VALUE(Sheet1!B620)</f>
        <v>56.88</v>
      </c>
      <c r="C621" s="9">
        <f>(B621-B620)/B620</f>
        <v>-6.6363953894515446E-3</v>
      </c>
      <c r="D621" s="2">
        <f>MAX(D620,B621)</f>
        <v>103.9</v>
      </c>
      <c r="E621" s="9">
        <f>(B621-D621)/D621</f>
        <v>-0.45255052935514917</v>
      </c>
      <c r="AB621" s="1">
        <f>A621</f>
        <v>45468</v>
      </c>
      <c r="AC621" s="2">
        <f>B621</f>
        <v>56.88</v>
      </c>
      <c r="AD621" s="2">
        <f>619</f>
        <v>619</v>
      </c>
      <c r="AE621" s="2">
        <f>INTERCEPT($AC$3:$AC$1136,$AD$3:$AD$1136)+SLOPE($AC$3:$AC$1136,$AD$3:$AD$1136)*AD621</f>
        <v>70.721862984788046</v>
      </c>
      <c r="AF621" s="2">
        <f t="shared" si="18"/>
        <v>73.373522585190742</v>
      </c>
      <c r="AG621" s="2">
        <f t="shared" si="19"/>
        <v>68.070203384385351</v>
      </c>
      <c r="AH621" s="22">
        <f>AC621-AE621</f>
        <v>-13.841862984788044</v>
      </c>
    </row>
    <row r="622" spans="1:34" x14ac:dyDescent="0.25">
      <c r="A622" s="1">
        <f>DATEVALUE(Sheet1!A621)</f>
        <v>45469</v>
      </c>
      <c r="B622" s="2">
        <f>VALUE(Sheet1!B621)</f>
        <v>57.37</v>
      </c>
      <c r="C622" s="9">
        <f>(B622-B621)/B621</f>
        <v>8.6146272855132707E-3</v>
      </c>
      <c r="D622" s="2">
        <f>MAX(D621,B622)</f>
        <v>103.9</v>
      </c>
      <c r="E622" s="9">
        <f>(B622-D622)/D622</f>
        <v>-0.44783445620789225</v>
      </c>
      <c r="AB622" s="1">
        <f>A622</f>
        <v>45469</v>
      </c>
      <c r="AC622" s="2">
        <f>B622</f>
        <v>57.37</v>
      </c>
      <c r="AD622" s="2">
        <f>620</f>
        <v>620</v>
      </c>
      <c r="AE622" s="2">
        <f>INTERCEPT($AC$3:$AC$1136,$AD$3:$AD$1136)+SLOPE($AC$3:$AC$1136,$AD$3:$AD$1136)*AD622</f>
        <v>70.703151021375604</v>
      </c>
      <c r="AF622" s="2">
        <f t="shared" si="18"/>
        <v>73.354810621778299</v>
      </c>
      <c r="AG622" s="2">
        <f t="shared" si="19"/>
        <v>68.051491420972908</v>
      </c>
      <c r="AH622" s="22">
        <f>AC622-AE622</f>
        <v>-13.333151021375606</v>
      </c>
    </row>
    <row r="623" spans="1:34" x14ac:dyDescent="0.25">
      <c r="A623" s="1">
        <f>DATEVALUE(Sheet1!A622)</f>
        <v>45470</v>
      </c>
      <c r="B623" s="2">
        <f>VALUE(Sheet1!B622)</f>
        <v>57.54</v>
      </c>
      <c r="C623" s="9">
        <f>(B623-B622)/B622</f>
        <v>2.9632211957469358E-3</v>
      </c>
      <c r="D623" s="2">
        <f>MAX(D622,B623)</f>
        <v>103.9</v>
      </c>
      <c r="E623" s="9">
        <f>(B623-D623)/D623</f>
        <v>-0.44619826756496633</v>
      </c>
      <c r="AB623" s="1">
        <f>A623</f>
        <v>45470</v>
      </c>
      <c r="AC623" s="2">
        <f>B623</f>
        <v>57.54</v>
      </c>
      <c r="AD623" s="2">
        <f>621</f>
        <v>621</v>
      </c>
      <c r="AE623" s="2">
        <f>INTERCEPT($AC$3:$AC$1136,$AD$3:$AD$1136)+SLOPE($AC$3:$AC$1136,$AD$3:$AD$1136)*AD623</f>
        <v>70.684439057963147</v>
      </c>
      <c r="AF623" s="2">
        <f t="shared" si="18"/>
        <v>73.336098658365842</v>
      </c>
      <c r="AG623" s="2">
        <f t="shared" si="19"/>
        <v>68.032779457560451</v>
      </c>
      <c r="AH623" s="22">
        <f>AC623-AE623</f>
        <v>-13.144439057963147</v>
      </c>
    </row>
    <row r="624" spans="1:34" x14ac:dyDescent="0.25">
      <c r="A624" s="1">
        <f>DATEVALUE(Sheet1!A623)</f>
        <v>45471</v>
      </c>
      <c r="B624" s="2">
        <f>VALUE(Sheet1!B623)</f>
        <v>57.22</v>
      </c>
      <c r="C624" s="9">
        <f>(B624-B623)/B623</f>
        <v>-5.5613486270420631E-3</v>
      </c>
      <c r="D624" s="2">
        <f>MAX(D623,B624)</f>
        <v>103.9</v>
      </c>
      <c r="E624" s="9">
        <f>(B624-D624)/D624</f>
        <v>-0.44927815206929744</v>
      </c>
      <c r="AB624" s="1">
        <f>A624</f>
        <v>45471</v>
      </c>
      <c r="AC624" s="2">
        <f>B624</f>
        <v>57.22</v>
      </c>
      <c r="AD624" s="2">
        <f>622</f>
        <v>622</v>
      </c>
      <c r="AE624" s="2">
        <f>INTERCEPT($AC$3:$AC$1136,$AD$3:$AD$1136)+SLOPE($AC$3:$AC$1136,$AD$3:$AD$1136)*AD624</f>
        <v>70.665727094550704</v>
      </c>
      <c r="AF624" s="2">
        <f t="shared" si="18"/>
        <v>73.317386694953399</v>
      </c>
      <c r="AG624" s="2">
        <f t="shared" si="19"/>
        <v>68.014067494148009</v>
      </c>
      <c r="AH624" s="22">
        <f>AC624-AE624</f>
        <v>-13.445727094550705</v>
      </c>
    </row>
    <row r="625" spans="1:34" x14ac:dyDescent="0.25">
      <c r="A625" s="1">
        <f>DATEVALUE(Sheet1!A624)</f>
        <v>45474</v>
      </c>
      <c r="B625" s="2">
        <f>VALUE(Sheet1!B624)</f>
        <v>57.32</v>
      </c>
      <c r="C625" s="9">
        <f>(B625-B624)/B624</f>
        <v>1.7476406850751734E-3</v>
      </c>
      <c r="D625" s="2">
        <f>MAX(D624,B625)</f>
        <v>103.9</v>
      </c>
      <c r="E625" s="9">
        <f>(B625-D625)/D625</f>
        <v>-0.44831568816169398</v>
      </c>
      <c r="AB625" s="1">
        <f>A625</f>
        <v>45474</v>
      </c>
      <c r="AC625" s="2">
        <f>B625</f>
        <v>57.32</v>
      </c>
      <c r="AD625" s="2">
        <f>623</f>
        <v>623</v>
      </c>
      <c r="AE625" s="2">
        <f>INTERCEPT($AC$3:$AC$1136,$AD$3:$AD$1136)+SLOPE($AC$3:$AC$1136,$AD$3:$AD$1136)*AD625</f>
        <v>70.647015131138261</v>
      </c>
      <c r="AF625" s="2">
        <f t="shared" si="18"/>
        <v>73.298674731540956</v>
      </c>
      <c r="AG625" s="2">
        <f t="shared" si="19"/>
        <v>67.995355530735566</v>
      </c>
      <c r="AH625" s="22">
        <f>AC625-AE625</f>
        <v>-13.327015131138261</v>
      </c>
    </row>
    <row r="626" spans="1:34" x14ac:dyDescent="0.25">
      <c r="A626" s="1">
        <f>DATEVALUE(Sheet1!A625)</f>
        <v>45475</v>
      </c>
      <c r="B626" s="2">
        <f>VALUE(Sheet1!B625)</f>
        <v>56.87</v>
      </c>
      <c r="C626" s="9">
        <f>(B626-B625)/B625</f>
        <v>-7.8506629448709501E-3</v>
      </c>
      <c r="D626" s="2">
        <f>MAX(D625,B626)</f>
        <v>103.9</v>
      </c>
      <c r="E626" s="9">
        <f>(B626-D626)/D626</f>
        <v>-0.45264677574590956</v>
      </c>
      <c r="AB626" s="1">
        <f>A626</f>
        <v>45475</v>
      </c>
      <c r="AC626" s="2">
        <f>B626</f>
        <v>56.87</v>
      </c>
      <c r="AD626" s="2">
        <f>624</f>
        <v>624</v>
      </c>
      <c r="AE626" s="2">
        <f>INTERCEPT($AC$3:$AC$1136,$AD$3:$AD$1136)+SLOPE($AC$3:$AC$1136,$AD$3:$AD$1136)*AD626</f>
        <v>70.628303167725818</v>
      </c>
      <c r="AF626" s="2">
        <f t="shared" si="18"/>
        <v>73.279962768128513</v>
      </c>
      <c r="AG626" s="2">
        <f t="shared" si="19"/>
        <v>67.976643567323123</v>
      </c>
      <c r="AH626" s="22">
        <f>AC626-AE626</f>
        <v>-13.758303167725821</v>
      </c>
    </row>
    <row r="627" spans="1:34" x14ac:dyDescent="0.25">
      <c r="A627" s="1">
        <f>DATEVALUE(Sheet1!A626)</f>
        <v>45476</v>
      </c>
      <c r="B627" s="2">
        <f>VALUE(Sheet1!B626)</f>
        <v>56.4</v>
      </c>
      <c r="C627" s="9">
        <f>(B627-B626)/B626</f>
        <v>-8.2644628099173365E-3</v>
      </c>
      <c r="D627" s="2">
        <f>MAX(D626,B627)</f>
        <v>103.9</v>
      </c>
      <c r="E627" s="9">
        <f>(B627-D627)/D627</f>
        <v>-0.45717035611164586</v>
      </c>
      <c r="AB627" s="1">
        <f>A627</f>
        <v>45476</v>
      </c>
      <c r="AC627" s="2">
        <f>B627</f>
        <v>56.4</v>
      </c>
      <c r="AD627" s="2">
        <f>625</f>
        <v>625</v>
      </c>
      <c r="AE627" s="2">
        <f>INTERCEPT($AC$3:$AC$1136,$AD$3:$AD$1136)+SLOPE($AC$3:$AC$1136,$AD$3:$AD$1136)*AD627</f>
        <v>70.609591204313361</v>
      </c>
      <c r="AF627" s="2">
        <f t="shared" si="18"/>
        <v>73.261250804716056</v>
      </c>
      <c r="AG627" s="2">
        <f t="shared" si="19"/>
        <v>67.957931603910666</v>
      </c>
      <c r="AH627" s="22">
        <f>AC627-AE627</f>
        <v>-14.209591204313362</v>
      </c>
    </row>
    <row r="628" spans="1:34" x14ac:dyDescent="0.25">
      <c r="A628" s="1">
        <f>DATEVALUE(Sheet1!A627)</f>
        <v>45477</v>
      </c>
      <c r="B628" s="2">
        <f>VALUE(Sheet1!B627)</f>
        <v>56.12</v>
      </c>
      <c r="C628" s="9">
        <f>(B628-B627)/B627</f>
        <v>-4.9645390070922188E-3</v>
      </c>
      <c r="D628" s="2">
        <f>MAX(D627,B628)</f>
        <v>103.9</v>
      </c>
      <c r="E628" s="9">
        <f>(B628-D628)/D628</f>
        <v>-0.45986525505293557</v>
      </c>
      <c r="AB628" s="1">
        <f>A628</f>
        <v>45477</v>
      </c>
      <c r="AC628" s="2">
        <f>B628</f>
        <v>56.12</v>
      </c>
      <c r="AD628" s="2">
        <f>626</f>
        <v>626</v>
      </c>
      <c r="AE628" s="2">
        <f>INTERCEPT($AC$3:$AC$1136,$AD$3:$AD$1136)+SLOPE($AC$3:$AC$1136,$AD$3:$AD$1136)*AD628</f>
        <v>70.590879240900918</v>
      </c>
      <c r="AF628" s="2">
        <f t="shared" si="18"/>
        <v>73.242538841303613</v>
      </c>
      <c r="AG628" s="2">
        <f t="shared" si="19"/>
        <v>67.939219640498223</v>
      </c>
      <c r="AH628" s="22">
        <f>AC628-AE628</f>
        <v>-14.470879240900921</v>
      </c>
    </row>
    <row r="629" spans="1:34" x14ac:dyDescent="0.25">
      <c r="A629" s="1">
        <f>DATEVALUE(Sheet1!A628)</f>
        <v>45478</v>
      </c>
      <c r="B629" s="2">
        <f>VALUE(Sheet1!B628)</f>
        <v>56.11</v>
      </c>
      <c r="C629" s="9">
        <f>(B629-B628)/B628</f>
        <v>-1.7818959372769086E-4</v>
      </c>
      <c r="D629" s="2">
        <f>MAX(D628,B629)</f>
        <v>103.9</v>
      </c>
      <c r="E629" s="9">
        <f>(B629-D629)/D629</f>
        <v>-0.45996150144369591</v>
      </c>
      <c r="AB629" s="1">
        <f>A629</f>
        <v>45478</v>
      </c>
      <c r="AC629" s="2">
        <f>B629</f>
        <v>56.11</v>
      </c>
      <c r="AD629" s="2">
        <f>627</f>
        <v>627</v>
      </c>
      <c r="AE629" s="2">
        <f>INTERCEPT($AC$3:$AC$1136,$AD$3:$AD$1136)+SLOPE($AC$3:$AC$1136,$AD$3:$AD$1136)*AD629</f>
        <v>70.572167277488475</v>
      </c>
      <c r="AF629" s="2">
        <f t="shared" si="18"/>
        <v>73.22382687789117</v>
      </c>
      <c r="AG629" s="2">
        <f t="shared" si="19"/>
        <v>67.92050767708578</v>
      </c>
      <c r="AH629" s="22">
        <f>AC629-AE629</f>
        <v>-14.462167277488476</v>
      </c>
    </row>
    <row r="630" spans="1:34" x14ac:dyDescent="0.25">
      <c r="A630" s="1">
        <f>DATEVALUE(Sheet1!A629)</f>
        <v>45481</v>
      </c>
      <c r="B630" s="2">
        <f>VALUE(Sheet1!B629)</f>
        <v>56.14</v>
      </c>
      <c r="C630" s="9">
        <f>(B630-B629)/B629</f>
        <v>5.3466405275354016E-4</v>
      </c>
      <c r="D630" s="2">
        <f>MAX(D629,B630)</f>
        <v>103.9</v>
      </c>
      <c r="E630" s="9">
        <f>(B630-D630)/D630</f>
        <v>-0.45967276227141485</v>
      </c>
      <c r="AB630" s="1">
        <f>A630</f>
        <v>45481</v>
      </c>
      <c r="AC630" s="2">
        <f>B630</f>
        <v>56.14</v>
      </c>
      <c r="AD630" s="2">
        <f>628</f>
        <v>628</v>
      </c>
      <c r="AE630" s="2">
        <f>INTERCEPT($AC$3:$AC$1136,$AD$3:$AD$1136)+SLOPE($AC$3:$AC$1136,$AD$3:$AD$1136)*AD630</f>
        <v>70.553455314076018</v>
      </c>
      <c r="AF630" s="2">
        <f t="shared" si="18"/>
        <v>73.205114914478713</v>
      </c>
      <c r="AG630" s="2">
        <f t="shared" si="19"/>
        <v>67.901795713673323</v>
      </c>
      <c r="AH630" s="22">
        <f>AC630-AE630</f>
        <v>-14.413455314076018</v>
      </c>
    </row>
    <row r="631" spans="1:34" x14ac:dyDescent="0.25">
      <c r="A631" s="1">
        <f>DATEVALUE(Sheet1!A630)</f>
        <v>45482</v>
      </c>
      <c r="B631" s="2">
        <f>VALUE(Sheet1!B630)</f>
        <v>56.21</v>
      </c>
      <c r="C631" s="9">
        <f>(B631-B630)/B630</f>
        <v>1.2468827930174613E-3</v>
      </c>
      <c r="D631" s="2">
        <f>MAX(D630,B631)</f>
        <v>103.9</v>
      </c>
      <c r="E631" s="9">
        <f>(B631-D631)/D631</f>
        <v>-0.45899903753609239</v>
      </c>
      <c r="AB631" s="1">
        <f>A631</f>
        <v>45482</v>
      </c>
      <c r="AC631" s="2">
        <f>B631</f>
        <v>56.21</v>
      </c>
      <c r="AD631" s="2">
        <f>629</f>
        <v>629</v>
      </c>
      <c r="AE631" s="2">
        <f>INTERCEPT($AC$3:$AC$1136,$AD$3:$AD$1136)+SLOPE($AC$3:$AC$1136,$AD$3:$AD$1136)*AD631</f>
        <v>70.534743350663575</v>
      </c>
      <c r="AF631" s="2">
        <f t="shared" si="18"/>
        <v>73.18640295106627</v>
      </c>
      <c r="AG631" s="2">
        <f t="shared" si="19"/>
        <v>67.88308375026088</v>
      </c>
      <c r="AH631" s="22">
        <f>AC631-AE631</f>
        <v>-14.324743350663574</v>
      </c>
    </row>
    <row r="632" spans="1:34" x14ac:dyDescent="0.25">
      <c r="A632" s="1">
        <f>DATEVALUE(Sheet1!A631)</f>
        <v>45483</v>
      </c>
      <c r="B632" s="2">
        <f>VALUE(Sheet1!B631)</f>
        <v>55.84</v>
      </c>
      <c r="C632" s="9">
        <f>(B632-B631)/B631</f>
        <v>-6.5824586372531125E-3</v>
      </c>
      <c r="D632" s="2">
        <f>MAX(D631,B632)</f>
        <v>103.9</v>
      </c>
      <c r="E632" s="9">
        <f>(B632-D632)/D632</f>
        <v>-0.46256015399422523</v>
      </c>
      <c r="AB632" s="1">
        <f>A632</f>
        <v>45483</v>
      </c>
      <c r="AC632" s="2">
        <f>B632</f>
        <v>55.84</v>
      </c>
      <c r="AD632" s="2">
        <f>630</f>
        <v>630</v>
      </c>
      <c r="AE632" s="2">
        <f>INTERCEPT($AC$3:$AC$1136,$AD$3:$AD$1136)+SLOPE($AC$3:$AC$1136,$AD$3:$AD$1136)*AD632</f>
        <v>70.516031387251132</v>
      </c>
      <c r="AF632" s="2">
        <f t="shared" si="18"/>
        <v>73.167690987653828</v>
      </c>
      <c r="AG632" s="2">
        <f t="shared" si="19"/>
        <v>67.864371786848437</v>
      </c>
      <c r="AH632" s="22">
        <f>AC632-AE632</f>
        <v>-14.676031387251129</v>
      </c>
    </row>
    <row r="633" spans="1:34" x14ac:dyDescent="0.25">
      <c r="A633" s="1">
        <f>DATEVALUE(Sheet1!A632)</f>
        <v>45484</v>
      </c>
      <c r="B633" s="2">
        <f>VALUE(Sheet1!B632)</f>
        <v>56.49</v>
      </c>
      <c r="C633" s="9">
        <f>(B633-B632)/B632</f>
        <v>1.1640401146131778E-2</v>
      </c>
      <c r="D633" s="2">
        <f>MAX(D632,B633)</f>
        <v>103.9</v>
      </c>
      <c r="E633" s="9">
        <f>(B633-D633)/D633</f>
        <v>-0.45630413859480273</v>
      </c>
      <c r="AB633" s="1">
        <f>A633</f>
        <v>45484</v>
      </c>
      <c r="AC633" s="2">
        <f>B633</f>
        <v>56.49</v>
      </c>
      <c r="AD633" s="2">
        <f>631</f>
        <v>631</v>
      </c>
      <c r="AE633" s="2">
        <f>INTERCEPT($AC$3:$AC$1136,$AD$3:$AD$1136)+SLOPE($AC$3:$AC$1136,$AD$3:$AD$1136)*AD633</f>
        <v>70.49731942383869</v>
      </c>
      <c r="AF633" s="2">
        <f t="shared" si="18"/>
        <v>73.148979024241385</v>
      </c>
      <c r="AG633" s="2">
        <f t="shared" si="19"/>
        <v>67.845659823435994</v>
      </c>
      <c r="AH633" s="22">
        <f>AC633-AE633</f>
        <v>-14.007319423838688</v>
      </c>
    </row>
    <row r="634" spans="1:34" x14ac:dyDescent="0.25">
      <c r="A634" s="1">
        <f>DATEVALUE(Sheet1!A633)</f>
        <v>45485</v>
      </c>
      <c r="B634" s="2">
        <f>VALUE(Sheet1!B633)</f>
        <v>56.7</v>
      </c>
      <c r="C634" s="9">
        <f>(B634-B633)/B633</f>
        <v>3.7174721189591228E-3</v>
      </c>
      <c r="D634" s="2">
        <f>MAX(D633,B634)</f>
        <v>103.9</v>
      </c>
      <c r="E634" s="9">
        <f>(B634-D634)/D634</f>
        <v>-0.45428296438883542</v>
      </c>
      <c r="AB634" s="1">
        <f>A634</f>
        <v>45485</v>
      </c>
      <c r="AC634" s="2">
        <f>B634</f>
        <v>56.7</v>
      </c>
      <c r="AD634" s="2">
        <f>632</f>
        <v>632</v>
      </c>
      <c r="AE634" s="2">
        <f>INTERCEPT($AC$3:$AC$1136,$AD$3:$AD$1136)+SLOPE($AC$3:$AC$1136,$AD$3:$AD$1136)*AD634</f>
        <v>70.478607460426232</v>
      </c>
      <c r="AF634" s="2">
        <f t="shared" si="18"/>
        <v>73.130267060828928</v>
      </c>
      <c r="AG634" s="2">
        <f t="shared" si="19"/>
        <v>67.826947860023537</v>
      </c>
      <c r="AH634" s="22">
        <f>AC634-AE634</f>
        <v>-13.77860746042623</v>
      </c>
    </row>
    <row r="635" spans="1:34" x14ac:dyDescent="0.25">
      <c r="A635" s="1">
        <f>DATEVALUE(Sheet1!A634)</f>
        <v>45488</v>
      </c>
      <c r="B635" s="2">
        <f>VALUE(Sheet1!B634)</f>
        <v>56.35</v>
      </c>
      <c r="C635" s="9">
        <f>(B635-B634)/B634</f>
        <v>-6.1728395061728643E-3</v>
      </c>
      <c r="D635" s="2">
        <f>MAX(D634,B635)</f>
        <v>103.9</v>
      </c>
      <c r="E635" s="9">
        <f>(B635-D635)/D635</f>
        <v>-0.45765158806544753</v>
      </c>
      <c r="AB635" s="1">
        <f>A635</f>
        <v>45488</v>
      </c>
      <c r="AC635" s="2">
        <f>B635</f>
        <v>56.35</v>
      </c>
      <c r="AD635" s="2">
        <f>633</f>
        <v>633</v>
      </c>
      <c r="AE635" s="2">
        <f>INTERCEPT($AC$3:$AC$1136,$AD$3:$AD$1136)+SLOPE($AC$3:$AC$1136,$AD$3:$AD$1136)*AD635</f>
        <v>70.45989549701379</v>
      </c>
      <c r="AF635" s="2">
        <f t="shared" si="18"/>
        <v>73.111555097416485</v>
      </c>
      <c r="AG635" s="2">
        <f t="shared" si="19"/>
        <v>67.808235896611095</v>
      </c>
      <c r="AH635" s="22">
        <f>AC635-AE635</f>
        <v>-14.109895497013788</v>
      </c>
    </row>
    <row r="636" spans="1:34" x14ac:dyDescent="0.25">
      <c r="A636" s="1">
        <f>DATEVALUE(Sheet1!A635)</f>
        <v>45489</v>
      </c>
      <c r="B636" s="2">
        <f>VALUE(Sheet1!B635)</f>
        <v>56.33</v>
      </c>
      <c r="C636" s="9">
        <f>(B636-B635)/B635</f>
        <v>-3.5492457852711847E-4</v>
      </c>
      <c r="D636" s="2">
        <f>MAX(D635,B636)</f>
        <v>103.9</v>
      </c>
      <c r="E636" s="9">
        <f>(B636-D636)/D636</f>
        <v>-0.45784408084696826</v>
      </c>
      <c r="AB636" s="1">
        <f>A636</f>
        <v>45489</v>
      </c>
      <c r="AC636" s="2">
        <f>B636</f>
        <v>56.33</v>
      </c>
      <c r="AD636" s="2">
        <f>634</f>
        <v>634</v>
      </c>
      <c r="AE636" s="2">
        <f>INTERCEPT($AC$3:$AC$1136,$AD$3:$AD$1136)+SLOPE($AC$3:$AC$1136,$AD$3:$AD$1136)*AD636</f>
        <v>70.441183533601347</v>
      </c>
      <c r="AF636" s="2">
        <f t="shared" si="18"/>
        <v>73.092843134004042</v>
      </c>
      <c r="AG636" s="2">
        <f t="shared" si="19"/>
        <v>67.789523933198652</v>
      </c>
      <c r="AH636" s="22">
        <f>AC636-AE636</f>
        <v>-14.111183533601348</v>
      </c>
    </row>
    <row r="637" spans="1:34" x14ac:dyDescent="0.25">
      <c r="A637" s="1">
        <f>DATEVALUE(Sheet1!A636)</f>
        <v>45490</v>
      </c>
      <c r="B637" s="2">
        <f>VALUE(Sheet1!B636)</f>
        <v>56.17</v>
      </c>
      <c r="C637" s="9">
        <f>(B637-B636)/B636</f>
        <v>-2.8404047576779086E-3</v>
      </c>
      <c r="D637" s="2">
        <f>MAX(D636,B637)</f>
        <v>103.9</v>
      </c>
      <c r="E637" s="9">
        <f>(B637-D637)/D637</f>
        <v>-0.45938402309913379</v>
      </c>
      <c r="AB637" s="1">
        <f>A637</f>
        <v>45490</v>
      </c>
      <c r="AC637" s="2">
        <f>B637</f>
        <v>56.17</v>
      </c>
      <c r="AD637" s="2">
        <f>635</f>
        <v>635</v>
      </c>
      <c r="AE637" s="2">
        <f>INTERCEPT($AC$3:$AC$1136,$AD$3:$AD$1136)+SLOPE($AC$3:$AC$1136,$AD$3:$AD$1136)*AD637</f>
        <v>70.422471570188904</v>
      </c>
      <c r="AF637" s="2">
        <f t="shared" si="18"/>
        <v>73.074131170591599</v>
      </c>
      <c r="AG637" s="2">
        <f t="shared" si="19"/>
        <v>67.770811969786209</v>
      </c>
      <c r="AH637" s="22">
        <f>AC637-AE637</f>
        <v>-14.252471570188902</v>
      </c>
    </row>
    <row r="638" spans="1:34" x14ac:dyDescent="0.25">
      <c r="A638" s="1">
        <f>DATEVALUE(Sheet1!A637)</f>
        <v>45491</v>
      </c>
      <c r="B638" s="2">
        <f>VALUE(Sheet1!B637)</f>
        <v>57.24</v>
      </c>
      <c r="C638" s="9">
        <f>(B638-B637)/B637</f>
        <v>1.9049314580737053E-2</v>
      </c>
      <c r="D638" s="2">
        <f>MAX(D637,B638)</f>
        <v>103.9</v>
      </c>
      <c r="E638" s="9">
        <f>(B638-D638)/D638</f>
        <v>-0.44908565928777672</v>
      </c>
      <c r="AB638" s="1">
        <f>A638</f>
        <v>45491</v>
      </c>
      <c r="AC638" s="2">
        <f>B638</f>
        <v>57.24</v>
      </c>
      <c r="AD638" s="2">
        <f>636</f>
        <v>636</v>
      </c>
      <c r="AE638" s="2">
        <f>INTERCEPT($AC$3:$AC$1136,$AD$3:$AD$1136)+SLOPE($AC$3:$AC$1136,$AD$3:$AD$1136)*AD638</f>
        <v>70.403759606776447</v>
      </c>
      <c r="AF638" s="2">
        <f t="shared" si="18"/>
        <v>73.055419207179142</v>
      </c>
      <c r="AG638" s="2">
        <f t="shared" si="19"/>
        <v>67.752100006373752</v>
      </c>
      <c r="AH638" s="22">
        <f>AC638-AE638</f>
        <v>-13.163759606776445</v>
      </c>
    </row>
    <row r="639" spans="1:34" x14ac:dyDescent="0.25">
      <c r="A639" s="1">
        <f>DATEVALUE(Sheet1!A638)</f>
        <v>45492</v>
      </c>
      <c r="B639" s="2">
        <f>VALUE(Sheet1!B638)</f>
        <v>57.48</v>
      </c>
      <c r="C639" s="9">
        <f>(B639-B638)/B638</f>
        <v>4.1928721174003302E-3</v>
      </c>
      <c r="D639" s="2">
        <f>MAX(D638,B639)</f>
        <v>103.9</v>
      </c>
      <c r="E639" s="9">
        <f>(B639-D639)/D639</f>
        <v>-0.44677574590952845</v>
      </c>
      <c r="AB639" s="1">
        <f>A639</f>
        <v>45492</v>
      </c>
      <c r="AC639" s="2">
        <f>B639</f>
        <v>57.48</v>
      </c>
      <c r="AD639" s="2">
        <f>637</f>
        <v>637</v>
      </c>
      <c r="AE639" s="2">
        <f>INTERCEPT($AC$3:$AC$1136,$AD$3:$AD$1136)+SLOPE($AC$3:$AC$1136,$AD$3:$AD$1136)*AD639</f>
        <v>70.385047643364004</v>
      </c>
      <c r="AF639" s="2">
        <f t="shared" si="18"/>
        <v>73.036707243766699</v>
      </c>
      <c r="AG639" s="2">
        <f t="shared" si="19"/>
        <v>67.733388042961309</v>
      </c>
      <c r="AH639" s="22">
        <f>AC639-AE639</f>
        <v>-12.905047643364007</v>
      </c>
    </row>
    <row r="640" spans="1:34" x14ac:dyDescent="0.25">
      <c r="A640" s="1">
        <f>DATEVALUE(Sheet1!A639)</f>
        <v>45495</v>
      </c>
      <c r="B640" s="2">
        <f>VALUE(Sheet1!B639)</f>
        <v>57.56</v>
      </c>
      <c r="C640" s="9">
        <f>(B640-B639)/B639</f>
        <v>1.3917884481559743E-3</v>
      </c>
      <c r="D640" s="2">
        <f>MAX(D639,B640)</f>
        <v>103.9</v>
      </c>
      <c r="E640" s="9">
        <f>(B640-D640)/D640</f>
        <v>-0.44600577478344561</v>
      </c>
      <c r="AB640" s="1">
        <f>A640</f>
        <v>45495</v>
      </c>
      <c r="AC640" s="2">
        <f>B640</f>
        <v>57.56</v>
      </c>
      <c r="AD640" s="2">
        <f>638</f>
        <v>638</v>
      </c>
      <c r="AE640" s="2">
        <f>INTERCEPT($AC$3:$AC$1136,$AD$3:$AD$1136)+SLOPE($AC$3:$AC$1136,$AD$3:$AD$1136)*AD640</f>
        <v>70.366335679951561</v>
      </c>
      <c r="AF640" s="2">
        <f t="shared" si="18"/>
        <v>73.017995280354256</v>
      </c>
      <c r="AG640" s="2">
        <f t="shared" si="19"/>
        <v>67.714676079548866</v>
      </c>
      <c r="AH640" s="22">
        <f>AC640-AE640</f>
        <v>-12.806335679951559</v>
      </c>
    </row>
    <row r="641" spans="1:34" x14ac:dyDescent="0.25">
      <c r="A641" s="1">
        <f>DATEVALUE(Sheet1!A640)</f>
        <v>45496</v>
      </c>
      <c r="B641" s="2">
        <f>VALUE(Sheet1!B640)</f>
        <v>58.41</v>
      </c>
      <c r="C641" s="9">
        <f>(B641-B640)/B640</f>
        <v>1.4767199444058274E-2</v>
      </c>
      <c r="D641" s="2">
        <f>MAX(D640,B641)</f>
        <v>103.9</v>
      </c>
      <c r="E641" s="9">
        <f>(B641-D641)/D641</f>
        <v>-0.43782483156881624</v>
      </c>
      <c r="AB641" s="1">
        <f>A641</f>
        <v>45496</v>
      </c>
      <c r="AC641" s="2">
        <f>B641</f>
        <v>58.41</v>
      </c>
      <c r="AD641" s="2">
        <f>639</f>
        <v>639</v>
      </c>
      <c r="AE641" s="2">
        <f>INTERCEPT($AC$3:$AC$1136,$AD$3:$AD$1136)+SLOPE($AC$3:$AC$1136,$AD$3:$AD$1136)*AD641</f>
        <v>70.347623716539118</v>
      </c>
      <c r="AF641" s="2">
        <f t="shared" si="18"/>
        <v>72.999283316941813</v>
      </c>
      <c r="AG641" s="2">
        <f t="shared" si="19"/>
        <v>67.695964116136423</v>
      </c>
      <c r="AH641" s="22">
        <f>AC641-AE641</f>
        <v>-11.937623716539122</v>
      </c>
    </row>
    <row r="642" spans="1:34" x14ac:dyDescent="0.25">
      <c r="A642" s="1">
        <f>DATEVALUE(Sheet1!A641)</f>
        <v>45497</v>
      </c>
      <c r="B642" s="2">
        <f>VALUE(Sheet1!B641)</f>
        <v>58.56</v>
      </c>
      <c r="C642" s="9">
        <f>(B642-B641)/B641</f>
        <v>2.5680534155111401E-3</v>
      </c>
      <c r="D642" s="2">
        <f>MAX(D641,B642)</f>
        <v>103.9</v>
      </c>
      <c r="E642" s="9">
        <f>(B642-D642)/D642</f>
        <v>-0.43638113570741099</v>
      </c>
      <c r="AB642" s="1">
        <f>A642</f>
        <v>45497</v>
      </c>
      <c r="AC642" s="2">
        <f>B642</f>
        <v>58.56</v>
      </c>
      <c r="AD642" s="2">
        <f>640</f>
        <v>640</v>
      </c>
      <c r="AE642" s="2">
        <f>INTERCEPT($AC$3:$AC$1136,$AD$3:$AD$1136)+SLOPE($AC$3:$AC$1136,$AD$3:$AD$1136)*AD642</f>
        <v>70.328911753126661</v>
      </c>
      <c r="AF642" s="2">
        <f t="shared" si="18"/>
        <v>72.980571353529356</v>
      </c>
      <c r="AG642" s="2">
        <f t="shared" si="19"/>
        <v>67.677252152723966</v>
      </c>
      <c r="AH642" s="22">
        <f>AC642-AE642</f>
        <v>-11.768911753126659</v>
      </c>
    </row>
    <row r="643" spans="1:34" x14ac:dyDescent="0.25">
      <c r="A643" s="1">
        <f>DATEVALUE(Sheet1!A642)</f>
        <v>45498</v>
      </c>
      <c r="B643" s="2">
        <f>VALUE(Sheet1!B642)</f>
        <v>58.91</v>
      </c>
      <c r="C643" s="9">
        <f>(B643-B642)/B642</f>
        <v>5.9767759562840556E-3</v>
      </c>
      <c r="D643" s="2">
        <f>MAX(D642,B643)</f>
        <v>103.9</v>
      </c>
      <c r="E643" s="9">
        <f>(B643-D643)/D643</f>
        <v>-0.43301251203079894</v>
      </c>
      <c r="AB643" s="1">
        <f>A643</f>
        <v>45498</v>
      </c>
      <c r="AC643" s="2">
        <f>B643</f>
        <v>58.91</v>
      </c>
      <c r="AD643" s="2">
        <f>641</f>
        <v>641</v>
      </c>
      <c r="AE643" s="2">
        <f>INTERCEPT($AC$3:$AC$1136,$AD$3:$AD$1136)+SLOPE($AC$3:$AC$1136,$AD$3:$AD$1136)*AD643</f>
        <v>70.310199789714218</v>
      </c>
      <c r="AF643" s="2">
        <f t="shared" si="18"/>
        <v>72.961859390116913</v>
      </c>
      <c r="AG643" s="2">
        <f t="shared" si="19"/>
        <v>67.658540189311523</v>
      </c>
      <c r="AH643" s="22">
        <f>AC643-AE643</f>
        <v>-11.400199789714222</v>
      </c>
    </row>
    <row r="644" spans="1:34" x14ac:dyDescent="0.25">
      <c r="A644" s="1">
        <f>DATEVALUE(Sheet1!A643)</f>
        <v>45499</v>
      </c>
      <c r="B644" s="2">
        <f>VALUE(Sheet1!B643)</f>
        <v>58.81</v>
      </c>
      <c r="C644" s="9">
        <f>(B644-B643)/B643</f>
        <v>-1.697504668137741E-3</v>
      </c>
      <c r="D644" s="2">
        <f>MAX(D643,B644)</f>
        <v>103.9</v>
      </c>
      <c r="E644" s="9">
        <f>(B644-D644)/D644</f>
        <v>-0.43397497593840234</v>
      </c>
      <c r="AB644" s="1">
        <f>A644</f>
        <v>45499</v>
      </c>
      <c r="AC644" s="2">
        <f>B644</f>
        <v>58.81</v>
      </c>
      <c r="AD644" s="2">
        <f>642</f>
        <v>642</v>
      </c>
      <c r="AE644" s="2">
        <f>INTERCEPT($AC$3:$AC$1136,$AD$3:$AD$1136)+SLOPE($AC$3:$AC$1136,$AD$3:$AD$1136)*AD644</f>
        <v>70.291487826301775</v>
      </c>
      <c r="AF644" s="2">
        <f t="shared" ref="AF644:AF707" si="20">AE644+$AJ$5*$AJ$4</f>
        <v>72.943147426704471</v>
      </c>
      <c r="AG644" s="2">
        <f t="shared" ref="AG644:AG707" si="21">AE644-$AJ$5*$AJ$4</f>
        <v>67.63982822589908</v>
      </c>
      <c r="AH644" s="22">
        <f>AC644-AE644</f>
        <v>-11.481487826301773</v>
      </c>
    </row>
    <row r="645" spans="1:34" x14ac:dyDescent="0.25">
      <c r="A645" s="1">
        <f>DATEVALUE(Sheet1!A644)</f>
        <v>45502</v>
      </c>
      <c r="B645" s="2">
        <f>VALUE(Sheet1!B644)</f>
        <v>58.45</v>
      </c>
      <c r="C645" s="9">
        <f>(B645-B644)/B644</f>
        <v>-6.1214079238224696E-3</v>
      </c>
      <c r="D645" s="2">
        <f>MAX(D644,B645)</f>
        <v>103.9</v>
      </c>
      <c r="E645" s="9">
        <f>(B645-D645)/D645</f>
        <v>-0.43743984600577479</v>
      </c>
      <c r="AB645" s="1">
        <f>A645</f>
        <v>45502</v>
      </c>
      <c r="AC645" s="2">
        <f>B645</f>
        <v>58.45</v>
      </c>
      <c r="AD645" s="2">
        <f>643</f>
        <v>643</v>
      </c>
      <c r="AE645" s="2">
        <f>INTERCEPT($AC$3:$AC$1136,$AD$3:$AD$1136)+SLOPE($AC$3:$AC$1136,$AD$3:$AD$1136)*AD645</f>
        <v>70.272775862889318</v>
      </c>
      <c r="AF645" s="2">
        <f t="shared" si="20"/>
        <v>72.924435463292014</v>
      </c>
      <c r="AG645" s="2">
        <f t="shared" si="21"/>
        <v>67.621116262486623</v>
      </c>
      <c r="AH645" s="22">
        <f>AC645-AE645</f>
        <v>-11.822775862889316</v>
      </c>
    </row>
    <row r="646" spans="1:34" x14ac:dyDescent="0.25">
      <c r="A646" s="1">
        <f>DATEVALUE(Sheet1!A645)</f>
        <v>45503</v>
      </c>
      <c r="B646" s="2">
        <f>VALUE(Sheet1!B645)</f>
        <v>58.35</v>
      </c>
      <c r="C646" s="9">
        <f>(B646-B645)/B645</f>
        <v>-1.7108639863131123E-3</v>
      </c>
      <c r="D646" s="2">
        <f>MAX(D645,B646)</f>
        <v>103.9</v>
      </c>
      <c r="E646" s="9">
        <f>(B646-D646)/D646</f>
        <v>-0.43840230991337825</v>
      </c>
      <c r="AB646" s="1">
        <f>A646</f>
        <v>45503</v>
      </c>
      <c r="AC646" s="2">
        <f>B646</f>
        <v>58.35</v>
      </c>
      <c r="AD646" s="2">
        <f>644</f>
        <v>644</v>
      </c>
      <c r="AE646" s="2">
        <f>INTERCEPT($AC$3:$AC$1136,$AD$3:$AD$1136)+SLOPE($AC$3:$AC$1136,$AD$3:$AD$1136)*AD646</f>
        <v>70.254063899476876</v>
      </c>
      <c r="AF646" s="2">
        <f t="shared" si="20"/>
        <v>72.905723499879571</v>
      </c>
      <c r="AG646" s="2">
        <f t="shared" si="21"/>
        <v>67.60240429907418</v>
      </c>
      <c r="AH646" s="22">
        <f>AC646-AE646</f>
        <v>-11.904063899476874</v>
      </c>
    </row>
    <row r="647" spans="1:34" x14ac:dyDescent="0.25">
      <c r="A647" s="1">
        <f>DATEVALUE(Sheet1!A646)</f>
        <v>45504</v>
      </c>
      <c r="B647" s="2">
        <f>VALUE(Sheet1!B646)</f>
        <v>59.2</v>
      </c>
      <c r="C647" s="9">
        <f>(B647-B646)/B646</f>
        <v>1.4567266495287085E-2</v>
      </c>
      <c r="D647" s="2">
        <f>MAX(D646,B647)</f>
        <v>103.9</v>
      </c>
      <c r="E647" s="9">
        <f>(B647-D647)/D647</f>
        <v>-0.43022136669874878</v>
      </c>
      <c r="AB647" s="1">
        <f>A647</f>
        <v>45504</v>
      </c>
      <c r="AC647" s="2">
        <f>B647</f>
        <v>59.2</v>
      </c>
      <c r="AD647" s="2">
        <f>645</f>
        <v>645</v>
      </c>
      <c r="AE647" s="2">
        <f>INTERCEPT($AC$3:$AC$1136,$AD$3:$AD$1136)+SLOPE($AC$3:$AC$1136,$AD$3:$AD$1136)*AD647</f>
        <v>70.235351936064433</v>
      </c>
      <c r="AF647" s="2">
        <f t="shared" si="20"/>
        <v>72.887011536467128</v>
      </c>
      <c r="AG647" s="2">
        <f t="shared" si="21"/>
        <v>67.583692335661738</v>
      </c>
      <c r="AH647" s="22">
        <f>AC647-AE647</f>
        <v>-11.03535193606443</v>
      </c>
    </row>
    <row r="648" spans="1:34" x14ac:dyDescent="0.25">
      <c r="A648" s="1">
        <f>DATEVALUE(Sheet1!A647)</f>
        <v>45505</v>
      </c>
      <c r="B648" s="2">
        <f>VALUE(Sheet1!B647)</f>
        <v>59.44</v>
      </c>
      <c r="C648" s="9">
        <f>(B648-B647)/B647</f>
        <v>4.0540540540539675E-3</v>
      </c>
      <c r="D648" s="2">
        <f>MAX(D647,B648)</f>
        <v>103.9</v>
      </c>
      <c r="E648" s="9">
        <f>(B648-D648)/D648</f>
        <v>-0.42791145332050051</v>
      </c>
      <c r="AB648" s="1">
        <f>A648</f>
        <v>45505</v>
      </c>
      <c r="AC648" s="2">
        <f>B648</f>
        <v>59.44</v>
      </c>
      <c r="AD648" s="2">
        <f>646</f>
        <v>646</v>
      </c>
      <c r="AE648" s="2">
        <f>INTERCEPT($AC$3:$AC$1136,$AD$3:$AD$1136)+SLOPE($AC$3:$AC$1136,$AD$3:$AD$1136)*AD648</f>
        <v>70.21663997265199</v>
      </c>
      <c r="AF648" s="2">
        <f t="shared" si="20"/>
        <v>72.868299573054685</v>
      </c>
      <c r="AG648" s="2">
        <f t="shared" si="21"/>
        <v>67.564980372249295</v>
      </c>
      <c r="AH648" s="22">
        <f>AC648-AE648</f>
        <v>-10.776639972651992</v>
      </c>
    </row>
    <row r="649" spans="1:34" x14ac:dyDescent="0.25">
      <c r="A649" s="1">
        <f>DATEVALUE(Sheet1!A648)</f>
        <v>45506</v>
      </c>
      <c r="B649" s="2">
        <f>VALUE(Sheet1!B648)</f>
        <v>59.34</v>
      </c>
      <c r="C649" s="9">
        <f>(B649-B648)/B648</f>
        <v>-1.682368775235436E-3</v>
      </c>
      <c r="D649" s="2">
        <f>MAX(D648,B649)</f>
        <v>103.9</v>
      </c>
      <c r="E649" s="9">
        <f>(B649-D649)/D649</f>
        <v>-0.42887391722810392</v>
      </c>
      <c r="AB649" s="1">
        <f>A649</f>
        <v>45506</v>
      </c>
      <c r="AC649" s="2">
        <f>B649</f>
        <v>59.34</v>
      </c>
      <c r="AD649" s="2">
        <f>647</f>
        <v>647</v>
      </c>
      <c r="AE649" s="2">
        <f>INTERCEPT($AC$3:$AC$1136,$AD$3:$AD$1136)+SLOPE($AC$3:$AC$1136,$AD$3:$AD$1136)*AD649</f>
        <v>70.197928009239533</v>
      </c>
      <c r="AF649" s="2">
        <f t="shared" si="20"/>
        <v>72.849587609642228</v>
      </c>
      <c r="AG649" s="2">
        <f t="shared" si="21"/>
        <v>67.546268408836838</v>
      </c>
      <c r="AH649" s="22">
        <f>AC649-AE649</f>
        <v>-10.857928009239529</v>
      </c>
    </row>
    <row r="650" spans="1:34" x14ac:dyDescent="0.25">
      <c r="A650" s="1">
        <f>DATEVALUE(Sheet1!A649)</f>
        <v>45509</v>
      </c>
      <c r="B650" s="2">
        <f>VALUE(Sheet1!B649)</f>
        <v>59.14</v>
      </c>
      <c r="C650" s="9">
        <f>(B650-B649)/B649</f>
        <v>-3.3704078193461887E-3</v>
      </c>
      <c r="D650" s="2">
        <f>MAX(D649,B650)</f>
        <v>103.9</v>
      </c>
      <c r="E650" s="9">
        <f>(B650-D650)/D650</f>
        <v>-0.4307988450433109</v>
      </c>
      <c r="AB650" s="1">
        <f>A650</f>
        <v>45509</v>
      </c>
      <c r="AC650" s="2">
        <f>B650</f>
        <v>59.14</v>
      </c>
      <c r="AD650" s="2">
        <f>648</f>
        <v>648</v>
      </c>
      <c r="AE650" s="2">
        <f>INTERCEPT($AC$3:$AC$1136,$AD$3:$AD$1136)+SLOPE($AC$3:$AC$1136,$AD$3:$AD$1136)*AD650</f>
        <v>70.17921604582709</v>
      </c>
      <c r="AF650" s="2">
        <f t="shared" si="20"/>
        <v>72.830875646229785</v>
      </c>
      <c r="AG650" s="2">
        <f t="shared" si="21"/>
        <v>67.527556445424395</v>
      </c>
      <c r="AH650" s="22">
        <f>AC650-AE650</f>
        <v>-11.039216045827089</v>
      </c>
    </row>
    <row r="651" spans="1:34" x14ac:dyDescent="0.25">
      <c r="A651" s="1">
        <f>DATEVALUE(Sheet1!A650)</f>
        <v>45510</v>
      </c>
      <c r="B651" s="2">
        <f>VALUE(Sheet1!B650)</f>
        <v>59.19</v>
      </c>
      <c r="C651" s="9">
        <f>(B651-B650)/B650</f>
        <v>8.4545147108551163E-4</v>
      </c>
      <c r="D651" s="2">
        <f>MAX(D650,B651)</f>
        <v>103.9</v>
      </c>
      <c r="E651" s="9">
        <f>(B651-D651)/D651</f>
        <v>-0.43031761308950922</v>
      </c>
      <c r="AB651" s="1">
        <f>A651</f>
        <v>45510</v>
      </c>
      <c r="AC651" s="2">
        <f>B651</f>
        <v>59.19</v>
      </c>
      <c r="AD651" s="2">
        <f>649</f>
        <v>649</v>
      </c>
      <c r="AE651" s="2">
        <f>INTERCEPT($AC$3:$AC$1136,$AD$3:$AD$1136)+SLOPE($AC$3:$AC$1136,$AD$3:$AD$1136)*AD651</f>
        <v>70.160504082414647</v>
      </c>
      <c r="AF651" s="2">
        <f t="shared" si="20"/>
        <v>72.812163682817342</v>
      </c>
      <c r="AG651" s="2">
        <f t="shared" si="21"/>
        <v>67.508844482011952</v>
      </c>
      <c r="AH651" s="22">
        <f>AC651-AE651</f>
        <v>-10.970504082414649</v>
      </c>
    </row>
    <row r="652" spans="1:34" x14ac:dyDescent="0.25">
      <c r="A652" s="1">
        <f>DATEVALUE(Sheet1!A651)</f>
        <v>45511</v>
      </c>
      <c r="B652" s="2">
        <f>VALUE(Sheet1!B651)</f>
        <v>59.2</v>
      </c>
      <c r="C652" s="9">
        <f>(B652-B651)/B651</f>
        <v>1.6894745734085347E-4</v>
      </c>
      <c r="D652" s="2">
        <f>MAX(D651,B652)</f>
        <v>103.9</v>
      </c>
      <c r="E652" s="9">
        <f>(B652-D652)/D652</f>
        <v>-0.43022136669874878</v>
      </c>
      <c r="AB652" s="1">
        <f>A652</f>
        <v>45511</v>
      </c>
      <c r="AC652" s="2">
        <f>B652</f>
        <v>59.2</v>
      </c>
      <c r="AD652" s="2">
        <f>650</f>
        <v>650</v>
      </c>
      <c r="AE652" s="2">
        <f>INTERCEPT($AC$3:$AC$1136,$AD$3:$AD$1136)+SLOPE($AC$3:$AC$1136,$AD$3:$AD$1136)*AD652</f>
        <v>70.14179211900219</v>
      </c>
      <c r="AF652" s="2">
        <f t="shared" si="20"/>
        <v>72.793451719404885</v>
      </c>
      <c r="AG652" s="2">
        <f t="shared" si="21"/>
        <v>67.490132518599495</v>
      </c>
      <c r="AH652" s="22">
        <f>AC652-AE652</f>
        <v>-10.941792119002187</v>
      </c>
    </row>
    <row r="653" spans="1:34" x14ac:dyDescent="0.25">
      <c r="A653" s="1">
        <f>DATEVALUE(Sheet1!A652)</f>
        <v>45512</v>
      </c>
      <c r="B653" s="2">
        <f>VALUE(Sheet1!B652)</f>
        <v>59.02</v>
      </c>
      <c r="C653" s="9">
        <f>(B653-B652)/B652</f>
        <v>-3.0405405405405355E-3</v>
      </c>
      <c r="D653" s="2">
        <f>MAX(D652,B653)</f>
        <v>103.9</v>
      </c>
      <c r="E653" s="9">
        <f>(B653-D653)/D653</f>
        <v>-0.43195380173243503</v>
      </c>
      <c r="AB653" s="1">
        <f>A653</f>
        <v>45512</v>
      </c>
      <c r="AC653" s="2">
        <f>B653</f>
        <v>59.02</v>
      </c>
      <c r="AD653" s="2">
        <f>651</f>
        <v>651</v>
      </c>
      <c r="AE653" s="2">
        <f>INTERCEPT($AC$3:$AC$1136,$AD$3:$AD$1136)+SLOPE($AC$3:$AC$1136,$AD$3:$AD$1136)*AD653</f>
        <v>70.123080155589747</v>
      </c>
      <c r="AF653" s="2">
        <f t="shared" si="20"/>
        <v>72.774739755992442</v>
      </c>
      <c r="AG653" s="2">
        <f t="shared" si="21"/>
        <v>67.471420555187052</v>
      </c>
      <c r="AH653" s="22">
        <f>AC653-AE653</f>
        <v>-11.103080155589744</v>
      </c>
    </row>
    <row r="654" spans="1:34" x14ac:dyDescent="0.25">
      <c r="A654" s="1">
        <f>DATEVALUE(Sheet1!A653)</f>
        <v>45513</v>
      </c>
      <c r="B654" s="2">
        <f>VALUE(Sheet1!B653)</f>
        <v>58.86</v>
      </c>
      <c r="C654" s="9">
        <f>(B654-B653)/B653</f>
        <v>-2.7109454422230379E-3</v>
      </c>
      <c r="D654" s="2">
        <f>MAX(D653,B654)</f>
        <v>103.9</v>
      </c>
      <c r="E654" s="9">
        <f>(B654-D654)/D654</f>
        <v>-0.43349374398460061</v>
      </c>
      <c r="AB654" s="1">
        <f>A654</f>
        <v>45513</v>
      </c>
      <c r="AC654" s="2">
        <f>B654</f>
        <v>58.86</v>
      </c>
      <c r="AD654" s="2">
        <f>652</f>
        <v>652</v>
      </c>
      <c r="AE654" s="2">
        <f>INTERCEPT($AC$3:$AC$1136,$AD$3:$AD$1136)+SLOPE($AC$3:$AC$1136,$AD$3:$AD$1136)*AD654</f>
        <v>70.104368192177304</v>
      </c>
      <c r="AF654" s="2">
        <f t="shared" si="20"/>
        <v>72.756027792579999</v>
      </c>
      <c r="AG654" s="2">
        <f t="shared" si="21"/>
        <v>67.452708591774609</v>
      </c>
      <c r="AH654" s="22">
        <f>AC654-AE654</f>
        <v>-11.244368192177305</v>
      </c>
    </row>
    <row r="655" spans="1:34" x14ac:dyDescent="0.25">
      <c r="A655" s="1">
        <f>DATEVALUE(Sheet1!A654)</f>
        <v>45516</v>
      </c>
      <c r="B655" s="2">
        <f>VALUE(Sheet1!B654)</f>
        <v>59.07</v>
      </c>
      <c r="C655" s="9">
        <f>(B655-B654)/B654</f>
        <v>3.5677879714577109E-3</v>
      </c>
      <c r="D655" s="2">
        <f>MAX(D654,B655)</f>
        <v>103.9</v>
      </c>
      <c r="E655" s="9">
        <f>(B655-D655)/D655</f>
        <v>-0.43147256977863335</v>
      </c>
      <c r="AB655" s="1">
        <f>A655</f>
        <v>45516</v>
      </c>
      <c r="AC655" s="2">
        <f>B655</f>
        <v>59.07</v>
      </c>
      <c r="AD655" s="2">
        <f>653</f>
        <v>653</v>
      </c>
      <c r="AE655" s="2">
        <f>INTERCEPT($AC$3:$AC$1136,$AD$3:$AD$1136)+SLOPE($AC$3:$AC$1136,$AD$3:$AD$1136)*AD655</f>
        <v>70.085656228764861</v>
      </c>
      <c r="AF655" s="2">
        <f t="shared" si="20"/>
        <v>72.737315829167557</v>
      </c>
      <c r="AG655" s="2">
        <f t="shared" si="21"/>
        <v>67.433996628362166</v>
      </c>
      <c r="AH655" s="22">
        <f>AC655-AE655</f>
        <v>-11.015656228764861</v>
      </c>
    </row>
    <row r="656" spans="1:34" x14ac:dyDescent="0.25">
      <c r="A656" s="1">
        <f>DATEVALUE(Sheet1!A655)</f>
        <v>45517</v>
      </c>
      <c r="B656" s="2">
        <f>VALUE(Sheet1!B655)</f>
        <v>59.22</v>
      </c>
      <c r="C656" s="9">
        <f>(B656-B655)/B655</f>
        <v>2.5393600812594983E-3</v>
      </c>
      <c r="D656" s="2">
        <f>MAX(D655,B656)</f>
        <v>103.9</v>
      </c>
      <c r="E656" s="9">
        <f>(B656-D656)/D656</f>
        <v>-0.43002887391722816</v>
      </c>
      <c r="AB656" s="1">
        <f>A656</f>
        <v>45517</v>
      </c>
      <c r="AC656" s="2">
        <f>B656</f>
        <v>59.22</v>
      </c>
      <c r="AD656" s="2">
        <f>654</f>
        <v>654</v>
      </c>
      <c r="AE656" s="2">
        <f>INTERCEPT($AC$3:$AC$1136,$AD$3:$AD$1136)+SLOPE($AC$3:$AC$1136,$AD$3:$AD$1136)*AD656</f>
        <v>70.066944265352419</v>
      </c>
      <c r="AF656" s="2">
        <f t="shared" si="20"/>
        <v>72.718603865755114</v>
      </c>
      <c r="AG656" s="2">
        <f t="shared" si="21"/>
        <v>67.415284664949723</v>
      </c>
      <c r="AH656" s="22">
        <f>AC656-AE656</f>
        <v>-10.84694426535242</v>
      </c>
    </row>
    <row r="657" spans="1:34" x14ac:dyDescent="0.25">
      <c r="A657" s="1">
        <f>DATEVALUE(Sheet1!A656)</f>
        <v>45518</v>
      </c>
      <c r="B657" s="2">
        <f>VALUE(Sheet1!B656)</f>
        <v>59.39</v>
      </c>
      <c r="C657" s="9">
        <f>(B657-B656)/B656</f>
        <v>2.8706518068220485E-3</v>
      </c>
      <c r="D657" s="2">
        <f>MAX(D656,B657)</f>
        <v>103.9</v>
      </c>
      <c r="E657" s="9">
        <f>(B657-D657)/D657</f>
        <v>-0.42839268527430224</v>
      </c>
      <c r="AB657" s="1">
        <f>A657</f>
        <v>45518</v>
      </c>
      <c r="AC657" s="2">
        <f>B657</f>
        <v>59.39</v>
      </c>
      <c r="AD657" s="2">
        <f>655</f>
        <v>655</v>
      </c>
      <c r="AE657" s="2">
        <f>INTERCEPT($AC$3:$AC$1136,$AD$3:$AD$1136)+SLOPE($AC$3:$AC$1136,$AD$3:$AD$1136)*AD657</f>
        <v>70.048232301939962</v>
      </c>
      <c r="AF657" s="2">
        <f t="shared" si="20"/>
        <v>72.699891902342657</v>
      </c>
      <c r="AG657" s="2">
        <f t="shared" si="21"/>
        <v>67.396572701537266</v>
      </c>
      <c r="AH657" s="22">
        <f>AC657-AE657</f>
        <v>-10.658232301939961</v>
      </c>
    </row>
    <row r="658" spans="1:34" x14ac:dyDescent="0.25">
      <c r="A658" s="1">
        <f>DATEVALUE(Sheet1!A657)</f>
        <v>45519</v>
      </c>
      <c r="B658" s="2">
        <f>VALUE(Sheet1!B657)</f>
        <v>59.01</v>
      </c>
      <c r="C658" s="9">
        <f>(B658-B657)/B657</f>
        <v>-6.3983835662569889E-3</v>
      </c>
      <c r="D658" s="2">
        <f>MAX(D657,B658)</f>
        <v>103.9</v>
      </c>
      <c r="E658" s="9">
        <f>(B658-D658)/D658</f>
        <v>-0.43205004812319542</v>
      </c>
      <c r="AB658" s="1">
        <f>A658</f>
        <v>45519</v>
      </c>
      <c r="AC658" s="2">
        <f>B658</f>
        <v>59.01</v>
      </c>
      <c r="AD658" s="2">
        <f>656</f>
        <v>656</v>
      </c>
      <c r="AE658" s="2">
        <f>INTERCEPT($AC$3:$AC$1136,$AD$3:$AD$1136)+SLOPE($AC$3:$AC$1136,$AD$3:$AD$1136)*AD658</f>
        <v>70.029520338527519</v>
      </c>
      <c r="AF658" s="2">
        <f t="shared" si="20"/>
        <v>72.681179938930214</v>
      </c>
      <c r="AG658" s="2">
        <f t="shared" si="21"/>
        <v>67.377860738124824</v>
      </c>
      <c r="AH658" s="22">
        <f>AC658-AE658</f>
        <v>-11.019520338527521</v>
      </c>
    </row>
    <row r="659" spans="1:34" x14ac:dyDescent="0.25">
      <c r="A659" s="1">
        <f>DATEVALUE(Sheet1!A658)</f>
        <v>45520</v>
      </c>
      <c r="B659" s="2">
        <f>VALUE(Sheet1!B658)</f>
        <v>59.75</v>
      </c>
      <c r="C659" s="9">
        <f>(B659-B658)/B658</f>
        <v>1.2540247415692291E-2</v>
      </c>
      <c r="D659" s="2">
        <f>MAX(D658,B659)</f>
        <v>103.9</v>
      </c>
      <c r="E659" s="9">
        <f>(B659-D659)/D659</f>
        <v>-0.42492781520692979</v>
      </c>
      <c r="AB659" s="1">
        <f>A659</f>
        <v>45520</v>
      </c>
      <c r="AC659" s="2">
        <f>B659</f>
        <v>59.75</v>
      </c>
      <c r="AD659" s="2">
        <f>657</f>
        <v>657</v>
      </c>
      <c r="AE659" s="2">
        <f>INTERCEPT($AC$3:$AC$1136,$AD$3:$AD$1136)+SLOPE($AC$3:$AC$1136,$AD$3:$AD$1136)*AD659</f>
        <v>70.010808375115076</v>
      </c>
      <c r="AF659" s="2">
        <f t="shared" si="20"/>
        <v>72.662467975517771</v>
      </c>
      <c r="AG659" s="2">
        <f t="shared" si="21"/>
        <v>67.359148774712381</v>
      </c>
      <c r="AH659" s="22">
        <f>AC659-AE659</f>
        <v>-10.260808375115076</v>
      </c>
    </row>
    <row r="660" spans="1:34" x14ac:dyDescent="0.25">
      <c r="A660" s="1">
        <f>DATEVALUE(Sheet1!A659)</f>
        <v>45523</v>
      </c>
      <c r="B660" s="2">
        <f>VALUE(Sheet1!B659)</f>
        <v>59.83</v>
      </c>
      <c r="C660" s="9">
        <f>(B660-B659)/B659</f>
        <v>1.3389121338911849E-3</v>
      </c>
      <c r="D660" s="2">
        <f>MAX(D659,B660)</f>
        <v>103.9</v>
      </c>
      <c r="E660" s="9">
        <f>(B660-D660)/D660</f>
        <v>-0.424157844080847</v>
      </c>
      <c r="AB660" s="1">
        <f>A660</f>
        <v>45523</v>
      </c>
      <c r="AC660" s="2">
        <f>B660</f>
        <v>59.83</v>
      </c>
      <c r="AD660" s="2">
        <f>658</f>
        <v>658</v>
      </c>
      <c r="AE660" s="2">
        <f>INTERCEPT($AC$3:$AC$1136,$AD$3:$AD$1136)+SLOPE($AC$3:$AC$1136,$AD$3:$AD$1136)*AD660</f>
        <v>69.992096411702619</v>
      </c>
      <c r="AF660" s="2">
        <f t="shared" si="20"/>
        <v>72.643756012105314</v>
      </c>
      <c r="AG660" s="2">
        <f t="shared" si="21"/>
        <v>67.340436811299924</v>
      </c>
      <c r="AH660" s="22">
        <f>AC660-AE660</f>
        <v>-10.16209641170262</v>
      </c>
    </row>
    <row r="661" spans="1:34" x14ac:dyDescent="0.25">
      <c r="A661" s="1">
        <f>DATEVALUE(Sheet1!A660)</f>
        <v>45524</v>
      </c>
      <c r="B661" s="2">
        <f>VALUE(Sheet1!B660)</f>
        <v>59.69</v>
      </c>
      <c r="C661" s="9">
        <f>(B661-B660)/B660</f>
        <v>-2.339963229149266E-3</v>
      </c>
      <c r="D661" s="2">
        <f>MAX(D660,B661)</f>
        <v>103.9</v>
      </c>
      <c r="E661" s="9">
        <f>(B661-D661)/D661</f>
        <v>-0.42550529355149186</v>
      </c>
      <c r="AB661" s="1">
        <f>A661</f>
        <v>45524</v>
      </c>
      <c r="AC661" s="2">
        <f>B661</f>
        <v>59.69</v>
      </c>
      <c r="AD661" s="2">
        <f>659</f>
        <v>659</v>
      </c>
      <c r="AE661" s="2">
        <f>INTERCEPT($AC$3:$AC$1136,$AD$3:$AD$1136)+SLOPE($AC$3:$AC$1136,$AD$3:$AD$1136)*AD661</f>
        <v>69.973384448290176</v>
      </c>
      <c r="AF661" s="2">
        <f t="shared" si="20"/>
        <v>72.625044048692871</v>
      </c>
      <c r="AG661" s="2">
        <f t="shared" si="21"/>
        <v>67.321724847887481</v>
      </c>
      <c r="AH661" s="22">
        <f>AC661-AE661</f>
        <v>-10.283384448290178</v>
      </c>
    </row>
    <row r="662" spans="1:34" x14ac:dyDescent="0.25">
      <c r="A662" s="1">
        <f>DATEVALUE(Sheet1!A661)</f>
        <v>45525</v>
      </c>
      <c r="B662" s="2">
        <f>VALUE(Sheet1!B661)</f>
        <v>59.89</v>
      </c>
      <c r="C662" s="9">
        <f>(B662-B661)/B661</f>
        <v>3.3506449991623864E-3</v>
      </c>
      <c r="D662" s="2">
        <f>MAX(D661,B662)</f>
        <v>103.9</v>
      </c>
      <c r="E662" s="9">
        <f>(B662-D662)/D662</f>
        <v>-0.42358036573628494</v>
      </c>
      <c r="AB662" s="1">
        <f>A662</f>
        <v>45525</v>
      </c>
      <c r="AC662" s="2">
        <f>B662</f>
        <v>59.89</v>
      </c>
      <c r="AD662" s="2">
        <f>660</f>
        <v>660</v>
      </c>
      <c r="AE662" s="2">
        <f>INTERCEPT($AC$3:$AC$1136,$AD$3:$AD$1136)+SLOPE($AC$3:$AC$1136,$AD$3:$AD$1136)*AD662</f>
        <v>69.954672484877733</v>
      </c>
      <c r="AF662" s="2">
        <f t="shared" si="20"/>
        <v>72.606332085280428</v>
      </c>
      <c r="AG662" s="2">
        <f t="shared" si="21"/>
        <v>67.303012884475038</v>
      </c>
      <c r="AH662" s="22">
        <f>AC662-AE662</f>
        <v>-10.064672484877732</v>
      </c>
    </row>
    <row r="663" spans="1:34" x14ac:dyDescent="0.25">
      <c r="A663" s="1">
        <f>DATEVALUE(Sheet1!A662)</f>
        <v>45526</v>
      </c>
      <c r="B663" s="2">
        <f>VALUE(Sheet1!B662)</f>
        <v>60.12</v>
      </c>
      <c r="C663" s="9">
        <f>(B663-B662)/B662</f>
        <v>3.840374019034845E-3</v>
      </c>
      <c r="D663" s="2">
        <f>MAX(D662,B663)</f>
        <v>103.9</v>
      </c>
      <c r="E663" s="9">
        <f>(B663-D663)/D663</f>
        <v>-0.42136669874879695</v>
      </c>
      <c r="AB663" s="1">
        <f>A663</f>
        <v>45526</v>
      </c>
      <c r="AC663" s="2">
        <f>B663</f>
        <v>60.12</v>
      </c>
      <c r="AD663" s="2">
        <f>661</f>
        <v>661</v>
      </c>
      <c r="AE663" s="2">
        <f>INTERCEPT($AC$3:$AC$1136,$AD$3:$AD$1136)+SLOPE($AC$3:$AC$1136,$AD$3:$AD$1136)*AD663</f>
        <v>69.93596052146529</v>
      </c>
      <c r="AF663" s="2">
        <f t="shared" si="20"/>
        <v>72.587620121867985</v>
      </c>
      <c r="AG663" s="2">
        <f t="shared" si="21"/>
        <v>67.284300921062595</v>
      </c>
      <c r="AH663" s="22">
        <f>AC663-AE663</f>
        <v>-9.8159605214652927</v>
      </c>
    </row>
    <row r="664" spans="1:34" x14ac:dyDescent="0.25">
      <c r="A664" s="1">
        <f>DATEVALUE(Sheet1!A663)</f>
        <v>45527</v>
      </c>
      <c r="B664" s="2">
        <f>VALUE(Sheet1!B663)</f>
        <v>60.02</v>
      </c>
      <c r="C664" s="9">
        <f>(B664-B663)/B663</f>
        <v>-1.6633399866931857E-3</v>
      </c>
      <c r="D664" s="2">
        <f>MAX(D663,B664)</f>
        <v>103.9</v>
      </c>
      <c r="E664" s="9">
        <f>(B664-D664)/D664</f>
        <v>-0.42232916265640041</v>
      </c>
      <c r="AB664" s="1">
        <f>A664</f>
        <v>45527</v>
      </c>
      <c r="AC664" s="2">
        <f>B664</f>
        <v>60.02</v>
      </c>
      <c r="AD664" s="2">
        <f>662</f>
        <v>662</v>
      </c>
      <c r="AE664" s="2">
        <f>INTERCEPT($AC$3:$AC$1136,$AD$3:$AD$1136)+SLOPE($AC$3:$AC$1136,$AD$3:$AD$1136)*AD664</f>
        <v>69.917248558052833</v>
      </c>
      <c r="AF664" s="2">
        <f t="shared" si="20"/>
        <v>72.568908158455528</v>
      </c>
      <c r="AG664" s="2">
        <f t="shared" si="21"/>
        <v>67.265588957650138</v>
      </c>
      <c r="AH664" s="22">
        <f>AC664-AE664</f>
        <v>-9.89724855805283</v>
      </c>
    </row>
    <row r="665" spans="1:34" x14ac:dyDescent="0.25">
      <c r="A665" s="1">
        <f>DATEVALUE(Sheet1!A664)</f>
        <v>45530</v>
      </c>
      <c r="B665" s="2">
        <f>VALUE(Sheet1!B664)</f>
        <v>59.74</v>
      </c>
      <c r="C665" s="9">
        <f>(B665-B664)/B664</f>
        <v>-4.6651116294568664E-3</v>
      </c>
      <c r="D665" s="2">
        <f>MAX(D664,B665)</f>
        <v>103.9</v>
      </c>
      <c r="E665" s="9">
        <f>(B665-D665)/D665</f>
        <v>-0.42502406159769007</v>
      </c>
      <c r="AB665" s="1">
        <f>A665</f>
        <v>45530</v>
      </c>
      <c r="AC665" s="2">
        <f>B665</f>
        <v>59.74</v>
      </c>
      <c r="AD665" s="2">
        <f>663</f>
        <v>663</v>
      </c>
      <c r="AE665" s="2">
        <f>INTERCEPT($AC$3:$AC$1136,$AD$3:$AD$1136)+SLOPE($AC$3:$AC$1136,$AD$3:$AD$1136)*AD665</f>
        <v>69.89853659464039</v>
      </c>
      <c r="AF665" s="2">
        <f t="shared" si="20"/>
        <v>72.550196195043085</v>
      </c>
      <c r="AG665" s="2">
        <f t="shared" si="21"/>
        <v>67.246876994237695</v>
      </c>
      <c r="AH665" s="22">
        <f>AC665-AE665</f>
        <v>-10.158536594640388</v>
      </c>
    </row>
    <row r="666" spans="1:34" x14ac:dyDescent="0.25">
      <c r="A666" s="1">
        <f>DATEVALUE(Sheet1!A665)</f>
        <v>45531</v>
      </c>
      <c r="B666" s="2">
        <f>VALUE(Sheet1!B665)</f>
        <v>59.98</v>
      </c>
      <c r="C666" s="9">
        <f>(B666-B665)/B665</f>
        <v>4.017408771342398E-3</v>
      </c>
      <c r="D666" s="2">
        <f>MAX(D665,B666)</f>
        <v>103.9</v>
      </c>
      <c r="E666" s="9">
        <f>(B666-D666)/D666</f>
        <v>-0.42271414821944181</v>
      </c>
      <c r="AB666" s="1">
        <f>A666</f>
        <v>45531</v>
      </c>
      <c r="AC666" s="2">
        <f>B666</f>
        <v>59.98</v>
      </c>
      <c r="AD666" s="2">
        <f>664</f>
        <v>664</v>
      </c>
      <c r="AE666" s="2">
        <f>INTERCEPT($AC$3:$AC$1136,$AD$3:$AD$1136)+SLOPE($AC$3:$AC$1136,$AD$3:$AD$1136)*AD666</f>
        <v>69.879824631227947</v>
      </c>
      <c r="AF666" s="2">
        <f t="shared" si="20"/>
        <v>72.531484231630643</v>
      </c>
      <c r="AG666" s="2">
        <f t="shared" si="21"/>
        <v>67.228165030825252</v>
      </c>
      <c r="AH666" s="22">
        <f>AC666-AE666</f>
        <v>-9.8998246312279505</v>
      </c>
    </row>
    <row r="667" spans="1:34" x14ac:dyDescent="0.25">
      <c r="A667" s="1">
        <f>DATEVALUE(Sheet1!A666)</f>
        <v>45532</v>
      </c>
      <c r="B667" s="2">
        <f>VALUE(Sheet1!B666)</f>
        <v>59.92</v>
      </c>
      <c r="C667" s="9">
        <f>(B667-B666)/B666</f>
        <v>-1.0003334444814134E-3</v>
      </c>
      <c r="D667" s="2">
        <f>MAX(D666,B667)</f>
        <v>103.9</v>
      </c>
      <c r="E667" s="9">
        <f>(B667-D667)/D667</f>
        <v>-0.42329162656400388</v>
      </c>
      <c r="AB667" s="1">
        <f>A667</f>
        <v>45532</v>
      </c>
      <c r="AC667" s="2">
        <f>B667</f>
        <v>59.92</v>
      </c>
      <c r="AD667" s="2">
        <f>665</f>
        <v>665</v>
      </c>
      <c r="AE667" s="2">
        <f>INTERCEPT($AC$3:$AC$1136,$AD$3:$AD$1136)+SLOPE($AC$3:$AC$1136,$AD$3:$AD$1136)*AD667</f>
        <v>69.86111266781549</v>
      </c>
      <c r="AF667" s="2">
        <f t="shared" si="20"/>
        <v>72.512772268218185</v>
      </c>
      <c r="AG667" s="2">
        <f t="shared" si="21"/>
        <v>67.209453067412795</v>
      </c>
      <c r="AH667" s="22">
        <f>AC667-AE667</f>
        <v>-9.9411126678154886</v>
      </c>
    </row>
    <row r="668" spans="1:34" x14ac:dyDescent="0.25">
      <c r="A668" s="1">
        <f>DATEVALUE(Sheet1!A667)</f>
        <v>45533</v>
      </c>
      <c r="B668" s="2">
        <f>VALUE(Sheet1!B667)</f>
        <v>60.27</v>
      </c>
      <c r="C668" s="9">
        <f>(B668-B667)/B667</f>
        <v>5.841121495327126E-3</v>
      </c>
      <c r="D668" s="2">
        <f>MAX(D667,B668)</f>
        <v>103.9</v>
      </c>
      <c r="E668" s="9">
        <f>(B668-D668)/D668</f>
        <v>-0.41992300288739171</v>
      </c>
      <c r="AB668" s="1">
        <f>A668</f>
        <v>45533</v>
      </c>
      <c r="AC668" s="2">
        <f>B668</f>
        <v>60.27</v>
      </c>
      <c r="AD668" s="2">
        <f>666</f>
        <v>666</v>
      </c>
      <c r="AE668" s="2">
        <f>INTERCEPT($AC$3:$AC$1136,$AD$3:$AD$1136)+SLOPE($AC$3:$AC$1136,$AD$3:$AD$1136)*AD668</f>
        <v>69.842400704403047</v>
      </c>
      <c r="AF668" s="2">
        <f t="shared" si="20"/>
        <v>72.494060304805743</v>
      </c>
      <c r="AG668" s="2">
        <f t="shared" si="21"/>
        <v>67.190741104000352</v>
      </c>
      <c r="AH668" s="22">
        <f>AC668-AE668</f>
        <v>-9.5724007044030444</v>
      </c>
    </row>
    <row r="669" spans="1:34" x14ac:dyDescent="0.25">
      <c r="A669" s="1">
        <f>DATEVALUE(Sheet1!A668)</f>
        <v>45534</v>
      </c>
      <c r="B669" s="2">
        <f>VALUE(Sheet1!B668)</f>
        <v>60.59</v>
      </c>
      <c r="C669" s="9">
        <f>(B669-B668)/B668</f>
        <v>5.3094408495105404E-3</v>
      </c>
      <c r="D669" s="2">
        <f>MAX(D668,B669)</f>
        <v>103.9</v>
      </c>
      <c r="E669" s="9">
        <f>(B669-D669)/D669</f>
        <v>-0.41684311838306065</v>
      </c>
      <c r="AB669" s="1">
        <f>A669</f>
        <v>45534</v>
      </c>
      <c r="AC669" s="2">
        <f>B669</f>
        <v>60.59</v>
      </c>
      <c r="AD669" s="2">
        <f>667</f>
        <v>667</v>
      </c>
      <c r="AE669" s="2">
        <f>INTERCEPT($AC$3:$AC$1136,$AD$3:$AD$1136)+SLOPE($AC$3:$AC$1136,$AD$3:$AD$1136)*AD669</f>
        <v>69.823688740990605</v>
      </c>
      <c r="AF669" s="2">
        <f t="shared" si="20"/>
        <v>72.4753483413933</v>
      </c>
      <c r="AG669" s="2">
        <f t="shared" si="21"/>
        <v>67.17202914058791</v>
      </c>
      <c r="AH669" s="22">
        <f>AC669-AE669</f>
        <v>-9.2336887409906012</v>
      </c>
    </row>
    <row r="670" spans="1:34" x14ac:dyDescent="0.25">
      <c r="A670" s="1">
        <f>DATEVALUE(Sheet1!A669)</f>
        <v>45537</v>
      </c>
      <c r="B670" s="2">
        <f>VALUE(Sheet1!B669)</f>
        <v>60.7</v>
      </c>
      <c r="C670" s="9">
        <f>(B670-B669)/B669</f>
        <v>1.8154811024921509E-3</v>
      </c>
      <c r="D670" s="2">
        <f>MAX(D669,B670)</f>
        <v>103.9</v>
      </c>
      <c r="E670" s="9">
        <f>(B670-D670)/D670</f>
        <v>-0.41578440808469685</v>
      </c>
      <c r="AB670" s="1">
        <f>A670</f>
        <v>45537</v>
      </c>
      <c r="AC670" s="2">
        <f>B670</f>
        <v>60.7</v>
      </c>
      <c r="AD670" s="2">
        <f>668</f>
        <v>668</v>
      </c>
      <c r="AE670" s="2">
        <f>INTERCEPT($AC$3:$AC$1136,$AD$3:$AD$1136)+SLOPE($AC$3:$AC$1136,$AD$3:$AD$1136)*AD670</f>
        <v>69.804976777578162</v>
      </c>
      <c r="AF670" s="2">
        <f t="shared" si="20"/>
        <v>72.456636377980857</v>
      </c>
      <c r="AG670" s="2">
        <f t="shared" si="21"/>
        <v>67.153317177175467</v>
      </c>
      <c r="AH670" s="22">
        <f>AC670-AE670</f>
        <v>-9.1049767775781589</v>
      </c>
    </row>
    <row r="671" spans="1:34" x14ac:dyDescent="0.25">
      <c r="A671" s="1">
        <f>DATEVALUE(Sheet1!A670)</f>
        <v>45538</v>
      </c>
      <c r="B671" s="2">
        <f>VALUE(Sheet1!B670)</f>
        <v>61.14</v>
      </c>
      <c r="C671" s="9">
        <f>(B671-B670)/B670</f>
        <v>7.2487644151564695E-3</v>
      </c>
      <c r="D671" s="2">
        <f>MAX(D670,B671)</f>
        <v>103.9</v>
      </c>
      <c r="E671" s="9">
        <f>(B671-D671)/D671</f>
        <v>-0.41154956689124161</v>
      </c>
      <c r="AB671" s="1">
        <f>A671</f>
        <v>45538</v>
      </c>
      <c r="AC671" s="2">
        <f>B671</f>
        <v>61.14</v>
      </c>
      <c r="AD671" s="2">
        <f>669</f>
        <v>669</v>
      </c>
      <c r="AE671" s="2">
        <f>INTERCEPT($AC$3:$AC$1136,$AD$3:$AD$1136)+SLOPE($AC$3:$AC$1136,$AD$3:$AD$1136)*AD671</f>
        <v>69.786264814165705</v>
      </c>
      <c r="AF671" s="2">
        <f t="shared" si="20"/>
        <v>72.4379244145684</v>
      </c>
      <c r="AG671" s="2">
        <f t="shared" si="21"/>
        <v>67.13460521376301</v>
      </c>
      <c r="AH671" s="22">
        <f>AC671-AE671</f>
        <v>-8.6462648141657041</v>
      </c>
    </row>
    <row r="672" spans="1:34" x14ac:dyDescent="0.25">
      <c r="A672" s="1">
        <f>DATEVALUE(Sheet1!A671)</f>
        <v>45539</v>
      </c>
      <c r="B672" s="2">
        <f>VALUE(Sheet1!B671)</f>
        <v>61.57</v>
      </c>
      <c r="C672" s="9">
        <f>(B672-B671)/B671</f>
        <v>7.0330389270526613E-3</v>
      </c>
      <c r="D672" s="2">
        <f>MAX(D671,B672)</f>
        <v>103.9</v>
      </c>
      <c r="E672" s="9">
        <f>(B672-D672)/D672</f>
        <v>-0.40741097208854671</v>
      </c>
      <c r="AB672" s="1">
        <f>A672</f>
        <v>45539</v>
      </c>
      <c r="AC672" s="2">
        <f>B672</f>
        <v>61.57</v>
      </c>
      <c r="AD672" s="2">
        <f>670</f>
        <v>670</v>
      </c>
      <c r="AE672" s="2">
        <f>INTERCEPT($AC$3:$AC$1136,$AD$3:$AD$1136)+SLOPE($AC$3:$AC$1136,$AD$3:$AD$1136)*AD672</f>
        <v>69.767552850753262</v>
      </c>
      <c r="AF672" s="2">
        <f t="shared" si="20"/>
        <v>72.419212451155957</v>
      </c>
      <c r="AG672" s="2">
        <f t="shared" si="21"/>
        <v>67.115893250350567</v>
      </c>
      <c r="AH672" s="22">
        <f>AC672-AE672</f>
        <v>-8.1975528507532616</v>
      </c>
    </row>
    <row r="673" spans="1:34" x14ac:dyDescent="0.25">
      <c r="A673" s="1">
        <f>DATEVALUE(Sheet1!A672)</f>
        <v>45540</v>
      </c>
      <c r="B673" s="2">
        <f>VALUE(Sheet1!B672)</f>
        <v>61.89</v>
      </c>
      <c r="C673" s="9">
        <f>(B673-B672)/B672</f>
        <v>5.1973363651128838E-3</v>
      </c>
      <c r="D673" s="2">
        <f>MAX(D672,B673)</f>
        <v>103.9</v>
      </c>
      <c r="E673" s="9">
        <f>(B673-D673)/D673</f>
        <v>-0.4043310875842156</v>
      </c>
      <c r="AB673" s="1">
        <f>A673</f>
        <v>45540</v>
      </c>
      <c r="AC673" s="2">
        <f>B673</f>
        <v>61.89</v>
      </c>
      <c r="AD673" s="2">
        <f>671</f>
        <v>671</v>
      </c>
      <c r="AE673" s="2">
        <f>INTERCEPT($AC$3:$AC$1136,$AD$3:$AD$1136)+SLOPE($AC$3:$AC$1136,$AD$3:$AD$1136)*AD673</f>
        <v>69.748840887340819</v>
      </c>
      <c r="AF673" s="2">
        <f t="shared" si="20"/>
        <v>72.400500487743514</v>
      </c>
      <c r="AG673" s="2">
        <f t="shared" si="21"/>
        <v>67.097181286938124</v>
      </c>
      <c r="AH673" s="22">
        <f>AC673-AE673</f>
        <v>-7.8588408873408184</v>
      </c>
    </row>
    <row r="674" spans="1:34" x14ac:dyDescent="0.25">
      <c r="A674" s="1">
        <f>DATEVALUE(Sheet1!A673)</f>
        <v>45541</v>
      </c>
      <c r="B674" s="2">
        <f>VALUE(Sheet1!B673)</f>
        <v>62.17</v>
      </c>
      <c r="C674" s="9">
        <f>(B674-B673)/B673</f>
        <v>4.5241557602197632E-3</v>
      </c>
      <c r="D674" s="2">
        <f>MAX(D673,B674)</f>
        <v>103.9</v>
      </c>
      <c r="E674" s="9">
        <f>(B674-D674)/D674</f>
        <v>-0.40163618864292588</v>
      </c>
      <c r="AB674" s="1">
        <f>A674</f>
        <v>45541</v>
      </c>
      <c r="AC674" s="2">
        <f>B674</f>
        <v>62.17</v>
      </c>
      <c r="AD674" s="2">
        <f>672</f>
        <v>672</v>
      </c>
      <c r="AE674" s="2">
        <f>INTERCEPT($AC$3:$AC$1136,$AD$3:$AD$1136)+SLOPE($AC$3:$AC$1136,$AD$3:$AD$1136)*AD674</f>
        <v>69.730128923928362</v>
      </c>
      <c r="AF674" s="2">
        <f t="shared" si="20"/>
        <v>72.381788524331057</v>
      </c>
      <c r="AG674" s="2">
        <f t="shared" si="21"/>
        <v>67.078469323525667</v>
      </c>
      <c r="AH674" s="22">
        <f>AC674-AE674</f>
        <v>-7.5601289239283602</v>
      </c>
    </row>
    <row r="675" spans="1:34" x14ac:dyDescent="0.25">
      <c r="A675" s="1">
        <f>DATEVALUE(Sheet1!A674)</f>
        <v>45544</v>
      </c>
      <c r="B675" s="2">
        <f>VALUE(Sheet1!B674)</f>
        <v>62.33</v>
      </c>
      <c r="C675" s="9">
        <f>(B675-B674)/B674</f>
        <v>2.5735885475309086E-3</v>
      </c>
      <c r="D675" s="2">
        <f>MAX(D674,B675)</f>
        <v>103.9</v>
      </c>
      <c r="E675" s="9">
        <f>(B675-D675)/D675</f>
        <v>-0.40009624639076041</v>
      </c>
      <c r="AB675" s="1">
        <f>A675</f>
        <v>45544</v>
      </c>
      <c r="AC675" s="2">
        <f>B675</f>
        <v>62.33</v>
      </c>
      <c r="AD675" s="2">
        <f>673</f>
        <v>673</v>
      </c>
      <c r="AE675" s="2">
        <f>INTERCEPT($AC$3:$AC$1136,$AD$3:$AD$1136)+SLOPE($AC$3:$AC$1136,$AD$3:$AD$1136)*AD675</f>
        <v>69.711416960515919</v>
      </c>
      <c r="AF675" s="2">
        <f t="shared" si="20"/>
        <v>72.363076560918614</v>
      </c>
      <c r="AG675" s="2">
        <f t="shared" si="21"/>
        <v>67.059757360113224</v>
      </c>
      <c r="AH675" s="22">
        <f>AC675-AE675</f>
        <v>-7.3814169605159208</v>
      </c>
    </row>
    <row r="676" spans="1:34" x14ac:dyDescent="0.25">
      <c r="A676" s="1">
        <f>DATEVALUE(Sheet1!A675)</f>
        <v>45545</v>
      </c>
      <c r="B676" s="2">
        <f>VALUE(Sheet1!B675)</f>
        <v>62.82</v>
      </c>
      <c r="C676" s="9">
        <f>(B676-B675)/B675</f>
        <v>7.861382961655736E-3</v>
      </c>
      <c r="D676" s="2">
        <f>MAX(D675,B676)</f>
        <v>103.9</v>
      </c>
      <c r="E676" s="9">
        <f>(B676-D676)/D676</f>
        <v>-0.39538017324350339</v>
      </c>
      <c r="AB676" s="1">
        <f>A676</f>
        <v>45545</v>
      </c>
      <c r="AC676" s="2">
        <f>B676</f>
        <v>62.82</v>
      </c>
      <c r="AD676" s="2">
        <f>674</f>
        <v>674</v>
      </c>
      <c r="AE676" s="2">
        <f>INTERCEPT($AC$3:$AC$1136,$AD$3:$AD$1136)+SLOPE($AC$3:$AC$1136,$AD$3:$AD$1136)*AD676</f>
        <v>69.692704997103476</v>
      </c>
      <c r="AF676" s="2">
        <f t="shared" si="20"/>
        <v>72.344364597506171</v>
      </c>
      <c r="AG676" s="2">
        <f t="shared" si="21"/>
        <v>67.041045396700781</v>
      </c>
      <c r="AH676" s="22">
        <f>AC676-AE676</f>
        <v>-6.8727049971034759</v>
      </c>
    </row>
    <row r="677" spans="1:34" x14ac:dyDescent="0.25">
      <c r="A677" s="1">
        <f>DATEVALUE(Sheet1!A676)</f>
        <v>45546</v>
      </c>
      <c r="B677" s="2">
        <f>VALUE(Sheet1!B676)</f>
        <v>63.42</v>
      </c>
      <c r="C677" s="9">
        <f>(B677-B676)/B676</f>
        <v>9.5510983763132992E-3</v>
      </c>
      <c r="D677" s="2">
        <f>MAX(D676,B677)</f>
        <v>103.9</v>
      </c>
      <c r="E677" s="9">
        <f>(B677-D677)/D677</f>
        <v>-0.38960538979788262</v>
      </c>
      <c r="AB677" s="1">
        <f>A677</f>
        <v>45546</v>
      </c>
      <c r="AC677" s="2">
        <f>B677</f>
        <v>63.42</v>
      </c>
      <c r="AD677" s="2">
        <f>675</f>
        <v>675</v>
      </c>
      <c r="AE677" s="2">
        <f>INTERCEPT($AC$3:$AC$1136,$AD$3:$AD$1136)+SLOPE($AC$3:$AC$1136,$AD$3:$AD$1136)*AD677</f>
        <v>69.673993033691033</v>
      </c>
      <c r="AF677" s="2">
        <f t="shared" si="20"/>
        <v>72.325652634093728</v>
      </c>
      <c r="AG677" s="2">
        <f t="shared" si="21"/>
        <v>67.022333433288338</v>
      </c>
      <c r="AH677" s="22">
        <f>AC677-AE677</f>
        <v>-6.2539930336910317</v>
      </c>
    </row>
    <row r="678" spans="1:34" x14ac:dyDescent="0.25">
      <c r="A678" s="1">
        <f>DATEVALUE(Sheet1!A677)</f>
        <v>45547</v>
      </c>
      <c r="B678" s="2">
        <f>VALUE(Sheet1!B677)</f>
        <v>63.5</v>
      </c>
      <c r="C678" s="9">
        <f>(B678-B677)/B677</f>
        <v>1.2614317250078571E-3</v>
      </c>
      <c r="D678" s="2">
        <f>MAX(D677,B678)</f>
        <v>103.9</v>
      </c>
      <c r="E678" s="9">
        <f>(B678-D678)/D678</f>
        <v>-0.38883541867179983</v>
      </c>
      <c r="AB678" s="1">
        <f>A678</f>
        <v>45547</v>
      </c>
      <c r="AC678" s="2">
        <f>B678</f>
        <v>63.5</v>
      </c>
      <c r="AD678" s="2">
        <f>676</f>
        <v>676</v>
      </c>
      <c r="AE678" s="2">
        <f>INTERCEPT($AC$3:$AC$1136,$AD$3:$AD$1136)+SLOPE($AC$3:$AC$1136,$AD$3:$AD$1136)*AD678</f>
        <v>69.655281070278591</v>
      </c>
      <c r="AF678" s="2">
        <f t="shared" si="20"/>
        <v>72.306940670681286</v>
      </c>
      <c r="AG678" s="2">
        <f t="shared" si="21"/>
        <v>67.003621469875895</v>
      </c>
      <c r="AH678" s="22">
        <f>AC678-AE678</f>
        <v>-6.1552810702785905</v>
      </c>
    </row>
    <row r="679" spans="1:34" x14ac:dyDescent="0.25">
      <c r="A679" s="1">
        <f>DATEVALUE(Sheet1!A678)</f>
        <v>45548</v>
      </c>
      <c r="B679" s="2">
        <f>VALUE(Sheet1!B678)</f>
        <v>62.74</v>
      </c>
      <c r="C679" s="9">
        <f>(B679-B678)/B678</f>
        <v>-1.1968503937007843E-2</v>
      </c>
      <c r="D679" s="2">
        <f>MAX(D678,B679)</f>
        <v>103.9</v>
      </c>
      <c r="E679" s="9">
        <f>(B679-D679)/D679</f>
        <v>-0.39615014436958618</v>
      </c>
      <c r="AB679" s="1">
        <f>A679</f>
        <v>45548</v>
      </c>
      <c r="AC679" s="2">
        <f>B679</f>
        <v>62.74</v>
      </c>
      <c r="AD679" s="2">
        <f>677</f>
        <v>677</v>
      </c>
      <c r="AE679" s="2">
        <f>INTERCEPT($AC$3:$AC$1136,$AD$3:$AD$1136)+SLOPE($AC$3:$AC$1136,$AD$3:$AD$1136)*AD679</f>
        <v>69.636569106866133</v>
      </c>
      <c r="AF679" s="2">
        <f t="shared" si="20"/>
        <v>72.288228707268829</v>
      </c>
      <c r="AG679" s="2">
        <f t="shared" si="21"/>
        <v>66.984909506463438</v>
      </c>
      <c r="AH679" s="22">
        <f>AC679-AE679</f>
        <v>-6.8965691068661314</v>
      </c>
    </row>
    <row r="680" spans="1:34" x14ac:dyDescent="0.25">
      <c r="A680" s="1">
        <f>DATEVALUE(Sheet1!A679)</f>
        <v>45551</v>
      </c>
      <c r="B680" s="2">
        <f>VALUE(Sheet1!B679)</f>
        <v>62.42</v>
      </c>
      <c r="C680" s="9">
        <f>(B680-B679)/B679</f>
        <v>-5.1004144086707085E-3</v>
      </c>
      <c r="D680" s="2">
        <f>MAX(D679,B680)</f>
        <v>103.9</v>
      </c>
      <c r="E680" s="9">
        <f>(B680-D680)/D680</f>
        <v>-0.39923002887391723</v>
      </c>
      <c r="AB680" s="1">
        <f>A680</f>
        <v>45551</v>
      </c>
      <c r="AC680" s="2">
        <f>B680</f>
        <v>62.42</v>
      </c>
      <c r="AD680" s="2">
        <f>678</f>
        <v>678</v>
      </c>
      <c r="AE680" s="2">
        <f>INTERCEPT($AC$3:$AC$1136,$AD$3:$AD$1136)+SLOPE($AC$3:$AC$1136,$AD$3:$AD$1136)*AD680</f>
        <v>69.617857143453691</v>
      </c>
      <c r="AF680" s="2">
        <f t="shared" si="20"/>
        <v>72.269516743856386</v>
      </c>
      <c r="AG680" s="2">
        <f t="shared" si="21"/>
        <v>66.966197543050995</v>
      </c>
      <c r="AH680" s="22">
        <f>AC680-AE680</f>
        <v>-7.1978571434536889</v>
      </c>
    </row>
    <row r="681" spans="1:34" x14ac:dyDescent="0.25">
      <c r="A681" s="1">
        <f>DATEVALUE(Sheet1!A680)</f>
        <v>45552</v>
      </c>
      <c r="B681" s="2">
        <f>VALUE(Sheet1!B680)</f>
        <v>62.02</v>
      </c>
      <c r="C681" s="9">
        <f>(B681-B680)/B680</f>
        <v>-6.4082024991989521E-3</v>
      </c>
      <c r="D681" s="2">
        <f>MAX(D680,B681)</f>
        <v>103.9</v>
      </c>
      <c r="E681" s="9">
        <f>(B681-D681)/D681</f>
        <v>-0.40307988450433108</v>
      </c>
      <c r="AB681" s="1">
        <f>A681</f>
        <v>45552</v>
      </c>
      <c r="AC681" s="2">
        <f>B681</f>
        <v>62.02</v>
      </c>
      <c r="AD681" s="2">
        <f>679</f>
        <v>679</v>
      </c>
      <c r="AE681" s="2">
        <f>INTERCEPT($AC$3:$AC$1136,$AD$3:$AD$1136)+SLOPE($AC$3:$AC$1136,$AD$3:$AD$1136)*AD681</f>
        <v>69.599145180041248</v>
      </c>
      <c r="AF681" s="2">
        <f t="shared" si="20"/>
        <v>72.250804780443943</v>
      </c>
      <c r="AG681" s="2">
        <f t="shared" si="21"/>
        <v>66.947485579638553</v>
      </c>
      <c r="AH681" s="22">
        <f>AC681-AE681</f>
        <v>-7.5791451800412446</v>
      </c>
    </row>
    <row r="682" spans="1:34" x14ac:dyDescent="0.25">
      <c r="A682" s="1">
        <f>DATEVALUE(Sheet1!A681)</f>
        <v>45553</v>
      </c>
      <c r="B682" s="2">
        <f>VALUE(Sheet1!B681)</f>
        <v>62.34</v>
      </c>
      <c r="C682" s="9">
        <f>(B682-B681)/B681</f>
        <v>5.1596259271202878E-3</v>
      </c>
      <c r="D682" s="2">
        <f>MAX(D681,B682)</f>
        <v>103.9</v>
      </c>
      <c r="E682" s="9">
        <f>(B682-D682)/D682</f>
        <v>-0.4</v>
      </c>
      <c r="AB682" s="1">
        <f>A682</f>
        <v>45553</v>
      </c>
      <c r="AC682" s="2">
        <f>B682</f>
        <v>62.34</v>
      </c>
      <c r="AD682" s="2">
        <f>680</f>
        <v>680</v>
      </c>
      <c r="AE682" s="2">
        <f>INTERCEPT($AC$3:$AC$1136,$AD$3:$AD$1136)+SLOPE($AC$3:$AC$1136,$AD$3:$AD$1136)*AD682</f>
        <v>69.580433216628791</v>
      </c>
      <c r="AF682" s="2">
        <f t="shared" si="20"/>
        <v>72.232092817031486</v>
      </c>
      <c r="AG682" s="2">
        <f t="shared" si="21"/>
        <v>66.928773616226096</v>
      </c>
      <c r="AH682" s="22">
        <f>AC682-AE682</f>
        <v>-7.2404332166287872</v>
      </c>
    </row>
    <row r="683" spans="1:34" x14ac:dyDescent="0.25">
      <c r="A683" s="1">
        <f>DATEVALUE(Sheet1!A682)</f>
        <v>45554</v>
      </c>
      <c r="B683" s="2">
        <f>VALUE(Sheet1!B682)</f>
        <v>62.31</v>
      </c>
      <c r="C683" s="9">
        <f>(B683-B682)/B682</f>
        <v>-4.8123195380175062E-4</v>
      </c>
      <c r="D683" s="2">
        <f>MAX(D682,B683)</f>
        <v>103.9</v>
      </c>
      <c r="E683" s="9">
        <f>(B683-D683)/D683</f>
        <v>-0.40028873917228103</v>
      </c>
      <c r="AB683" s="1">
        <f>A683</f>
        <v>45554</v>
      </c>
      <c r="AC683" s="2">
        <f>B683</f>
        <v>62.31</v>
      </c>
      <c r="AD683" s="2">
        <f>681</f>
        <v>681</v>
      </c>
      <c r="AE683" s="2">
        <f>INTERCEPT($AC$3:$AC$1136,$AD$3:$AD$1136)+SLOPE($AC$3:$AC$1136,$AD$3:$AD$1136)*AD683</f>
        <v>69.561721253216348</v>
      </c>
      <c r="AF683" s="2">
        <f t="shared" si="20"/>
        <v>72.213380853619043</v>
      </c>
      <c r="AG683" s="2">
        <f t="shared" si="21"/>
        <v>66.910061652813653</v>
      </c>
      <c r="AH683" s="22">
        <f>AC683-AE683</f>
        <v>-7.2517212532163455</v>
      </c>
    </row>
    <row r="684" spans="1:34" x14ac:dyDescent="0.25">
      <c r="A684" s="1">
        <f>DATEVALUE(Sheet1!A683)</f>
        <v>45555</v>
      </c>
      <c r="B684" s="2">
        <f>VALUE(Sheet1!B683)</f>
        <v>62.2</v>
      </c>
      <c r="C684" s="9">
        <f>(B684-B683)/B683</f>
        <v>-1.7653667148130223E-3</v>
      </c>
      <c r="D684" s="2">
        <f>MAX(D683,B684)</f>
        <v>103.9</v>
      </c>
      <c r="E684" s="9">
        <f>(B684-D684)/D684</f>
        <v>-0.40134744947064488</v>
      </c>
      <c r="AB684" s="1">
        <f>A684</f>
        <v>45555</v>
      </c>
      <c r="AC684" s="2">
        <f>B684</f>
        <v>62.2</v>
      </c>
      <c r="AD684" s="2">
        <f>682</f>
        <v>682</v>
      </c>
      <c r="AE684" s="2">
        <f>INTERCEPT($AC$3:$AC$1136,$AD$3:$AD$1136)+SLOPE($AC$3:$AC$1136,$AD$3:$AD$1136)*AD684</f>
        <v>69.543009289803905</v>
      </c>
      <c r="AF684" s="2">
        <f t="shared" si="20"/>
        <v>72.1946688902066</v>
      </c>
      <c r="AG684" s="2">
        <f t="shared" si="21"/>
        <v>66.89134968940121</v>
      </c>
      <c r="AH684" s="22">
        <f>AC684-AE684</f>
        <v>-7.3430092898039021</v>
      </c>
    </row>
    <row r="685" spans="1:34" x14ac:dyDescent="0.25">
      <c r="A685" s="1">
        <f>DATEVALUE(Sheet1!A684)</f>
        <v>45558</v>
      </c>
      <c r="B685" s="2">
        <f>VALUE(Sheet1!B684)</f>
        <v>62.69</v>
      </c>
      <c r="C685" s="9">
        <f>(B685-B684)/B684</f>
        <v>7.8778135048230679E-3</v>
      </c>
      <c r="D685" s="2">
        <f>MAX(D684,B685)</f>
        <v>103.9</v>
      </c>
      <c r="E685" s="9">
        <f>(B685-D685)/D685</f>
        <v>-0.39663137632338791</v>
      </c>
      <c r="AB685" s="1">
        <f>A685</f>
        <v>45558</v>
      </c>
      <c r="AC685" s="2">
        <f>B685</f>
        <v>62.69</v>
      </c>
      <c r="AD685" s="2">
        <f>683</f>
        <v>683</v>
      </c>
      <c r="AE685" s="2">
        <f>INTERCEPT($AC$3:$AC$1136,$AD$3:$AD$1136)+SLOPE($AC$3:$AC$1136,$AD$3:$AD$1136)*AD685</f>
        <v>69.524297326391462</v>
      </c>
      <c r="AF685" s="2">
        <f t="shared" si="20"/>
        <v>72.175956926794157</v>
      </c>
      <c r="AG685" s="2">
        <f t="shared" si="21"/>
        <v>66.872637725988767</v>
      </c>
      <c r="AH685" s="22">
        <f>AC685-AE685</f>
        <v>-6.8342973263914644</v>
      </c>
    </row>
    <row r="686" spans="1:34" x14ac:dyDescent="0.25">
      <c r="A686" s="1">
        <f>DATEVALUE(Sheet1!A685)</f>
        <v>45559</v>
      </c>
      <c r="B686" s="2">
        <f>VALUE(Sheet1!B685)</f>
        <v>63.24</v>
      </c>
      <c r="C686" s="9">
        <f>(B686-B685)/B685</f>
        <v>8.7733290795980901E-3</v>
      </c>
      <c r="D686" s="2">
        <f>MAX(D685,B686)</f>
        <v>103.9</v>
      </c>
      <c r="E686" s="9">
        <f>(B686-D686)/D686</f>
        <v>-0.39133782483156881</v>
      </c>
      <c r="AB686" s="1">
        <f>A686</f>
        <v>45559</v>
      </c>
      <c r="AC686" s="2">
        <f>B686</f>
        <v>63.24</v>
      </c>
      <c r="AD686" s="2">
        <f>684</f>
        <v>684</v>
      </c>
      <c r="AE686" s="2">
        <f>INTERCEPT($AC$3:$AC$1136,$AD$3:$AD$1136)+SLOPE($AC$3:$AC$1136,$AD$3:$AD$1136)*AD686</f>
        <v>69.505585362979005</v>
      </c>
      <c r="AF686" s="2">
        <f t="shared" si="20"/>
        <v>72.1572449633817</v>
      </c>
      <c r="AG686" s="2">
        <f t="shared" si="21"/>
        <v>66.85392576257631</v>
      </c>
      <c r="AH686" s="22">
        <f>AC686-AE686</f>
        <v>-6.265585362979003</v>
      </c>
    </row>
    <row r="687" spans="1:34" x14ac:dyDescent="0.25">
      <c r="A687" s="1">
        <f>DATEVALUE(Sheet1!A686)</f>
        <v>45560</v>
      </c>
      <c r="B687" s="2">
        <f>VALUE(Sheet1!B686)</f>
        <v>63.34</v>
      </c>
      <c r="C687" s="9">
        <f>(B687-B686)/B686</f>
        <v>1.5812776723592888E-3</v>
      </c>
      <c r="D687" s="2">
        <f>MAX(D686,B687)</f>
        <v>103.9</v>
      </c>
      <c r="E687" s="9">
        <f>(B687-D687)/D687</f>
        <v>-0.39037536092396535</v>
      </c>
      <c r="AB687" s="1">
        <f>A687</f>
        <v>45560</v>
      </c>
      <c r="AC687" s="2">
        <f>B687</f>
        <v>63.34</v>
      </c>
      <c r="AD687" s="2">
        <f>685</f>
        <v>685</v>
      </c>
      <c r="AE687" s="2">
        <f>INTERCEPT($AC$3:$AC$1136,$AD$3:$AD$1136)+SLOPE($AC$3:$AC$1136,$AD$3:$AD$1136)*AD687</f>
        <v>69.486873399566562</v>
      </c>
      <c r="AF687" s="2">
        <f t="shared" si="20"/>
        <v>72.138532999969257</v>
      </c>
      <c r="AG687" s="2">
        <f t="shared" si="21"/>
        <v>66.835213799163867</v>
      </c>
      <c r="AH687" s="22">
        <f>AC687-AE687</f>
        <v>-6.1468733995665588</v>
      </c>
    </row>
    <row r="688" spans="1:34" x14ac:dyDescent="0.25">
      <c r="A688" s="1">
        <f>DATEVALUE(Sheet1!A687)</f>
        <v>45561</v>
      </c>
      <c r="B688" s="2">
        <f>VALUE(Sheet1!B687)</f>
        <v>63.57</v>
      </c>
      <c r="C688" s="9">
        <f>(B688-B687)/B687</f>
        <v>3.6311967161350941E-3</v>
      </c>
      <c r="D688" s="2">
        <f>MAX(D687,B688)</f>
        <v>103.9</v>
      </c>
      <c r="E688" s="9">
        <f>(B688-D688)/D688</f>
        <v>-0.38816169393647743</v>
      </c>
      <c r="AB688" s="1">
        <f>A688</f>
        <v>45561</v>
      </c>
      <c r="AC688" s="2">
        <f>B688</f>
        <v>63.57</v>
      </c>
      <c r="AD688" s="2">
        <f>686</f>
        <v>686</v>
      </c>
      <c r="AE688" s="2">
        <f>INTERCEPT($AC$3:$AC$1136,$AD$3:$AD$1136)+SLOPE($AC$3:$AC$1136,$AD$3:$AD$1136)*AD688</f>
        <v>69.468161436154119</v>
      </c>
      <c r="AF688" s="2">
        <f t="shared" si="20"/>
        <v>72.119821036556814</v>
      </c>
      <c r="AG688" s="2">
        <f t="shared" si="21"/>
        <v>66.816501835751424</v>
      </c>
      <c r="AH688" s="22">
        <f>AC688-AE688</f>
        <v>-5.898161436154119</v>
      </c>
    </row>
    <row r="689" spans="1:34" x14ac:dyDescent="0.25">
      <c r="A689" s="1">
        <f>DATEVALUE(Sheet1!A688)</f>
        <v>45562</v>
      </c>
      <c r="B689" s="2">
        <f>VALUE(Sheet1!B688)</f>
        <v>63.88</v>
      </c>
      <c r="C689" s="9">
        <f>(B689-B688)/B688</f>
        <v>4.8765140789681022E-3</v>
      </c>
      <c r="D689" s="2">
        <f>MAX(D688,B689)</f>
        <v>103.9</v>
      </c>
      <c r="E689" s="9">
        <f>(B689-D689)/D689</f>
        <v>-0.38517805582290665</v>
      </c>
      <c r="AB689" s="1">
        <f>A689</f>
        <v>45562</v>
      </c>
      <c r="AC689" s="2">
        <f>B689</f>
        <v>63.88</v>
      </c>
      <c r="AD689" s="2">
        <f>687</f>
        <v>687</v>
      </c>
      <c r="AE689" s="2">
        <f>INTERCEPT($AC$3:$AC$1136,$AD$3:$AD$1136)+SLOPE($AC$3:$AC$1136,$AD$3:$AD$1136)*AD689</f>
        <v>69.449449472741662</v>
      </c>
      <c r="AF689" s="2">
        <f t="shared" si="20"/>
        <v>72.101109073144357</v>
      </c>
      <c r="AG689" s="2">
        <f t="shared" si="21"/>
        <v>66.797789872338967</v>
      </c>
      <c r="AH689" s="22">
        <f>AC689-AE689</f>
        <v>-5.5694494727416597</v>
      </c>
    </row>
    <row r="690" spans="1:34" x14ac:dyDescent="0.25">
      <c r="A690" s="1">
        <f>DATEVALUE(Sheet1!A689)</f>
        <v>45565</v>
      </c>
      <c r="B690" s="2">
        <f>VALUE(Sheet1!B689)</f>
        <v>64.3</v>
      </c>
      <c r="C690" s="9">
        <f>(B690-B689)/B689</f>
        <v>6.5748278021289068E-3</v>
      </c>
      <c r="D690" s="2">
        <f>MAX(D689,B690)</f>
        <v>103.9</v>
      </c>
      <c r="E690" s="9">
        <f>(B690-D690)/D690</f>
        <v>-0.38113570741097214</v>
      </c>
      <c r="AB690" s="1">
        <f>A690</f>
        <v>45565</v>
      </c>
      <c r="AC690" s="2">
        <f>B690</f>
        <v>64.3</v>
      </c>
      <c r="AD690" s="2">
        <f>688</f>
        <v>688</v>
      </c>
      <c r="AE690" s="2">
        <f>INTERCEPT($AC$3:$AC$1136,$AD$3:$AD$1136)+SLOPE($AC$3:$AC$1136,$AD$3:$AD$1136)*AD690</f>
        <v>69.430737509329219</v>
      </c>
      <c r="AF690" s="2">
        <f t="shared" si="20"/>
        <v>72.082397109731914</v>
      </c>
      <c r="AG690" s="2">
        <f t="shared" si="21"/>
        <v>66.779077908926524</v>
      </c>
      <c r="AH690" s="22">
        <f>AC690-AE690</f>
        <v>-5.1307375093292222</v>
      </c>
    </row>
    <row r="691" spans="1:34" x14ac:dyDescent="0.25">
      <c r="A691" s="1">
        <f>DATEVALUE(Sheet1!A690)</f>
        <v>45566</v>
      </c>
      <c r="B691" s="2">
        <f>VALUE(Sheet1!B690)</f>
        <v>65.040000000000006</v>
      </c>
      <c r="C691" s="9">
        <f>(B691-B690)/B690</f>
        <v>1.1508553654743531E-2</v>
      </c>
      <c r="D691" s="2">
        <f>MAX(D690,B691)</f>
        <v>103.9</v>
      </c>
      <c r="E691" s="9">
        <f>(B691-D691)/D691</f>
        <v>-0.3740134744947064</v>
      </c>
      <c r="AB691" s="1">
        <f>A691</f>
        <v>45566</v>
      </c>
      <c r="AC691" s="2">
        <f>B691</f>
        <v>65.040000000000006</v>
      </c>
      <c r="AD691" s="2">
        <f>689</f>
        <v>689</v>
      </c>
      <c r="AE691" s="2">
        <f>INTERCEPT($AC$3:$AC$1136,$AD$3:$AD$1136)+SLOPE($AC$3:$AC$1136,$AD$3:$AD$1136)*AD691</f>
        <v>69.412025545916777</v>
      </c>
      <c r="AF691" s="2">
        <f t="shared" si="20"/>
        <v>72.063685146319472</v>
      </c>
      <c r="AG691" s="2">
        <f t="shared" si="21"/>
        <v>66.760365945514081</v>
      </c>
      <c r="AH691" s="22">
        <f>AC691-AE691</f>
        <v>-4.3720255459167703</v>
      </c>
    </row>
    <row r="692" spans="1:34" x14ac:dyDescent="0.25">
      <c r="A692" s="1">
        <f>DATEVALUE(Sheet1!A691)</f>
        <v>45567</v>
      </c>
      <c r="B692" s="2">
        <f>VALUE(Sheet1!B691)</f>
        <v>65.52</v>
      </c>
      <c r="C692" s="9">
        <f>(B692-B691)/B691</f>
        <v>7.3800738007378493E-3</v>
      </c>
      <c r="D692" s="2">
        <f>MAX(D691,B692)</f>
        <v>103.9</v>
      </c>
      <c r="E692" s="9">
        <f>(B692-D692)/D692</f>
        <v>-0.36939364773820987</v>
      </c>
      <c r="AB692" s="1">
        <f>A692</f>
        <v>45567</v>
      </c>
      <c r="AC692" s="2">
        <f>B692</f>
        <v>65.52</v>
      </c>
      <c r="AD692" s="2">
        <f>690</f>
        <v>690</v>
      </c>
      <c r="AE692" s="2">
        <f>INTERCEPT($AC$3:$AC$1136,$AD$3:$AD$1136)+SLOPE($AC$3:$AC$1136,$AD$3:$AD$1136)*AD692</f>
        <v>69.393313582504334</v>
      </c>
      <c r="AF692" s="2">
        <f t="shared" si="20"/>
        <v>72.044973182907029</v>
      </c>
      <c r="AG692" s="2">
        <f t="shared" si="21"/>
        <v>66.741653982101639</v>
      </c>
      <c r="AH692" s="22">
        <f>AC692-AE692</f>
        <v>-3.8733135825043377</v>
      </c>
    </row>
    <row r="693" spans="1:34" x14ac:dyDescent="0.25">
      <c r="A693" s="1">
        <f>DATEVALUE(Sheet1!A692)</f>
        <v>45568</v>
      </c>
      <c r="B693" s="2">
        <f>VALUE(Sheet1!B692)</f>
        <v>65.709999999999994</v>
      </c>
      <c r="C693" s="9">
        <f>(B693-B692)/B692</f>
        <v>2.8998778998778653E-3</v>
      </c>
      <c r="D693" s="2">
        <f>MAX(D692,B693)</f>
        <v>103.9</v>
      </c>
      <c r="E693" s="9">
        <f>(B693-D693)/D693</f>
        <v>-0.36756496631376334</v>
      </c>
      <c r="AB693" s="1">
        <f>A693</f>
        <v>45568</v>
      </c>
      <c r="AC693" s="2">
        <f>B693</f>
        <v>65.709999999999994</v>
      </c>
      <c r="AD693" s="2">
        <f>691</f>
        <v>691</v>
      </c>
      <c r="AE693" s="2">
        <f>INTERCEPT($AC$3:$AC$1136,$AD$3:$AD$1136)+SLOPE($AC$3:$AC$1136,$AD$3:$AD$1136)*AD693</f>
        <v>69.374601619091877</v>
      </c>
      <c r="AF693" s="2">
        <f t="shared" si="20"/>
        <v>72.026261219494572</v>
      </c>
      <c r="AG693" s="2">
        <f t="shared" si="21"/>
        <v>66.722942018689182</v>
      </c>
      <c r="AH693" s="22">
        <f>AC693-AE693</f>
        <v>-3.6646016190918829</v>
      </c>
    </row>
    <row r="694" spans="1:34" x14ac:dyDescent="0.25">
      <c r="A694" s="1">
        <f>DATEVALUE(Sheet1!A693)</f>
        <v>45569</v>
      </c>
      <c r="B694" s="2">
        <f>VALUE(Sheet1!B693)</f>
        <v>66.209999999999994</v>
      </c>
      <c r="C694" s="9">
        <f>(B694-B693)/B693</f>
        <v>7.6091919038198154E-3</v>
      </c>
      <c r="D694" s="2">
        <f>MAX(D693,B694)</f>
        <v>103.9</v>
      </c>
      <c r="E694" s="9">
        <f>(B694-D694)/D694</f>
        <v>-0.36275264677574598</v>
      </c>
      <c r="AB694" s="1">
        <f>A694</f>
        <v>45569</v>
      </c>
      <c r="AC694" s="2">
        <f>B694</f>
        <v>66.209999999999994</v>
      </c>
      <c r="AD694" s="2">
        <f>692</f>
        <v>692</v>
      </c>
      <c r="AE694" s="2">
        <f>INTERCEPT($AC$3:$AC$1136,$AD$3:$AD$1136)+SLOPE($AC$3:$AC$1136,$AD$3:$AD$1136)*AD694</f>
        <v>69.355889655679434</v>
      </c>
      <c r="AF694" s="2">
        <f t="shared" si="20"/>
        <v>72.007549256082129</v>
      </c>
      <c r="AG694" s="2">
        <f t="shared" si="21"/>
        <v>66.704230055276739</v>
      </c>
      <c r="AH694" s="22">
        <f>AC694-AE694</f>
        <v>-3.14588965567944</v>
      </c>
    </row>
    <row r="695" spans="1:34" x14ac:dyDescent="0.25">
      <c r="A695" s="1">
        <f>DATEVALUE(Sheet1!A694)</f>
        <v>45572</v>
      </c>
      <c r="B695" s="2">
        <f>VALUE(Sheet1!B694)</f>
        <v>66.05</v>
      </c>
      <c r="C695" s="9">
        <f>(B695-B694)/B694</f>
        <v>-2.4165533907264253E-3</v>
      </c>
      <c r="D695" s="2">
        <f>MAX(D694,B695)</f>
        <v>103.9</v>
      </c>
      <c r="E695" s="9">
        <f>(B695-D695)/D695</f>
        <v>-0.36429258902791151</v>
      </c>
      <c r="AB695" s="1">
        <f>A695</f>
        <v>45572</v>
      </c>
      <c r="AC695" s="2">
        <f>B695</f>
        <v>66.05</v>
      </c>
      <c r="AD695" s="2">
        <f>693</f>
        <v>693</v>
      </c>
      <c r="AE695" s="2">
        <f>INTERCEPT($AC$3:$AC$1136,$AD$3:$AD$1136)+SLOPE($AC$3:$AC$1136,$AD$3:$AD$1136)*AD695</f>
        <v>69.337177692266991</v>
      </c>
      <c r="AF695" s="2">
        <f t="shared" si="20"/>
        <v>71.988837292669686</v>
      </c>
      <c r="AG695" s="2">
        <f t="shared" si="21"/>
        <v>66.685518091864296</v>
      </c>
      <c r="AH695" s="22">
        <f>AC695-AE695</f>
        <v>-3.2871776922669937</v>
      </c>
    </row>
    <row r="696" spans="1:34" x14ac:dyDescent="0.25">
      <c r="A696" s="1">
        <f>DATEVALUE(Sheet1!A695)</f>
        <v>45573</v>
      </c>
      <c r="B696" s="2">
        <f>VALUE(Sheet1!B695)</f>
        <v>66.209999999999994</v>
      </c>
      <c r="C696" s="9">
        <f>(B696-B695)/B695</f>
        <v>2.4224072672217501E-3</v>
      </c>
      <c r="D696" s="2">
        <f>MAX(D695,B696)</f>
        <v>103.9</v>
      </c>
      <c r="E696" s="9">
        <f>(B696-D696)/D696</f>
        <v>-0.36275264677574598</v>
      </c>
      <c r="AB696" s="1">
        <f>A696</f>
        <v>45573</v>
      </c>
      <c r="AC696" s="2">
        <f>B696</f>
        <v>66.209999999999994</v>
      </c>
      <c r="AD696" s="2">
        <f>694</f>
        <v>694</v>
      </c>
      <c r="AE696" s="2">
        <f>INTERCEPT($AC$3:$AC$1136,$AD$3:$AD$1136)+SLOPE($AC$3:$AC$1136,$AD$3:$AD$1136)*AD696</f>
        <v>69.318465728854548</v>
      </c>
      <c r="AF696" s="2">
        <f t="shared" si="20"/>
        <v>71.970125329257243</v>
      </c>
      <c r="AG696" s="2">
        <f t="shared" si="21"/>
        <v>66.666806128451853</v>
      </c>
      <c r="AH696" s="22">
        <f>AC696-AE696</f>
        <v>-3.1084657288545543</v>
      </c>
    </row>
    <row r="697" spans="1:34" x14ac:dyDescent="0.25">
      <c r="A697" s="1">
        <f>DATEVALUE(Sheet1!A696)</f>
        <v>45574</v>
      </c>
      <c r="B697" s="2">
        <f>VALUE(Sheet1!B696)</f>
        <v>67.069999999999993</v>
      </c>
      <c r="C697" s="9">
        <f>(B697-B696)/B696</f>
        <v>1.2988974475154803E-2</v>
      </c>
      <c r="D697" s="2">
        <f>MAX(D696,B697)</f>
        <v>103.9</v>
      </c>
      <c r="E697" s="9">
        <f>(B697-D697)/D697</f>
        <v>-0.35447545717035622</v>
      </c>
      <c r="AB697" s="1">
        <f>A697</f>
        <v>45574</v>
      </c>
      <c r="AC697" s="2">
        <f>B697</f>
        <v>67.069999999999993</v>
      </c>
      <c r="AD697" s="2">
        <f>695</f>
        <v>695</v>
      </c>
      <c r="AE697" s="2">
        <f>INTERCEPT($AC$3:$AC$1136,$AD$3:$AD$1136)+SLOPE($AC$3:$AC$1136,$AD$3:$AD$1136)*AD697</f>
        <v>69.299753765442091</v>
      </c>
      <c r="AF697" s="2">
        <f t="shared" si="20"/>
        <v>71.951413365844786</v>
      </c>
      <c r="AG697" s="2">
        <f t="shared" si="21"/>
        <v>66.648094165039396</v>
      </c>
      <c r="AH697" s="22">
        <f>AC697-AE697</f>
        <v>-2.2297537654420978</v>
      </c>
    </row>
    <row r="698" spans="1:34" x14ac:dyDescent="0.25">
      <c r="A698" s="1">
        <f>DATEVALUE(Sheet1!A697)</f>
        <v>45575</v>
      </c>
      <c r="B698" s="2">
        <f>VALUE(Sheet1!B697)</f>
        <v>67.69</v>
      </c>
      <c r="C698" s="9">
        <f>(B698-B697)/B697</f>
        <v>9.2440733561950893E-3</v>
      </c>
      <c r="D698" s="2">
        <f>MAX(D697,B698)</f>
        <v>103.9</v>
      </c>
      <c r="E698" s="9">
        <f>(B698-D698)/D698</f>
        <v>-0.34850818094321467</v>
      </c>
      <c r="AB698" s="1">
        <f>A698</f>
        <v>45575</v>
      </c>
      <c r="AC698" s="2">
        <f>B698</f>
        <v>67.69</v>
      </c>
      <c r="AD698" s="2">
        <f>696</f>
        <v>696</v>
      </c>
      <c r="AE698" s="2">
        <f>INTERCEPT($AC$3:$AC$1136,$AD$3:$AD$1136)+SLOPE($AC$3:$AC$1136,$AD$3:$AD$1136)*AD698</f>
        <v>69.281041802029648</v>
      </c>
      <c r="AF698" s="2">
        <f t="shared" si="20"/>
        <v>71.932701402432343</v>
      </c>
      <c r="AG698" s="2">
        <f t="shared" si="21"/>
        <v>66.629382201626953</v>
      </c>
      <c r="AH698" s="22">
        <f>AC698-AE698</f>
        <v>-1.5910418020296504</v>
      </c>
    </row>
    <row r="699" spans="1:34" x14ac:dyDescent="0.25">
      <c r="A699" s="1">
        <f>DATEVALUE(Sheet1!A698)</f>
        <v>45576</v>
      </c>
      <c r="B699" s="2">
        <f>VALUE(Sheet1!B698)</f>
        <v>67.75</v>
      </c>
      <c r="C699" s="9">
        <f>(B699-B698)/B698</f>
        <v>8.8639385433597693E-4</v>
      </c>
      <c r="D699" s="2">
        <f>MAX(D698,B699)</f>
        <v>103.9</v>
      </c>
      <c r="E699" s="9">
        <f>(B699-D699)/D699</f>
        <v>-0.34793070259865261</v>
      </c>
      <c r="AB699" s="1">
        <f>A699</f>
        <v>45576</v>
      </c>
      <c r="AC699" s="2">
        <f>B699</f>
        <v>67.75</v>
      </c>
      <c r="AD699" s="2">
        <f>697</f>
        <v>697</v>
      </c>
      <c r="AE699" s="2">
        <f>INTERCEPT($AC$3:$AC$1136,$AD$3:$AD$1136)+SLOPE($AC$3:$AC$1136,$AD$3:$AD$1136)*AD699</f>
        <v>69.262329838617205</v>
      </c>
      <c r="AF699" s="2">
        <f t="shared" si="20"/>
        <v>71.9139894390199</v>
      </c>
      <c r="AG699" s="2">
        <f t="shared" si="21"/>
        <v>66.61067023821451</v>
      </c>
      <c r="AH699" s="22">
        <f>AC699-AE699</f>
        <v>-1.5123298386172053</v>
      </c>
    </row>
    <row r="700" spans="1:34" x14ac:dyDescent="0.25">
      <c r="A700" s="1">
        <f>DATEVALUE(Sheet1!A699)</f>
        <v>45579</v>
      </c>
      <c r="B700" s="2">
        <f>VALUE(Sheet1!B699)</f>
        <v>67.81</v>
      </c>
      <c r="C700" s="9">
        <f>(B700-B699)/B699</f>
        <v>8.8560885608859441E-4</v>
      </c>
      <c r="D700" s="2">
        <f>MAX(D699,B700)</f>
        <v>103.9</v>
      </c>
      <c r="E700" s="9">
        <f>(B700-D700)/D700</f>
        <v>-0.34735322425409049</v>
      </c>
      <c r="AB700" s="1">
        <f>A700</f>
        <v>45579</v>
      </c>
      <c r="AC700" s="2">
        <f>B700</f>
        <v>67.81</v>
      </c>
      <c r="AD700" s="2">
        <f>698</f>
        <v>698</v>
      </c>
      <c r="AE700" s="2">
        <f>INTERCEPT($AC$3:$AC$1136,$AD$3:$AD$1136)+SLOPE($AC$3:$AC$1136,$AD$3:$AD$1136)*AD700</f>
        <v>69.243617875204762</v>
      </c>
      <c r="AF700" s="2">
        <f t="shared" si="20"/>
        <v>71.895277475607458</v>
      </c>
      <c r="AG700" s="2">
        <f t="shared" si="21"/>
        <v>66.591958274802067</v>
      </c>
      <c r="AH700" s="22">
        <f>AC700-AE700</f>
        <v>-1.4336178752047601</v>
      </c>
    </row>
    <row r="701" spans="1:34" x14ac:dyDescent="0.25">
      <c r="A701" s="1">
        <f>DATEVALUE(Sheet1!A700)</f>
        <v>45580</v>
      </c>
      <c r="B701" s="2">
        <f>VALUE(Sheet1!B700)</f>
        <v>67.959999999999994</v>
      </c>
      <c r="C701" s="9">
        <f>(B701-B700)/B700</f>
        <v>2.212063117534161E-3</v>
      </c>
      <c r="D701" s="2">
        <f>MAX(D700,B701)</f>
        <v>103.9</v>
      </c>
      <c r="E701" s="9">
        <f>(B701-D701)/D701</f>
        <v>-0.34590952839268535</v>
      </c>
      <c r="AB701" s="1">
        <f>A701</f>
        <v>45580</v>
      </c>
      <c r="AC701" s="2">
        <f>B701</f>
        <v>67.959999999999994</v>
      </c>
      <c r="AD701" s="2">
        <f>699</f>
        <v>699</v>
      </c>
      <c r="AE701" s="2">
        <f>INTERCEPT($AC$3:$AC$1136,$AD$3:$AD$1136)+SLOPE($AC$3:$AC$1136,$AD$3:$AD$1136)*AD701</f>
        <v>69.224905911792305</v>
      </c>
      <c r="AF701" s="2">
        <f t="shared" si="20"/>
        <v>71.876565512195</v>
      </c>
      <c r="AG701" s="2">
        <f t="shared" si="21"/>
        <v>66.57324631138961</v>
      </c>
      <c r="AH701" s="22">
        <f>AC701-AE701</f>
        <v>-1.2649059117923116</v>
      </c>
    </row>
    <row r="702" spans="1:34" x14ac:dyDescent="0.25">
      <c r="A702" s="1">
        <f>DATEVALUE(Sheet1!A701)</f>
        <v>45581</v>
      </c>
      <c r="B702" s="2">
        <f>VALUE(Sheet1!B701)</f>
        <v>68.44</v>
      </c>
      <c r="C702" s="9">
        <f>(B702-B701)/B701</f>
        <v>7.0629782224838735E-3</v>
      </c>
      <c r="D702" s="2">
        <f>MAX(D701,B702)</f>
        <v>103.9</v>
      </c>
      <c r="E702" s="9">
        <f>(B702-D702)/D702</f>
        <v>-0.34128970163618871</v>
      </c>
      <c r="AB702" s="1">
        <f>A702</f>
        <v>45581</v>
      </c>
      <c r="AC702" s="2">
        <f>B702</f>
        <v>68.44</v>
      </c>
      <c r="AD702" s="2">
        <f>700</f>
        <v>700</v>
      </c>
      <c r="AE702" s="2">
        <f>INTERCEPT($AC$3:$AC$1136,$AD$3:$AD$1136)+SLOPE($AC$3:$AC$1136,$AD$3:$AD$1136)*AD702</f>
        <v>69.206193948379862</v>
      </c>
      <c r="AF702" s="2">
        <f t="shared" si="20"/>
        <v>71.857853548782558</v>
      </c>
      <c r="AG702" s="2">
        <f t="shared" si="21"/>
        <v>66.554534347977167</v>
      </c>
      <c r="AH702" s="22">
        <f>AC702-AE702</f>
        <v>-0.76619394837986476</v>
      </c>
    </row>
    <row r="703" spans="1:34" x14ac:dyDescent="0.25">
      <c r="A703" s="1">
        <f>DATEVALUE(Sheet1!A702)</f>
        <v>45582</v>
      </c>
      <c r="B703" s="2">
        <f>VALUE(Sheet1!B702)</f>
        <v>68.42</v>
      </c>
      <c r="C703" s="9">
        <f>(B703-B702)/B702</f>
        <v>-2.922267679718881E-4</v>
      </c>
      <c r="D703" s="2">
        <f>MAX(D702,B703)</f>
        <v>103.9</v>
      </c>
      <c r="E703" s="9">
        <f>(B703-D703)/D703</f>
        <v>-0.34148219441770933</v>
      </c>
      <c r="AB703" s="1">
        <f>A703</f>
        <v>45582</v>
      </c>
      <c r="AC703" s="2">
        <f>B703</f>
        <v>68.42</v>
      </c>
      <c r="AD703" s="2">
        <f>701</f>
        <v>701</v>
      </c>
      <c r="AE703" s="2">
        <f>INTERCEPT($AC$3:$AC$1136,$AD$3:$AD$1136)+SLOPE($AC$3:$AC$1136,$AD$3:$AD$1136)*AD703</f>
        <v>69.18748198496742</v>
      </c>
      <c r="AF703" s="2">
        <f t="shared" si="20"/>
        <v>71.839141585370115</v>
      </c>
      <c r="AG703" s="2">
        <f t="shared" si="21"/>
        <v>66.535822384564725</v>
      </c>
      <c r="AH703" s="22">
        <f>AC703-AE703</f>
        <v>-0.76748198496741793</v>
      </c>
    </row>
    <row r="704" spans="1:34" x14ac:dyDescent="0.25">
      <c r="A704" s="1">
        <f>DATEVALUE(Sheet1!A703)</f>
        <v>45583</v>
      </c>
      <c r="B704" s="2">
        <f>VALUE(Sheet1!B703)</f>
        <v>68.77</v>
      </c>
      <c r="C704" s="9">
        <f>(B704-B703)/B703</f>
        <v>5.1154633148201446E-3</v>
      </c>
      <c r="D704" s="2">
        <f>MAX(D703,B704)</f>
        <v>103.9</v>
      </c>
      <c r="E704" s="9">
        <f>(B704-D704)/D704</f>
        <v>-0.33811357074109727</v>
      </c>
      <c r="AB704" s="1">
        <f>A704</f>
        <v>45583</v>
      </c>
      <c r="AC704" s="2">
        <f>B704</f>
        <v>68.77</v>
      </c>
      <c r="AD704" s="2">
        <f>702</f>
        <v>702</v>
      </c>
      <c r="AE704" s="2">
        <f>INTERCEPT($AC$3:$AC$1136,$AD$3:$AD$1136)+SLOPE($AC$3:$AC$1136,$AD$3:$AD$1136)*AD704</f>
        <v>69.168770021554963</v>
      </c>
      <c r="AF704" s="2">
        <f t="shared" si="20"/>
        <v>71.820429621957658</v>
      </c>
      <c r="AG704" s="2">
        <f t="shared" si="21"/>
        <v>66.517110421152267</v>
      </c>
      <c r="AH704" s="22">
        <f>AC704-AE704</f>
        <v>-0.39877002155496655</v>
      </c>
    </row>
    <row r="705" spans="1:34" x14ac:dyDescent="0.25">
      <c r="A705" s="1">
        <f>DATEVALUE(Sheet1!A704)</f>
        <v>45586</v>
      </c>
      <c r="B705" s="2">
        <f>VALUE(Sheet1!B704)</f>
        <v>69.760000000000005</v>
      </c>
      <c r="C705" s="9">
        <f>(B705-B704)/B704</f>
        <v>1.4395812127381259E-2</v>
      </c>
      <c r="D705" s="2">
        <f>MAX(D704,B705)</f>
        <v>103.9</v>
      </c>
      <c r="E705" s="9">
        <f>(B705-D705)/D705</f>
        <v>-0.32858517805582288</v>
      </c>
      <c r="AB705" s="1">
        <f>A705</f>
        <v>45586</v>
      </c>
      <c r="AC705" s="2">
        <f>B705</f>
        <v>69.760000000000005</v>
      </c>
      <c r="AD705" s="2">
        <f>703</f>
        <v>703</v>
      </c>
      <c r="AE705" s="2">
        <f>INTERCEPT($AC$3:$AC$1136,$AD$3:$AD$1136)+SLOPE($AC$3:$AC$1136,$AD$3:$AD$1136)*AD705</f>
        <v>69.15005805814252</v>
      </c>
      <c r="AF705" s="2">
        <f t="shared" si="20"/>
        <v>71.801717658545215</v>
      </c>
      <c r="AG705" s="2">
        <f t="shared" si="21"/>
        <v>66.498398457739825</v>
      </c>
      <c r="AH705" s="22">
        <f>AC705-AE705</f>
        <v>0.6099419418574854</v>
      </c>
    </row>
    <row r="706" spans="1:34" x14ac:dyDescent="0.25">
      <c r="A706" s="1">
        <f>DATEVALUE(Sheet1!A705)</f>
        <v>45587</v>
      </c>
      <c r="B706" s="2">
        <f>VALUE(Sheet1!B705)</f>
        <v>69.94</v>
      </c>
      <c r="C706" s="9">
        <f>(B706-B705)/B705</f>
        <v>2.5802752293576921E-3</v>
      </c>
      <c r="D706" s="2">
        <f>MAX(D705,B706)</f>
        <v>103.9</v>
      </c>
      <c r="E706" s="9">
        <f>(B706-D706)/D706</f>
        <v>-0.32685274302213674</v>
      </c>
      <c r="AB706" s="1">
        <f>A706</f>
        <v>45587</v>
      </c>
      <c r="AC706" s="2">
        <f>B706</f>
        <v>69.94</v>
      </c>
      <c r="AD706" s="2">
        <f>704</f>
        <v>704</v>
      </c>
      <c r="AE706" s="2">
        <f>INTERCEPT($AC$3:$AC$1136,$AD$3:$AD$1136)+SLOPE($AC$3:$AC$1136,$AD$3:$AD$1136)*AD706</f>
        <v>69.131346094730077</v>
      </c>
      <c r="AF706" s="2">
        <f t="shared" si="20"/>
        <v>71.783005695132772</v>
      </c>
      <c r="AG706" s="2">
        <f t="shared" si="21"/>
        <v>66.479686494327382</v>
      </c>
      <c r="AH706" s="22">
        <f>AC706-AE706</f>
        <v>0.80865390526992087</v>
      </c>
    </row>
    <row r="707" spans="1:34" x14ac:dyDescent="0.25">
      <c r="A707" s="1">
        <f>DATEVALUE(Sheet1!A706)</f>
        <v>45588</v>
      </c>
      <c r="B707" s="2">
        <f>VALUE(Sheet1!B706)</f>
        <v>70.59</v>
      </c>
      <c r="C707" s="9">
        <f>(B707-B706)/B706</f>
        <v>9.2936802973978515E-3</v>
      </c>
      <c r="D707" s="2">
        <f>MAX(D706,B707)</f>
        <v>103.9</v>
      </c>
      <c r="E707" s="9">
        <f>(B707-D707)/D707</f>
        <v>-0.32059672762271413</v>
      </c>
      <c r="AB707" s="1">
        <f>A707</f>
        <v>45588</v>
      </c>
      <c r="AC707" s="2">
        <f>B707</f>
        <v>70.59</v>
      </c>
      <c r="AD707" s="2">
        <f>705</f>
        <v>705</v>
      </c>
      <c r="AE707" s="2">
        <f>INTERCEPT($AC$3:$AC$1136,$AD$3:$AD$1136)+SLOPE($AC$3:$AC$1136,$AD$3:$AD$1136)*AD707</f>
        <v>69.112634131317634</v>
      </c>
      <c r="AF707" s="2">
        <f t="shared" si="20"/>
        <v>71.764293731720329</v>
      </c>
      <c r="AG707" s="2">
        <f t="shared" si="21"/>
        <v>66.460974530914939</v>
      </c>
      <c r="AH707" s="22">
        <f>AC707-AE707</f>
        <v>1.4773658686823694</v>
      </c>
    </row>
    <row r="708" spans="1:34" x14ac:dyDescent="0.25">
      <c r="A708" s="1">
        <f>DATEVALUE(Sheet1!A707)</f>
        <v>45589</v>
      </c>
      <c r="B708" s="2">
        <f>VALUE(Sheet1!B707)</f>
        <v>71.36</v>
      </c>
      <c r="C708" s="9">
        <f>(B708-B707)/B707</f>
        <v>1.0908060631817481E-2</v>
      </c>
      <c r="D708" s="2">
        <f>MAX(D707,B708)</f>
        <v>103.9</v>
      </c>
      <c r="E708" s="9">
        <f>(B708-D708)/D708</f>
        <v>-0.3131857555341675</v>
      </c>
      <c r="AB708" s="1">
        <f>A708</f>
        <v>45589</v>
      </c>
      <c r="AC708" s="2">
        <f>B708</f>
        <v>71.36</v>
      </c>
      <c r="AD708" s="2">
        <f>706</f>
        <v>706</v>
      </c>
      <c r="AE708" s="2">
        <f>INTERCEPT($AC$3:$AC$1136,$AD$3:$AD$1136)+SLOPE($AC$3:$AC$1136,$AD$3:$AD$1136)*AD708</f>
        <v>69.093922167905177</v>
      </c>
      <c r="AF708" s="2">
        <f t="shared" ref="AF708:AF771" si="22">AE708+$AJ$5*$AJ$4</f>
        <v>71.745581768307872</v>
      </c>
      <c r="AG708" s="2">
        <f t="shared" ref="AG708:AG771" si="23">AE708-$AJ$5*$AJ$4</f>
        <v>66.442262567502482</v>
      </c>
      <c r="AH708" s="22">
        <f>AC708-AE708</f>
        <v>2.2660778320948225</v>
      </c>
    </row>
    <row r="709" spans="1:34" x14ac:dyDescent="0.25">
      <c r="A709" s="1">
        <f>DATEVALUE(Sheet1!A708)</f>
        <v>45590</v>
      </c>
      <c r="B709" s="2">
        <f>VALUE(Sheet1!B708)</f>
        <v>71.67</v>
      </c>
      <c r="C709" s="9">
        <f>(B709-B708)/B708</f>
        <v>4.3441704035874756E-3</v>
      </c>
      <c r="D709" s="2">
        <f>MAX(D708,B709)</f>
        <v>103.9</v>
      </c>
      <c r="E709" s="9">
        <f>(B709-D709)/D709</f>
        <v>-0.31020211742059672</v>
      </c>
      <c r="AB709" s="1">
        <f>A709</f>
        <v>45590</v>
      </c>
      <c r="AC709" s="2">
        <f>B709</f>
        <v>71.67</v>
      </c>
      <c r="AD709" s="2">
        <f>707</f>
        <v>707</v>
      </c>
      <c r="AE709" s="2">
        <f>INTERCEPT($AC$3:$AC$1136,$AD$3:$AD$1136)+SLOPE($AC$3:$AC$1136,$AD$3:$AD$1136)*AD709</f>
        <v>69.075210204492734</v>
      </c>
      <c r="AF709" s="2">
        <f t="shared" si="22"/>
        <v>71.726869804895429</v>
      </c>
      <c r="AG709" s="2">
        <f t="shared" si="23"/>
        <v>66.423550604090039</v>
      </c>
      <c r="AH709" s="22">
        <f>AC709-AE709</f>
        <v>2.5947897955072676</v>
      </c>
    </row>
    <row r="710" spans="1:34" x14ac:dyDescent="0.25">
      <c r="A710" s="1">
        <f>DATEVALUE(Sheet1!A709)</f>
        <v>45593</v>
      </c>
      <c r="B710" s="2">
        <f>VALUE(Sheet1!B709)</f>
        <v>72.17</v>
      </c>
      <c r="C710" s="9">
        <f>(B710-B709)/B709</f>
        <v>6.9764197014092364E-3</v>
      </c>
      <c r="D710" s="2">
        <f>MAX(D709,B710)</f>
        <v>103.9</v>
      </c>
      <c r="E710" s="9">
        <f>(B710-D710)/D710</f>
        <v>-0.30538979788257942</v>
      </c>
      <c r="AB710" s="1">
        <f>A710</f>
        <v>45593</v>
      </c>
      <c r="AC710" s="2">
        <f>B710</f>
        <v>72.17</v>
      </c>
      <c r="AD710" s="2">
        <f>708</f>
        <v>708</v>
      </c>
      <c r="AE710" s="2">
        <f>INTERCEPT($AC$3:$AC$1136,$AD$3:$AD$1136)+SLOPE($AC$3:$AC$1136,$AD$3:$AD$1136)*AD710</f>
        <v>69.056498241080291</v>
      </c>
      <c r="AF710" s="2">
        <f t="shared" si="22"/>
        <v>71.708157841482986</v>
      </c>
      <c r="AG710" s="2">
        <f t="shared" si="23"/>
        <v>66.404838640677596</v>
      </c>
      <c r="AH710" s="22">
        <f>AC710-AE710</f>
        <v>3.1135017589197105</v>
      </c>
    </row>
    <row r="711" spans="1:34" x14ac:dyDescent="0.25">
      <c r="A711" s="1">
        <f>DATEVALUE(Sheet1!A710)</f>
        <v>45594</v>
      </c>
      <c r="B711" s="2">
        <f>VALUE(Sheet1!B710)</f>
        <v>72.37</v>
      </c>
      <c r="C711" s="9">
        <f>(B711-B710)/B710</f>
        <v>2.7712345850076604E-3</v>
      </c>
      <c r="D711" s="2">
        <f>MAX(D710,B711)</f>
        <v>103.9</v>
      </c>
      <c r="E711" s="9">
        <f>(B711-D711)/D711</f>
        <v>-0.30346487006737249</v>
      </c>
      <c r="AB711" s="1">
        <f>A711</f>
        <v>45594</v>
      </c>
      <c r="AC711" s="2">
        <f>B711</f>
        <v>72.37</v>
      </c>
      <c r="AD711" s="2">
        <f>709</f>
        <v>709</v>
      </c>
      <c r="AE711" s="2">
        <f>INTERCEPT($AC$3:$AC$1136,$AD$3:$AD$1136)+SLOPE($AC$3:$AC$1136,$AD$3:$AD$1136)*AD711</f>
        <v>69.037786277667834</v>
      </c>
      <c r="AF711" s="2">
        <f t="shared" si="22"/>
        <v>71.689445878070529</v>
      </c>
      <c r="AG711" s="2">
        <f t="shared" si="23"/>
        <v>66.386126677265139</v>
      </c>
      <c r="AH711" s="22">
        <f>AC711-AE711</f>
        <v>3.3322137223321704</v>
      </c>
    </row>
    <row r="712" spans="1:34" x14ac:dyDescent="0.25">
      <c r="A712" s="1">
        <f>DATEVALUE(Sheet1!A711)</f>
        <v>45595</v>
      </c>
      <c r="B712" s="2">
        <f>VALUE(Sheet1!B711)</f>
        <v>72.67</v>
      </c>
      <c r="C712" s="9">
        <f>(B712-B711)/B711</f>
        <v>4.1453641011468447E-3</v>
      </c>
      <c r="D712" s="2">
        <f>MAX(D711,B712)</f>
        <v>103.9</v>
      </c>
      <c r="E712" s="9">
        <f>(B712-D712)/D712</f>
        <v>-0.30057747834456211</v>
      </c>
      <c r="AB712" s="1">
        <f>A712</f>
        <v>45595</v>
      </c>
      <c r="AC712" s="2">
        <f>B712</f>
        <v>72.67</v>
      </c>
      <c r="AD712" s="2">
        <f>710</f>
        <v>710</v>
      </c>
      <c r="AE712" s="2">
        <f>INTERCEPT($AC$3:$AC$1136,$AD$3:$AD$1136)+SLOPE($AC$3:$AC$1136,$AD$3:$AD$1136)*AD712</f>
        <v>69.019074314255391</v>
      </c>
      <c r="AF712" s="2">
        <f t="shared" si="22"/>
        <v>71.670733914658086</v>
      </c>
      <c r="AG712" s="2">
        <f t="shared" si="23"/>
        <v>66.367414713852696</v>
      </c>
      <c r="AH712" s="22">
        <f>AC712-AE712</f>
        <v>3.6509256857446104</v>
      </c>
    </row>
    <row r="713" spans="1:34" x14ac:dyDescent="0.25">
      <c r="A713" s="1">
        <f>DATEVALUE(Sheet1!A712)</f>
        <v>45596</v>
      </c>
      <c r="B713" s="2">
        <f>VALUE(Sheet1!B712)</f>
        <v>72.94</v>
      </c>
      <c r="C713" s="9">
        <f>(B713-B712)/B712</f>
        <v>3.715425897894537E-3</v>
      </c>
      <c r="D713" s="2">
        <f>MAX(D712,B713)</f>
        <v>103.9</v>
      </c>
      <c r="E713" s="9">
        <f>(B713-D713)/D713</f>
        <v>-0.29797882579403279</v>
      </c>
      <c r="AB713" s="1">
        <f>A713</f>
        <v>45596</v>
      </c>
      <c r="AC713" s="2">
        <f>B713</f>
        <v>72.94</v>
      </c>
      <c r="AD713" s="2">
        <f>711</f>
        <v>711</v>
      </c>
      <c r="AE713" s="2">
        <f>INTERCEPT($AC$3:$AC$1136,$AD$3:$AD$1136)+SLOPE($AC$3:$AC$1136,$AD$3:$AD$1136)*AD713</f>
        <v>69.000362350842948</v>
      </c>
      <c r="AF713" s="2">
        <f t="shared" si="22"/>
        <v>71.652021951245644</v>
      </c>
      <c r="AG713" s="2">
        <f t="shared" si="23"/>
        <v>66.348702750440253</v>
      </c>
      <c r="AH713" s="22">
        <f>AC713-AE713</f>
        <v>3.9396376491570493</v>
      </c>
    </row>
    <row r="714" spans="1:34" x14ac:dyDescent="0.25">
      <c r="A714" s="1">
        <f>DATEVALUE(Sheet1!A713)</f>
        <v>45597</v>
      </c>
      <c r="B714" s="2">
        <f>VALUE(Sheet1!B713)</f>
        <v>73.11</v>
      </c>
      <c r="C714" s="9">
        <f>(B714-B713)/B713</f>
        <v>2.3306827529476514E-3</v>
      </c>
      <c r="D714" s="2">
        <f>MAX(D713,B714)</f>
        <v>103.9</v>
      </c>
      <c r="E714" s="9">
        <f>(B714-D714)/D714</f>
        <v>-0.29634263715110687</v>
      </c>
      <c r="AB714" s="1">
        <f>A714</f>
        <v>45597</v>
      </c>
      <c r="AC714" s="2">
        <f>B714</f>
        <v>73.11</v>
      </c>
      <c r="AD714" s="2">
        <f>712</f>
        <v>712</v>
      </c>
      <c r="AE714" s="2">
        <f>INTERCEPT($AC$3:$AC$1136,$AD$3:$AD$1136)+SLOPE($AC$3:$AC$1136,$AD$3:$AD$1136)*AD714</f>
        <v>68.981650387430506</v>
      </c>
      <c r="AF714" s="2">
        <f t="shared" si="22"/>
        <v>71.633309987833201</v>
      </c>
      <c r="AG714" s="2">
        <f t="shared" si="23"/>
        <v>66.32999078702781</v>
      </c>
      <c r="AH714" s="22">
        <f>AC714-AE714</f>
        <v>4.1283496125694938</v>
      </c>
    </row>
    <row r="715" spans="1:34" x14ac:dyDescent="0.25">
      <c r="A715" s="1">
        <f>DATEVALUE(Sheet1!A714)</f>
        <v>45600</v>
      </c>
      <c r="B715" s="2">
        <f>VALUE(Sheet1!B714)</f>
        <v>72.930000000000007</v>
      </c>
      <c r="C715" s="9">
        <f>(B715-B714)/B714</f>
        <v>-2.4620434961016634E-3</v>
      </c>
      <c r="D715" s="2">
        <f>MAX(D714,B715)</f>
        <v>103.9</v>
      </c>
      <c r="E715" s="9">
        <f>(B715-D715)/D715</f>
        <v>-0.29807507218479307</v>
      </c>
      <c r="AB715" s="1">
        <f>A715</f>
        <v>45600</v>
      </c>
      <c r="AC715" s="2">
        <f>B715</f>
        <v>72.930000000000007</v>
      </c>
      <c r="AD715" s="2">
        <f>713</f>
        <v>713</v>
      </c>
      <c r="AE715" s="2">
        <f>INTERCEPT($AC$3:$AC$1136,$AD$3:$AD$1136)+SLOPE($AC$3:$AC$1136,$AD$3:$AD$1136)*AD715</f>
        <v>68.962938424018049</v>
      </c>
      <c r="AF715" s="2">
        <f t="shared" si="22"/>
        <v>71.614598024420744</v>
      </c>
      <c r="AG715" s="2">
        <f t="shared" si="23"/>
        <v>66.311278823615353</v>
      </c>
      <c r="AH715" s="22">
        <f>AC715-AE715</f>
        <v>3.9670615759819583</v>
      </c>
    </row>
    <row r="716" spans="1:34" x14ac:dyDescent="0.25">
      <c r="A716" s="1">
        <f>DATEVALUE(Sheet1!A715)</f>
        <v>45601</v>
      </c>
      <c r="B716" s="2">
        <f>VALUE(Sheet1!B715)</f>
        <v>73.069999999999993</v>
      </c>
      <c r="C716" s="9">
        <f>(B716-B715)/B715</f>
        <v>1.9196489784723207E-3</v>
      </c>
      <c r="D716" s="2">
        <f>MAX(D715,B716)</f>
        <v>103.9</v>
      </c>
      <c r="E716" s="9">
        <f>(B716-D716)/D716</f>
        <v>-0.29672762271414832</v>
      </c>
      <c r="AB716" s="1">
        <f>A716</f>
        <v>45601</v>
      </c>
      <c r="AC716" s="2">
        <f>B716</f>
        <v>73.069999999999993</v>
      </c>
      <c r="AD716" s="2">
        <f>714</f>
        <v>714</v>
      </c>
      <c r="AE716" s="2">
        <f>INTERCEPT($AC$3:$AC$1136,$AD$3:$AD$1136)+SLOPE($AC$3:$AC$1136,$AD$3:$AD$1136)*AD716</f>
        <v>68.944226460605606</v>
      </c>
      <c r="AF716" s="2">
        <f t="shared" si="22"/>
        <v>71.595886061008301</v>
      </c>
      <c r="AG716" s="2">
        <f t="shared" si="23"/>
        <v>66.292566860202911</v>
      </c>
      <c r="AH716" s="22">
        <f>AC716-AE716</f>
        <v>4.1257735393943875</v>
      </c>
    </row>
    <row r="717" spans="1:34" x14ac:dyDescent="0.25">
      <c r="A717" s="1">
        <f>DATEVALUE(Sheet1!A716)</f>
        <v>45602</v>
      </c>
      <c r="B717" s="2">
        <f>VALUE(Sheet1!B716)</f>
        <v>74.209999999999994</v>
      </c>
      <c r="C717" s="9">
        <f>(B717-B716)/B716</f>
        <v>1.5601478034761198E-2</v>
      </c>
      <c r="D717" s="2">
        <f>MAX(D716,B717)</f>
        <v>103.9</v>
      </c>
      <c r="E717" s="9">
        <f>(B717-D717)/D717</f>
        <v>-0.28575553416746879</v>
      </c>
      <c r="AB717" s="1">
        <f>A717</f>
        <v>45602</v>
      </c>
      <c r="AC717" s="2">
        <f>B717</f>
        <v>74.209999999999994</v>
      </c>
      <c r="AD717" s="2">
        <f>715</f>
        <v>715</v>
      </c>
      <c r="AE717" s="2">
        <f>INTERCEPT($AC$3:$AC$1136,$AD$3:$AD$1136)+SLOPE($AC$3:$AC$1136,$AD$3:$AD$1136)*AD717</f>
        <v>68.925514497193163</v>
      </c>
      <c r="AF717" s="2">
        <f t="shared" si="22"/>
        <v>71.577174097595858</v>
      </c>
      <c r="AG717" s="2">
        <f t="shared" si="23"/>
        <v>66.273854896790468</v>
      </c>
      <c r="AH717" s="22">
        <f>AC717-AE717</f>
        <v>5.2844855028068309</v>
      </c>
    </row>
    <row r="718" spans="1:34" x14ac:dyDescent="0.25">
      <c r="A718" s="1">
        <f>DATEVALUE(Sheet1!A717)</f>
        <v>45603</v>
      </c>
      <c r="B718" s="2">
        <f>VALUE(Sheet1!B717)</f>
        <v>74.41</v>
      </c>
      <c r="C718" s="9">
        <f>(B718-B717)/B717</f>
        <v>2.6950545748551792E-3</v>
      </c>
      <c r="D718" s="2">
        <f>MAX(D717,B718)</f>
        <v>103.9</v>
      </c>
      <c r="E718" s="9">
        <f>(B718-D718)/D718</f>
        <v>-0.28383060635226187</v>
      </c>
      <c r="AB718" s="1">
        <f>A718</f>
        <v>45603</v>
      </c>
      <c r="AC718" s="2">
        <f>B718</f>
        <v>74.41</v>
      </c>
      <c r="AD718" s="2">
        <f>716</f>
        <v>716</v>
      </c>
      <c r="AE718" s="2">
        <f>INTERCEPT($AC$3:$AC$1136,$AD$3:$AD$1136)+SLOPE($AC$3:$AC$1136,$AD$3:$AD$1136)*AD718</f>
        <v>68.90680253378072</v>
      </c>
      <c r="AF718" s="2">
        <f t="shared" si="22"/>
        <v>71.558462134183415</v>
      </c>
      <c r="AG718" s="2">
        <f t="shared" si="23"/>
        <v>66.255142933378025</v>
      </c>
      <c r="AH718" s="22">
        <f>AC718-AE718</f>
        <v>5.5031974662192766</v>
      </c>
    </row>
    <row r="719" spans="1:34" x14ac:dyDescent="0.25">
      <c r="A719" s="1">
        <f>DATEVALUE(Sheet1!A718)</f>
        <v>45604</v>
      </c>
      <c r="B719" s="2">
        <f>VALUE(Sheet1!B718)</f>
        <v>74.64</v>
      </c>
      <c r="C719" s="9">
        <f>(B719-B718)/B718</f>
        <v>3.0909823948394571E-3</v>
      </c>
      <c r="D719" s="2">
        <f>MAX(D718,B719)</f>
        <v>103.9</v>
      </c>
      <c r="E719" s="9">
        <f>(B719-D719)/D719</f>
        <v>-0.28161693936477383</v>
      </c>
      <c r="AB719" s="1">
        <f>A719</f>
        <v>45604</v>
      </c>
      <c r="AC719" s="2">
        <f>B719</f>
        <v>74.64</v>
      </c>
      <c r="AD719" s="2">
        <f>717</f>
        <v>717</v>
      </c>
      <c r="AE719" s="2">
        <f>INTERCEPT($AC$3:$AC$1136,$AD$3:$AD$1136)+SLOPE($AC$3:$AC$1136,$AD$3:$AD$1136)*AD719</f>
        <v>68.888090570368263</v>
      </c>
      <c r="AF719" s="2">
        <f t="shared" si="22"/>
        <v>71.539750170770958</v>
      </c>
      <c r="AG719" s="2">
        <f t="shared" si="23"/>
        <v>66.236430969965568</v>
      </c>
      <c r="AH719" s="22">
        <f>AC719-AE719</f>
        <v>5.7519094296317377</v>
      </c>
    </row>
    <row r="720" spans="1:34" x14ac:dyDescent="0.25">
      <c r="A720" s="1">
        <f>DATEVALUE(Sheet1!A719)</f>
        <v>45607</v>
      </c>
      <c r="B720" s="2">
        <f>VALUE(Sheet1!B719)</f>
        <v>74.55</v>
      </c>
      <c r="C720" s="9">
        <f>(B720-B719)/B719</f>
        <v>-1.2057877813505279E-3</v>
      </c>
      <c r="D720" s="2">
        <f>MAX(D719,B720)</f>
        <v>103.9</v>
      </c>
      <c r="E720" s="9">
        <f>(B720-D720)/D720</f>
        <v>-0.28248315688161701</v>
      </c>
      <c r="AB720" s="1">
        <f>A720</f>
        <v>45607</v>
      </c>
      <c r="AC720" s="2">
        <f>B720</f>
        <v>74.55</v>
      </c>
      <c r="AD720" s="2">
        <f>718</f>
        <v>718</v>
      </c>
      <c r="AE720" s="2">
        <f>INTERCEPT($AC$3:$AC$1136,$AD$3:$AD$1136)+SLOPE($AC$3:$AC$1136,$AD$3:$AD$1136)*AD720</f>
        <v>68.86937860695582</v>
      </c>
      <c r="AF720" s="2">
        <f t="shared" si="22"/>
        <v>71.521038207358515</v>
      </c>
      <c r="AG720" s="2">
        <f t="shared" si="23"/>
        <v>66.217719006553125</v>
      </c>
      <c r="AH720" s="22">
        <f>AC720-AE720</f>
        <v>5.6806213930441771</v>
      </c>
    </row>
    <row r="721" spans="1:34" x14ac:dyDescent="0.25">
      <c r="A721" s="1">
        <f>DATEVALUE(Sheet1!A720)</f>
        <v>45608</v>
      </c>
      <c r="B721" s="2">
        <f>VALUE(Sheet1!B720)</f>
        <v>74.37</v>
      </c>
      <c r="C721" s="9">
        <f>(B721-B720)/B720</f>
        <v>-2.4144869215290761E-3</v>
      </c>
      <c r="D721" s="2">
        <f>MAX(D720,B721)</f>
        <v>103.9</v>
      </c>
      <c r="E721" s="9">
        <f>(B721-D721)/D721</f>
        <v>-0.28421559191530316</v>
      </c>
      <c r="AB721" s="1">
        <f>A721</f>
        <v>45608</v>
      </c>
      <c r="AC721" s="2">
        <f>B721</f>
        <v>74.37</v>
      </c>
      <c r="AD721" s="2">
        <f>719</f>
        <v>719</v>
      </c>
      <c r="AE721" s="2">
        <f>INTERCEPT($AC$3:$AC$1136,$AD$3:$AD$1136)+SLOPE($AC$3:$AC$1136,$AD$3:$AD$1136)*AD721</f>
        <v>68.850666643543377</v>
      </c>
      <c r="AF721" s="2">
        <f t="shared" si="22"/>
        <v>71.502326243946072</v>
      </c>
      <c r="AG721" s="2">
        <f t="shared" si="23"/>
        <v>66.199007043140682</v>
      </c>
      <c r="AH721" s="22">
        <f>AC721-AE721</f>
        <v>5.5193333564566274</v>
      </c>
    </row>
    <row r="722" spans="1:34" x14ac:dyDescent="0.25">
      <c r="A722" s="1">
        <f>DATEVALUE(Sheet1!A721)</f>
        <v>45609</v>
      </c>
      <c r="B722" s="2">
        <f>VALUE(Sheet1!B721)</f>
        <v>74.45</v>
      </c>
      <c r="C722" s="9">
        <f>(B722-B721)/B721</f>
        <v>1.0757025682398586E-3</v>
      </c>
      <c r="D722" s="2">
        <f>MAX(D721,B722)</f>
        <v>103.9</v>
      </c>
      <c r="E722" s="9">
        <f>(B722-D722)/D722</f>
        <v>-0.28344562078922042</v>
      </c>
      <c r="AB722" s="1">
        <f>A722</f>
        <v>45609</v>
      </c>
      <c r="AC722" s="2">
        <f>B722</f>
        <v>74.45</v>
      </c>
      <c r="AD722" s="2">
        <f>720</f>
        <v>720</v>
      </c>
      <c r="AE722" s="2">
        <f>INTERCEPT($AC$3:$AC$1136,$AD$3:$AD$1136)+SLOPE($AC$3:$AC$1136,$AD$3:$AD$1136)*AD722</f>
        <v>68.831954680130934</v>
      </c>
      <c r="AF722" s="2">
        <f t="shared" si="22"/>
        <v>71.483614280533629</v>
      </c>
      <c r="AG722" s="2">
        <f t="shared" si="23"/>
        <v>66.180295079728239</v>
      </c>
      <c r="AH722" s="22">
        <f>AC722-AE722</f>
        <v>5.6180453198690685</v>
      </c>
    </row>
    <row r="723" spans="1:34" x14ac:dyDescent="0.25">
      <c r="A723" s="1">
        <f>DATEVALUE(Sheet1!A722)</f>
        <v>45610</v>
      </c>
      <c r="B723" s="2">
        <f>VALUE(Sheet1!B722)</f>
        <v>74.67</v>
      </c>
      <c r="C723" s="9">
        <f>(B723-B722)/B722</f>
        <v>2.955003357958346E-3</v>
      </c>
      <c r="D723" s="2">
        <f>MAX(D722,B723)</f>
        <v>103.9</v>
      </c>
      <c r="E723" s="9">
        <f>(B723-D723)/D723</f>
        <v>-0.28132820019249283</v>
      </c>
      <c r="AB723" s="1">
        <f>A723</f>
        <v>45610</v>
      </c>
      <c r="AC723" s="2">
        <f>B723</f>
        <v>74.67</v>
      </c>
      <c r="AD723" s="2">
        <f>721</f>
        <v>721</v>
      </c>
      <c r="AE723" s="2">
        <f>INTERCEPT($AC$3:$AC$1136,$AD$3:$AD$1136)+SLOPE($AC$3:$AC$1136,$AD$3:$AD$1136)*AD723</f>
        <v>68.813242716718477</v>
      </c>
      <c r="AF723" s="2">
        <f t="shared" si="22"/>
        <v>71.464902317121172</v>
      </c>
      <c r="AG723" s="2">
        <f t="shared" si="23"/>
        <v>66.161583116315782</v>
      </c>
      <c r="AH723" s="22">
        <f>AC723-AE723</f>
        <v>5.8567572832815245</v>
      </c>
    </row>
    <row r="724" spans="1:34" x14ac:dyDescent="0.25">
      <c r="A724" s="1">
        <f>DATEVALUE(Sheet1!A723)</f>
        <v>45614</v>
      </c>
      <c r="B724" s="2">
        <f>VALUE(Sheet1!B723)</f>
        <v>74.66</v>
      </c>
      <c r="C724" s="9">
        <f>(B724-B723)/B723</f>
        <v>-1.3392259274146398E-4</v>
      </c>
      <c r="D724" s="2">
        <f>MAX(D723,B724)</f>
        <v>103.9</v>
      </c>
      <c r="E724" s="9">
        <f>(B724-D724)/D724</f>
        <v>-0.28142444658325322</v>
      </c>
      <c r="AB724" s="1">
        <f>A724</f>
        <v>45614</v>
      </c>
      <c r="AC724" s="2">
        <f>B724</f>
        <v>74.66</v>
      </c>
      <c r="AD724" s="2">
        <f>722</f>
        <v>722</v>
      </c>
      <c r="AE724" s="2">
        <f>INTERCEPT($AC$3:$AC$1136,$AD$3:$AD$1136)+SLOPE($AC$3:$AC$1136,$AD$3:$AD$1136)*AD724</f>
        <v>68.794530753306034</v>
      </c>
      <c r="AF724" s="2">
        <f t="shared" si="22"/>
        <v>71.44619035370873</v>
      </c>
      <c r="AG724" s="2">
        <f t="shared" si="23"/>
        <v>66.142871152903339</v>
      </c>
      <c r="AH724" s="22">
        <f>AC724-AE724</f>
        <v>5.8654692466939622</v>
      </c>
    </row>
    <row r="725" spans="1:34" x14ac:dyDescent="0.25">
      <c r="A725" s="1">
        <f>DATEVALUE(Sheet1!A724)</f>
        <v>45615</v>
      </c>
      <c r="B725" s="2">
        <f>VALUE(Sheet1!B724)</f>
        <v>73.55</v>
      </c>
      <c r="C725" s="9">
        <f>(B725-B724)/B724</f>
        <v>-1.4867398874899537E-2</v>
      </c>
      <c r="D725" s="2">
        <f>MAX(D724,B725)</f>
        <v>103.9</v>
      </c>
      <c r="E725" s="9">
        <f>(B725-D725)/D725</f>
        <v>-0.29210779595765163</v>
      </c>
      <c r="AB725" s="1">
        <f>A725</f>
        <v>45615</v>
      </c>
      <c r="AC725" s="2">
        <f>B725</f>
        <v>73.55</v>
      </c>
      <c r="AD725" s="2">
        <f>723</f>
        <v>723</v>
      </c>
      <c r="AE725" s="2">
        <f>INTERCEPT($AC$3:$AC$1136,$AD$3:$AD$1136)+SLOPE($AC$3:$AC$1136,$AD$3:$AD$1136)*AD725</f>
        <v>68.775818789893592</v>
      </c>
      <c r="AF725" s="2">
        <f t="shared" si="22"/>
        <v>71.427478390296287</v>
      </c>
      <c r="AG725" s="2">
        <f t="shared" si="23"/>
        <v>66.124159189490896</v>
      </c>
      <c r="AH725" s="22">
        <f>AC725-AE725</f>
        <v>4.7741812101064056</v>
      </c>
    </row>
    <row r="726" spans="1:34" x14ac:dyDescent="0.25">
      <c r="A726" s="1">
        <f>DATEVALUE(Sheet1!A725)</f>
        <v>45617</v>
      </c>
      <c r="B726" s="2">
        <f>VALUE(Sheet1!B725)</f>
        <v>73.459999999999994</v>
      </c>
      <c r="C726" s="9">
        <f>(B726-B725)/B725</f>
        <v>-1.2236573759347848E-3</v>
      </c>
      <c r="D726" s="2">
        <f>MAX(D725,B726)</f>
        <v>103.9</v>
      </c>
      <c r="E726" s="9">
        <f>(B726-D726)/D726</f>
        <v>-0.29297401347449481</v>
      </c>
      <c r="AB726" s="1">
        <f>A726</f>
        <v>45617</v>
      </c>
      <c r="AC726" s="2">
        <f>B726</f>
        <v>73.459999999999994</v>
      </c>
      <c r="AD726" s="2">
        <f>724</f>
        <v>724</v>
      </c>
      <c r="AE726" s="2">
        <f>INTERCEPT($AC$3:$AC$1136,$AD$3:$AD$1136)+SLOPE($AC$3:$AC$1136,$AD$3:$AD$1136)*AD726</f>
        <v>68.757106826481134</v>
      </c>
      <c r="AF726" s="2">
        <f t="shared" si="22"/>
        <v>71.40876642688383</v>
      </c>
      <c r="AG726" s="2">
        <f t="shared" si="23"/>
        <v>66.105447226078439</v>
      </c>
      <c r="AH726" s="22">
        <f>AC726-AE726</f>
        <v>4.7028931735188593</v>
      </c>
    </row>
    <row r="727" spans="1:34" x14ac:dyDescent="0.25">
      <c r="A727" s="1">
        <f>DATEVALUE(Sheet1!A726)</f>
        <v>45618</v>
      </c>
      <c r="B727" s="2">
        <f>VALUE(Sheet1!B726)</f>
        <v>73.41</v>
      </c>
      <c r="C727" s="9">
        <f>(B727-B726)/B726</f>
        <v>-6.806425265450199E-4</v>
      </c>
      <c r="D727" s="2">
        <f>MAX(D726,B727)</f>
        <v>103.9</v>
      </c>
      <c r="E727" s="9">
        <f>(B727-D727)/D727</f>
        <v>-0.29345524542829649</v>
      </c>
      <c r="AB727" s="1">
        <f>A727</f>
        <v>45618</v>
      </c>
      <c r="AC727" s="2">
        <f>B727</f>
        <v>73.41</v>
      </c>
      <c r="AD727" s="2">
        <f>725</f>
        <v>725</v>
      </c>
      <c r="AE727" s="2">
        <f>INTERCEPT($AC$3:$AC$1136,$AD$3:$AD$1136)+SLOPE($AC$3:$AC$1136,$AD$3:$AD$1136)*AD727</f>
        <v>68.738394863068692</v>
      </c>
      <c r="AF727" s="2">
        <f t="shared" si="22"/>
        <v>71.390054463471387</v>
      </c>
      <c r="AG727" s="2">
        <f t="shared" si="23"/>
        <v>66.086735262665997</v>
      </c>
      <c r="AH727" s="22">
        <f>AC727-AE727</f>
        <v>4.671605136931305</v>
      </c>
    </row>
    <row r="728" spans="1:34" x14ac:dyDescent="0.25">
      <c r="A728" s="1">
        <f>DATEVALUE(Sheet1!A727)</f>
        <v>45621</v>
      </c>
      <c r="B728" s="2">
        <f>VALUE(Sheet1!B727)</f>
        <v>73.48</v>
      </c>
      <c r="C728" s="9">
        <f>(B728-B727)/B727</f>
        <v>9.5354856286619519E-4</v>
      </c>
      <c r="D728" s="2">
        <f>MAX(D727,B728)</f>
        <v>103.9</v>
      </c>
      <c r="E728" s="9">
        <f>(B728-D728)/D728</f>
        <v>-0.29278152069297403</v>
      </c>
      <c r="AB728" s="1">
        <f>A728</f>
        <v>45621</v>
      </c>
      <c r="AC728" s="2">
        <f>B728</f>
        <v>73.48</v>
      </c>
      <c r="AD728" s="2">
        <f>726</f>
        <v>726</v>
      </c>
      <c r="AE728" s="2">
        <f>INTERCEPT($AC$3:$AC$1136,$AD$3:$AD$1136)+SLOPE($AC$3:$AC$1136,$AD$3:$AD$1136)*AD728</f>
        <v>68.719682899656249</v>
      </c>
      <c r="AF728" s="2">
        <f t="shared" si="22"/>
        <v>71.371342500058944</v>
      </c>
      <c r="AG728" s="2">
        <f t="shared" si="23"/>
        <v>66.068023299253554</v>
      </c>
      <c r="AH728" s="22">
        <f>AC728-AE728</f>
        <v>4.7603171003437552</v>
      </c>
    </row>
    <row r="729" spans="1:34" x14ac:dyDescent="0.25">
      <c r="A729" s="1">
        <f>DATEVALUE(Sheet1!A728)</f>
        <v>45622</v>
      </c>
      <c r="B729" s="2">
        <f>VALUE(Sheet1!B728)</f>
        <v>73.12</v>
      </c>
      <c r="C729" s="9">
        <f>(B729-B728)/B728</f>
        <v>-4.8992923244420171E-3</v>
      </c>
      <c r="D729" s="2">
        <f>MAX(D728,B729)</f>
        <v>103.9</v>
      </c>
      <c r="E729" s="9">
        <f>(B729-D729)/D729</f>
        <v>-0.29624639076034648</v>
      </c>
      <c r="AB729" s="1">
        <f>A729</f>
        <v>45622</v>
      </c>
      <c r="AC729" s="2">
        <f>B729</f>
        <v>73.12</v>
      </c>
      <c r="AD729" s="2">
        <f>727</f>
        <v>727</v>
      </c>
      <c r="AE729" s="2">
        <f>INTERCEPT($AC$3:$AC$1136,$AD$3:$AD$1136)+SLOPE($AC$3:$AC$1136,$AD$3:$AD$1136)*AD729</f>
        <v>68.700970936243806</v>
      </c>
      <c r="AF729" s="2">
        <f t="shared" si="22"/>
        <v>71.352630536646501</v>
      </c>
      <c r="AG729" s="2">
        <f t="shared" si="23"/>
        <v>66.049311335841111</v>
      </c>
      <c r="AH729" s="22">
        <f>AC729-AE729</f>
        <v>4.4190290637561986</v>
      </c>
    </row>
    <row r="730" spans="1:34" x14ac:dyDescent="0.25">
      <c r="A730" s="1">
        <f>DATEVALUE(Sheet1!A729)</f>
        <v>45623</v>
      </c>
      <c r="B730" s="2">
        <f>VALUE(Sheet1!B729)</f>
        <v>72.510000000000005</v>
      </c>
      <c r="C730" s="9">
        <f>(B730-B729)/B729</f>
        <v>-8.3424507658643246E-3</v>
      </c>
      <c r="D730" s="2">
        <f>MAX(D729,B730)</f>
        <v>103.9</v>
      </c>
      <c r="E730" s="9">
        <f>(B730-D730)/D730</f>
        <v>-0.30211742059672764</v>
      </c>
      <c r="AB730" s="1">
        <f>A730</f>
        <v>45623</v>
      </c>
      <c r="AC730" s="2">
        <f>B730</f>
        <v>72.510000000000005</v>
      </c>
      <c r="AD730" s="2">
        <f>728</f>
        <v>728</v>
      </c>
      <c r="AE730" s="2">
        <f>INTERCEPT($AC$3:$AC$1136,$AD$3:$AD$1136)+SLOPE($AC$3:$AC$1136,$AD$3:$AD$1136)*AD730</f>
        <v>68.682258972831349</v>
      </c>
      <c r="AF730" s="2">
        <f t="shared" si="22"/>
        <v>71.333918573234044</v>
      </c>
      <c r="AG730" s="2">
        <f t="shared" si="23"/>
        <v>66.030599372428654</v>
      </c>
      <c r="AH730" s="22">
        <f>AC730-AE730</f>
        <v>3.8277410271686563</v>
      </c>
    </row>
    <row r="731" spans="1:34" x14ac:dyDescent="0.25">
      <c r="A731" s="1">
        <f>DATEVALUE(Sheet1!A730)</f>
        <v>45624</v>
      </c>
      <c r="B731" s="2">
        <f>VALUE(Sheet1!B730)</f>
        <v>72.459999999999994</v>
      </c>
      <c r="C731" s="9">
        <f>(B731-B730)/B730</f>
        <v>-6.8956006068144205E-4</v>
      </c>
      <c r="D731" s="2">
        <f>MAX(D730,B731)</f>
        <v>103.9</v>
      </c>
      <c r="E731" s="9">
        <f>(B731-D731)/D731</f>
        <v>-0.30259865255052948</v>
      </c>
      <c r="AB731" s="1">
        <f>A731</f>
        <v>45624</v>
      </c>
      <c r="AC731" s="2">
        <f>B731</f>
        <v>72.459999999999994</v>
      </c>
      <c r="AD731" s="2">
        <f>729</f>
        <v>729</v>
      </c>
      <c r="AE731" s="2">
        <f>INTERCEPT($AC$3:$AC$1136,$AD$3:$AD$1136)+SLOPE($AC$3:$AC$1136,$AD$3:$AD$1136)*AD731</f>
        <v>68.663547009418906</v>
      </c>
      <c r="AF731" s="2">
        <f t="shared" si="22"/>
        <v>71.315206609821601</v>
      </c>
      <c r="AG731" s="2">
        <f t="shared" si="23"/>
        <v>66.011887409016211</v>
      </c>
      <c r="AH731" s="22">
        <f>AC731-AE731</f>
        <v>3.7964529905810878</v>
      </c>
    </row>
    <row r="732" spans="1:34" x14ac:dyDescent="0.25">
      <c r="A732" s="1">
        <f>DATEVALUE(Sheet1!A731)</f>
        <v>45625</v>
      </c>
      <c r="B732" s="2">
        <f>VALUE(Sheet1!B731)</f>
        <v>72.77</v>
      </c>
      <c r="C732" s="9">
        <f>(B732-B731)/B731</f>
        <v>4.2782224675683451E-3</v>
      </c>
      <c r="D732" s="2">
        <f>MAX(D731,B732)</f>
        <v>103.9</v>
      </c>
      <c r="E732" s="9">
        <f>(B732-D732)/D732</f>
        <v>-0.2996150144369587</v>
      </c>
      <c r="AB732" s="1">
        <f>A732</f>
        <v>45625</v>
      </c>
      <c r="AC732" s="2">
        <f>B732</f>
        <v>72.77</v>
      </c>
      <c r="AD732" s="2">
        <f>730</f>
        <v>730</v>
      </c>
      <c r="AE732" s="2">
        <f>INTERCEPT($AC$3:$AC$1136,$AD$3:$AD$1136)+SLOPE($AC$3:$AC$1136,$AD$3:$AD$1136)*AD732</f>
        <v>68.644835046006463</v>
      </c>
      <c r="AF732" s="2">
        <f t="shared" si="22"/>
        <v>71.296494646409158</v>
      </c>
      <c r="AG732" s="2">
        <f t="shared" si="23"/>
        <v>65.993175445603768</v>
      </c>
      <c r="AH732" s="22">
        <f>AC732-AE732</f>
        <v>4.1251649539935329</v>
      </c>
    </row>
    <row r="733" spans="1:34" x14ac:dyDescent="0.25">
      <c r="A733" s="1">
        <f>DATEVALUE(Sheet1!A732)</f>
        <v>45628</v>
      </c>
      <c r="B733" s="2">
        <f>VALUE(Sheet1!B732)</f>
        <v>72.69</v>
      </c>
      <c r="C733" s="9">
        <f>(B733-B732)/B732</f>
        <v>-1.0993541294489254E-3</v>
      </c>
      <c r="D733" s="2">
        <f>MAX(D732,B733)</f>
        <v>103.9</v>
      </c>
      <c r="E733" s="9">
        <f>(B733-D733)/D733</f>
        <v>-0.30038498556304144</v>
      </c>
      <c r="AB733" s="1">
        <f>A733</f>
        <v>45628</v>
      </c>
      <c r="AC733" s="2">
        <f>B733</f>
        <v>72.69</v>
      </c>
      <c r="AD733" s="2">
        <f>731</f>
        <v>731</v>
      </c>
      <c r="AE733" s="2">
        <f>INTERCEPT($AC$3:$AC$1136,$AD$3:$AD$1136)+SLOPE($AC$3:$AC$1136,$AD$3:$AD$1136)*AD733</f>
        <v>68.626123082594006</v>
      </c>
      <c r="AF733" s="2">
        <f t="shared" si="22"/>
        <v>71.277782682996701</v>
      </c>
      <c r="AG733" s="2">
        <f t="shared" si="23"/>
        <v>65.974463482191311</v>
      </c>
      <c r="AH733" s="22">
        <f>AC733-AE733</f>
        <v>4.0638769174059917</v>
      </c>
    </row>
    <row r="734" spans="1:34" x14ac:dyDescent="0.25">
      <c r="A734" s="1">
        <f>DATEVALUE(Sheet1!A733)</f>
        <v>45629</v>
      </c>
      <c r="B734" s="2">
        <f>VALUE(Sheet1!B733)</f>
        <v>72.569999999999993</v>
      </c>
      <c r="C734" s="9">
        <f>(B734-B733)/B733</f>
        <v>-1.6508460586050976E-3</v>
      </c>
      <c r="D734" s="2">
        <f>MAX(D733,B734)</f>
        <v>103.9</v>
      </c>
      <c r="E734" s="9">
        <f>(B734-D734)/D734</f>
        <v>-0.30153994225216563</v>
      </c>
      <c r="AB734" s="1">
        <f>A734</f>
        <v>45629</v>
      </c>
      <c r="AC734" s="2">
        <f>B734</f>
        <v>72.569999999999993</v>
      </c>
      <c r="AD734" s="2">
        <f>732</f>
        <v>732</v>
      </c>
      <c r="AE734" s="2">
        <f>INTERCEPT($AC$3:$AC$1136,$AD$3:$AD$1136)+SLOPE($AC$3:$AC$1136,$AD$3:$AD$1136)*AD734</f>
        <v>68.607411119181563</v>
      </c>
      <c r="AF734" s="2">
        <f t="shared" si="22"/>
        <v>71.259070719584258</v>
      </c>
      <c r="AG734" s="2">
        <f t="shared" si="23"/>
        <v>65.955751518778868</v>
      </c>
      <c r="AH734" s="22">
        <f>AC734-AE734</f>
        <v>3.96258888081843</v>
      </c>
    </row>
    <row r="735" spans="1:34" x14ac:dyDescent="0.25">
      <c r="A735" s="1">
        <f>DATEVALUE(Sheet1!A734)</f>
        <v>45630</v>
      </c>
      <c r="B735" s="2">
        <f>VALUE(Sheet1!B734)</f>
        <v>72.47</v>
      </c>
      <c r="C735" s="9">
        <f>(B735-B734)/B734</f>
        <v>-1.377979881493652E-3</v>
      </c>
      <c r="D735" s="2">
        <f>MAX(D734,B735)</f>
        <v>103.9</v>
      </c>
      <c r="E735" s="9">
        <f>(B735-D735)/D735</f>
        <v>-0.30250240615976903</v>
      </c>
      <c r="AB735" s="1">
        <f>A735</f>
        <v>45630</v>
      </c>
      <c r="AC735" s="2">
        <f>B735</f>
        <v>72.47</v>
      </c>
      <c r="AD735" s="2">
        <f>733</f>
        <v>733</v>
      </c>
      <c r="AE735" s="2">
        <f>INTERCEPT($AC$3:$AC$1136,$AD$3:$AD$1136)+SLOPE($AC$3:$AC$1136,$AD$3:$AD$1136)*AD735</f>
        <v>68.58869915576912</v>
      </c>
      <c r="AF735" s="2">
        <f t="shared" si="22"/>
        <v>71.240358756171815</v>
      </c>
      <c r="AG735" s="2">
        <f t="shared" si="23"/>
        <v>65.937039555366425</v>
      </c>
      <c r="AH735" s="22">
        <f>AC735-AE735</f>
        <v>3.8813008442308785</v>
      </c>
    </row>
    <row r="736" spans="1:34" x14ac:dyDescent="0.25">
      <c r="A736" s="1">
        <f>DATEVALUE(Sheet1!A735)</f>
        <v>45631</v>
      </c>
      <c r="B736" s="2">
        <f>VALUE(Sheet1!B735)</f>
        <v>73.09</v>
      </c>
      <c r="C736" s="9">
        <f>(B736-B735)/B735</f>
        <v>8.5552642472747978E-3</v>
      </c>
      <c r="D736" s="2">
        <f>MAX(D735,B736)</f>
        <v>103.9</v>
      </c>
      <c r="E736" s="9">
        <f>(B736-D736)/D736</f>
        <v>-0.29653512993262754</v>
      </c>
      <c r="AB736" s="1">
        <f>A736</f>
        <v>45631</v>
      </c>
      <c r="AC736" s="2">
        <f>B736</f>
        <v>73.09</v>
      </c>
      <c r="AD736" s="2">
        <f>734</f>
        <v>734</v>
      </c>
      <c r="AE736" s="2">
        <f>INTERCEPT($AC$3:$AC$1136,$AD$3:$AD$1136)+SLOPE($AC$3:$AC$1136,$AD$3:$AD$1136)*AD736</f>
        <v>68.569987192356677</v>
      </c>
      <c r="AF736" s="2">
        <f t="shared" si="22"/>
        <v>71.221646792759373</v>
      </c>
      <c r="AG736" s="2">
        <f t="shared" si="23"/>
        <v>65.918327591953982</v>
      </c>
      <c r="AH736" s="22">
        <f>AC736-AE736</f>
        <v>4.5200128076433259</v>
      </c>
    </row>
    <row r="737" spans="1:34" x14ac:dyDescent="0.25">
      <c r="A737" s="1">
        <f>DATEVALUE(Sheet1!A736)</f>
        <v>45632</v>
      </c>
      <c r="B737" s="2">
        <f>VALUE(Sheet1!B736)</f>
        <v>73.2</v>
      </c>
      <c r="C737" s="9">
        <f>(B737-B736)/B736</f>
        <v>1.5049938432069971E-3</v>
      </c>
      <c r="D737" s="2">
        <f>MAX(D736,B737)</f>
        <v>103.9</v>
      </c>
      <c r="E737" s="9">
        <f>(B737-D737)/D737</f>
        <v>-0.29547641963426374</v>
      </c>
      <c r="AB737" s="1">
        <f>A737</f>
        <v>45632</v>
      </c>
      <c r="AC737" s="2">
        <f>B737</f>
        <v>73.2</v>
      </c>
      <c r="AD737" s="2">
        <f>735</f>
        <v>735</v>
      </c>
      <c r="AE737" s="2">
        <f>INTERCEPT($AC$3:$AC$1136,$AD$3:$AD$1136)+SLOPE($AC$3:$AC$1136,$AD$3:$AD$1136)*AD737</f>
        <v>68.551275228944235</v>
      </c>
      <c r="AF737" s="2">
        <f t="shared" si="22"/>
        <v>71.20293482934693</v>
      </c>
      <c r="AG737" s="2">
        <f t="shared" si="23"/>
        <v>65.89961562854154</v>
      </c>
      <c r="AH737" s="22">
        <f>AC737-AE737</f>
        <v>4.6487247710557682</v>
      </c>
    </row>
    <row r="738" spans="1:34" x14ac:dyDescent="0.25">
      <c r="A738" s="1">
        <f>DATEVALUE(Sheet1!A737)</f>
        <v>45635</v>
      </c>
      <c r="B738" s="2">
        <f>VALUE(Sheet1!B737)</f>
        <v>73.540000000000006</v>
      </c>
      <c r="C738" s="9">
        <f>(B738-B737)/B737</f>
        <v>4.6448087431694455E-3</v>
      </c>
      <c r="D738" s="2">
        <f>MAX(D737,B738)</f>
        <v>103.9</v>
      </c>
      <c r="E738" s="9">
        <f>(B738-D738)/D738</f>
        <v>-0.29220404234841191</v>
      </c>
      <c r="AB738" s="1">
        <f>A738</f>
        <v>45635</v>
      </c>
      <c r="AC738" s="2">
        <f>B738</f>
        <v>73.540000000000006</v>
      </c>
      <c r="AD738" s="2">
        <f>736</f>
        <v>736</v>
      </c>
      <c r="AE738" s="2">
        <f>INTERCEPT($AC$3:$AC$1136,$AD$3:$AD$1136)+SLOPE($AC$3:$AC$1136,$AD$3:$AD$1136)*AD738</f>
        <v>68.532563265531778</v>
      </c>
      <c r="AF738" s="2">
        <f t="shared" si="22"/>
        <v>71.184222865934473</v>
      </c>
      <c r="AG738" s="2">
        <f t="shared" si="23"/>
        <v>65.880903665129082</v>
      </c>
      <c r="AH738" s="22">
        <f>AC738-AE738</f>
        <v>5.0074367344682287</v>
      </c>
    </row>
    <row r="739" spans="1:34" x14ac:dyDescent="0.25">
      <c r="A739" s="1">
        <f>DATEVALUE(Sheet1!A738)</f>
        <v>45636</v>
      </c>
      <c r="B739" s="2">
        <f>VALUE(Sheet1!B738)</f>
        <v>73.62</v>
      </c>
      <c r="C739" s="9">
        <f>(B739-B738)/B738</f>
        <v>1.0878433505574965E-3</v>
      </c>
      <c r="D739" s="2">
        <f>MAX(D738,B739)</f>
        <v>103.9</v>
      </c>
      <c r="E739" s="9">
        <f>(B739-D739)/D739</f>
        <v>-0.29143407122232917</v>
      </c>
      <c r="AB739" s="1">
        <f>A739</f>
        <v>45636</v>
      </c>
      <c r="AC739" s="2">
        <f>B739</f>
        <v>73.62</v>
      </c>
      <c r="AD739" s="2">
        <f>737</f>
        <v>737</v>
      </c>
      <c r="AE739" s="2">
        <f>INTERCEPT($AC$3:$AC$1136,$AD$3:$AD$1136)+SLOPE($AC$3:$AC$1136,$AD$3:$AD$1136)*AD739</f>
        <v>68.513851302119335</v>
      </c>
      <c r="AF739" s="2">
        <f t="shared" si="22"/>
        <v>71.16551090252203</v>
      </c>
      <c r="AG739" s="2">
        <f t="shared" si="23"/>
        <v>65.86219170171664</v>
      </c>
      <c r="AH739" s="22">
        <f>AC739-AE739</f>
        <v>5.1061486978806698</v>
      </c>
    </row>
    <row r="740" spans="1:34" x14ac:dyDescent="0.25">
      <c r="A740" s="1">
        <f>DATEVALUE(Sheet1!A739)</f>
        <v>45637</v>
      </c>
      <c r="B740" s="2">
        <f>VALUE(Sheet1!B739)</f>
        <v>73.67</v>
      </c>
      <c r="C740" s="9">
        <f>(B740-B739)/B739</f>
        <v>6.7916327085027373E-4</v>
      </c>
      <c r="D740" s="2">
        <f>MAX(D739,B740)</f>
        <v>103.9</v>
      </c>
      <c r="E740" s="9">
        <f>(B740-D740)/D740</f>
        <v>-0.29095283926852744</v>
      </c>
      <c r="AB740" s="1">
        <f>A740</f>
        <v>45637</v>
      </c>
      <c r="AC740" s="2">
        <f>B740</f>
        <v>73.67</v>
      </c>
      <c r="AD740" s="2">
        <f>738</f>
        <v>738</v>
      </c>
      <c r="AE740" s="2">
        <f>INTERCEPT($AC$3:$AC$1136,$AD$3:$AD$1136)+SLOPE($AC$3:$AC$1136,$AD$3:$AD$1136)*AD740</f>
        <v>68.495139338706892</v>
      </c>
      <c r="AF740" s="2">
        <f t="shared" si="22"/>
        <v>71.146798939109587</v>
      </c>
      <c r="AG740" s="2">
        <f t="shared" si="23"/>
        <v>65.843479738304197</v>
      </c>
      <c r="AH740" s="22">
        <f>AC740-AE740</f>
        <v>5.1748606612931098</v>
      </c>
    </row>
    <row r="741" spans="1:34" x14ac:dyDescent="0.25">
      <c r="A741" s="1">
        <f>DATEVALUE(Sheet1!A740)</f>
        <v>45638</v>
      </c>
      <c r="B741" s="2">
        <f>VALUE(Sheet1!B740)</f>
        <v>73.25</v>
      </c>
      <c r="C741" s="9">
        <f>(B741-B740)/B740</f>
        <v>-5.7010994977603055E-3</v>
      </c>
      <c r="D741" s="2">
        <f>MAX(D740,B741)</f>
        <v>103.9</v>
      </c>
      <c r="E741" s="9">
        <f>(B741-D741)/D741</f>
        <v>-0.29499518768046201</v>
      </c>
      <c r="AB741" s="1">
        <f>A741</f>
        <v>45638</v>
      </c>
      <c r="AC741" s="2">
        <f>B741</f>
        <v>73.25</v>
      </c>
      <c r="AD741" s="2">
        <f>739</f>
        <v>739</v>
      </c>
      <c r="AE741" s="2">
        <f>INTERCEPT($AC$3:$AC$1136,$AD$3:$AD$1136)+SLOPE($AC$3:$AC$1136,$AD$3:$AD$1136)*AD741</f>
        <v>68.476427375294435</v>
      </c>
      <c r="AF741" s="2">
        <f t="shared" si="22"/>
        <v>71.12808697569713</v>
      </c>
      <c r="AG741" s="2">
        <f t="shared" si="23"/>
        <v>65.82476777489174</v>
      </c>
      <c r="AH741" s="22">
        <f>AC741-AE741</f>
        <v>4.7735726247055652</v>
      </c>
    </row>
    <row r="742" spans="1:34" x14ac:dyDescent="0.25">
      <c r="A742" s="1">
        <f>DATEVALUE(Sheet1!A741)</f>
        <v>45639</v>
      </c>
      <c r="B742" s="2">
        <f>VALUE(Sheet1!B741)</f>
        <v>72.930000000000007</v>
      </c>
      <c r="C742" s="9">
        <f>(B742-B741)/B741</f>
        <v>-4.3686006825937639E-3</v>
      </c>
      <c r="D742" s="2">
        <f>MAX(D741,B742)</f>
        <v>103.9</v>
      </c>
      <c r="E742" s="9">
        <f>(B742-D742)/D742</f>
        <v>-0.29807507218479307</v>
      </c>
      <c r="AB742" s="1">
        <f>A742</f>
        <v>45639</v>
      </c>
      <c r="AC742" s="2">
        <f>B742</f>
        <v>72.930000000000007</v>
      </c>
      <c r="AD742" s="2">
        <f>740</f>
        <v>740</v>
      </c>
      <c r="AE742" s="2">
        <f>INTERCEPT($AC$3:$AC$1136,$AD$3:$AD$1136)+SLOPE($AC$3:$AC$1136,$AD$3:$AD$1136)*AD742</f>
        <v>68.457715411881992</v>
      </c>
      <c r="AF742" s="2">
        <f t="shared" si="22"/>
        <v>71.109375012284687</v>
      </c>
      <c r="AG742" s="2">
        <f t="shared" si="23"/>
        <v>65.806055811479297</v>
      </c>
      <c r="AH742" s="22">
        <f>AC742-AE742</f>
        <v>4.4722845881180149</v>
      </c>
    </row>
    <row r="743" spans="1:34" x14ac:dyDescent="0.25">
      <c r="A743" s="1">
        <f>DATEVALUE(Sheet1!A742)</f>
        <v>45642</v>
      </c>
      <c r="B743" s="2">
        <f>VALUE(Sheet1!B742)</f>
        <v>72.89</v>
      </c>
      <c r="C743" s="9">
        <f>(B743-B742)/B742</f>
        <v>-5.4847113670651647E-4</v>
      </c>
      <c r="D743" s="2">
        <f>MAX(D742,B743)</f>
        <v>103.9</v>
      </c>
      <c r="E743" s="9">
        <f>(B743-D743)/D743</f>
        <v>-0.29846005774783446</v>
      </c>
      <c r="AB743" s="1">
        <f>A743</f>
        <v>45642</v>
      </c>
      <c r="AC743" s="2">
        <f>B743</f>
        <v>72.89</v>
      </c>
      <c r="AD743" s="2">
        <f>741</f>
        <v>741</v>
      </c>
      <c r="AE743" s="2">
        <f>INTERCEPT($AC$3:$AC$1136,$AD$3:$AD$1136)+SLOPE($AC$3:$AC$1136,$AD$3:$AD$1136)*AD743</f>
        <v>68.439003448469549</v>
      </c>
      <c r="AF743" s="2">
        <f t="shared" si="22"/>
        <v>71.090663048872244</v>
      </c>
      <c r="AG743" s="2">
        <f t="shared" si="23"/>
        <v>65.787343848066854</v>
      </c>
      <c r="AH743" s="22">
        <f>AC743-AE743</f>
        <v>4.4509965515304515</v>
      </c>
    </row>
    <row r="744" spans="1:34" x14ac:dyDescent="0.25">
      <c r="A744" s="1">
        <f>DATEVALUE(Sheet1!A743)</f>
        <v>45643</v>
      </c>
      <c r="B744" s="2">
        <f>VALUE(Sheet1!B743)</f>
        <v>72.73</v>
      </c>
      <c r="C744" s="9">
        <f>(B744-B743)/B743</f>
        <v>-2.1950884895046863E-3</v>
      </c>
      <c r="D744" s="2">
        <f>MAX(D743,B744)</f>
        <v>103.9</v>
      </c>
      <c r="E744" s="9">
        <f>(B744-D744)/D744</f>
        <v>-0.3</v>
      </c>
      <c r="AB744" s="1">
        <f>A744</f>
        <v>45643</v>
      </c>
      <c r="AC744" s="2">
        <f>B744</f>
        <v>72.73</v>
      </c>
      <c r="AD744" s="2">
        <f>742</f>
        <v>742</v>
      </c>
      <c r="AE744" s="2">
        <f>INTERCEPT($AC$3:$AC$1136,$AD$3:$AD$1136)+SLOPE($AC$3:$AC$1136,$AD$3:$AD$1136)*AD744</f>
        <v>68.420291485057106</v>
      </c>
      <c r="AF744" s="2">
        <f t="shared" si="22"/>
        <v>71.071951085459801</v>
      </c>
      <c r="AG744" s="2">
        <f t="shared" si="23"/>
        <v>65.768631884654411</v>
      </c>
      <c r="AH744" s="22">
        <f>AC744-AE744</f>
        <v>4.3097085149428978</v>
      </c>
    </row>
    <row r="745" spans="1:34" x14ac:dyDescent="0.25">
      <c r="A745" s="1">
        <f>DATEVALUE(Sheet1!A744)</f>
        <v>45644</v>
      </c>
      <c r="B745" s="2">
        <f>VALUE(Sheet1!B744)</f>
        <v>72.739999999999995</v>
      </c>
      <c r="C745" s="9">
        <f>(B745-B744)/B744</f>
        <v>1.3749484394322707E-4</v>
      </c>
      <c r="D745" s="2">
        <f>MAX(D744,B745)</f>
        <v>103.9</v>
      </c>
      <c r="E745" s="9">
        <f>(B745-D745)/D745</f>
        <v>-0.29990375360923976</v>
      </c>
      <c r="AB745" s="1">
        <f>A745</f>
        <v>45644</v>
      </c>
      <c r="AC745" s="2">
        <f>B745</f>
        <v>72.739999999999995</v>
      </c>
      <c r="AD745" s="2">
        <f>743</f>
        <v>743</v>
      </c>
      <c r="AE745" s="2">
        <f>INTERCEPT($AC$3:$AC$1136,$AD$3:$AD$1136)+SLOPE($AC$3:$AC$1136,$AD$3:$AD$1136)*AD745</f>
        <v>68.401579521644649</v>
      </c>
      <c r="AF745" s="2">
        <f t="shared" si="22"/>
        <v>71.053239122047344</v>
      </c>
      <c r="AG745" s="2">
        <f t="shared" si="23"/>
        <v>65.749919921241954</v>
      </c>
      <c r="AH745" s="22">
        <f>AC745-AE745</f>
        <v>4.3384204783553457</v>
      </c>
    </row>
    <row r="746" spans="1:34" x14ac:dyDescent="0.25">
      <c r="A746" s="1">
        <f>DATEVALUE(Sheet1!A745)</f>
        <v>45645</v>
      </c>
      <c r="B746" s="2">
        <f>VALUE(Sheet1!B745)</f>
        <v>72.45</v>
      </c>
      <c r="C746" s="9">
        <f>(B746-B745)/B745</f>
        <v>-3.9868023095957113E-3</v>
      </c>
      <c r="D746" s="2">
        <f>MAX(D745,B746)</f>
        <v>103.9</v>
      </c>
      <c r="E746" s="9">
        <f>(B746-D746)/D746</f>
        <v>-0.3026948989412897</v>
      </c>
      <c r="AB746" s="1">
        <f>A746</f>
        <v>45645</v>
      </c>
      <c r="AC746" s="2">
        <f>B746</f>
        <v>72.45</v>
      </c>
      <c r="AD746" s="2">
        <f>744</f>
        <v>744</v>
      </c>
      <c r="AE746" s="2">
        <f>INTERCEPT($AC$3:$AC$1136,$AD$3:$AD$1136)+SLOPE($AC$3:$AC$1136,$AD$3:$AD$1136)*AD746</f>
        <v>68.382867558232206</v>
      </c>
      <c r="AF746" s="2">
        <f t="shared" si="22"/>
        <v>71.034527158634901</v>
      </c>
      <c r="AG746" s="2">
        <f t="shared" si="23"/>
        <v>65.731207957829511</v>
      </c>
      <c r="AH746" s="22">
        <f>AC746-AE746</f>
        <v>4.0671324417677965</v>
      </c>
    </row>
    <row r="747" spans="1:34" x14ac:dyDescent="0.25">
      <c r="A747" s="1">
        <f>DATEVALUE(Sheet1!A746)</f>
        <v>45646</v>
      </c>
      <c r="B747" s="2">
        <f>VALUE(Sheet1!B746)</f>
        <v>72.73</v>
      </c>
      <c r="C747" s="9">
        <f>(B747-B746)/B746</f>
        <v>3.8647342995169237E-3</v>
      </c>
      <c r="D747" s="2">
        <f>MAX(D746,B747)</f>
        <v>103.9</v>
      </c>
      <c r="E747" s="9">
        <f>(B747-D747)/D747</f>
        <v>-0.3</v>
      </c>
      <c r="AB747" s="1">
        <f>A747</f>
        <v>45646</v>
      </c>
      <c r="AC747" s="2">
        <f>B747</f>
        <v>72.73</v>
      </c>
      <c r="AD747" s="2">
        <f>745</f>
        <v>745</v>
      </c>
      <c r="AE747" s="2">
        <f>INTERCEPT($AC$3:$AC$1136,$AD$3:$AD$1136)+SLOPE($AC$3:$AC$1136,$AD$3:$AD$1136)*AD747</f>
        <v>68.364155594819763</v>
      </c>
      <c r="AF747" s="2">
        <f t="shared" si="22"/>
        <v>71.015815195222459</v>
      </c>
      <c r="AG747" s="2">
        <f t="shared" si="23"/>
        <v>65.712495994417068</v>
      </c>
      <c r="AH747" s="22">
        <f>AC747-AE747</f>
        <v>4.3658444051802405</v>
      </c>
    </row>
    <row r="748" spans="1:34" x14ac:dyDescent="0.25">
      <c r="A748" s="1">
        <f>DATEVALUE(Sheet1!A747)</f>
        <v>45649</v>
      </c>
      <c r="B748" s="2">
        <f>VALUE(Sheet1!B747)</f>
        <v>72.84</v>
      </c>
      <c r="C748" s="9">
        <f>(B748-B747)/B747</f>
        <v>1.5124432833768654E-3</v>
      </c>
      <c r="D748" s="2">
        <f>MAX(D747,B748)</f>
        <v>103.9</v>
      </c>
      <c r="E748" s="9">
        <f>(B748-D748)/D748</f>
        <v>-0.29894128970163619</v>
      </c>
      <c r="AB748" s="1">
        <f>A748</f>
        <v>45649</v>
      </c>
      <c r="AC748" s="2">
        <f>B748</f>
        <v>72.84</v>
      </c>
      <c r="AD748" s="2">
        <f>746</f>
        <v>746</v>
      </c>
      <c r="AE748" s="2">
        <f>INTERCEPT($AC$3:$AC$1136,$AD$3:$AD$1136)+SLOPE($AC$3:$AC$1136,$AD$3:$AD$1136)*AD748</f>
        <v>68.345443631407306</v>
      </c>
      <c r="AF748" s="2">
        <f t="shared" si="22"/>
        <v>70.997103231810001</v>
      </c>
      <c r="AG748" s="2">
        <f t="shared" si="23"/>
        <v>65.693784031004611</v>
      </c>
      <c r="AH748" s="22">
        <f>AC748-AE748</f>
        <v>4.494556368592697</v>
      </c>
    </row>
    <row r="749" spans="1:34" x14ac:dyDescent="0.25">
      <c r="A749" s="1">
        <f>DATEVALUE(Sheet1!A748)</f>
        <v>45652</v>
      </c>
      <c r="B749" s="2">
        <f>VALUE(Sheet1!B748)</f>
        <v>72.69</v>
      </c>
      <c r="C749" s="9">
        <f>(B749-B748)/B748</f>
        <v>-2.0593080724877221E-3</v>
      </c>
      <c r="D749" s="2">
        <f>MAX(D748,B749)</f>
        <v>103.9</v>
      </c>
      <c r="E749" s="9">
        <f>(B749-D749)/D749</f>
        <v>-0.30038498556304144</v>
      </c>
      <c r="AB749" s="1">
        <f>A749</f>
        <v>45652</v>
      </c>
      <c r="AC749" s="2">
        <f>B749</f>
        <v>72.69</v>
      </c>
      <c r="AD749" s="2">
        <f>747</f>
        <v>747</v>
      </c>
      <c r="AE749" s="2">
        <f>INTERCEPT($AC$3:$AC$1136,$AD$3:$AD$1136)+SLOPE($AC$3:$AC$1136,$AD$3:$AD$1136)*AD749</f>
        <v>68.326731667994864</v>
      </c>
      <c r="AF749" s="2">
        <f t="shared" si="22"/>
        <v>70.978391268397559</v>
      </c>
      <c r="AG749" s="2">
        <f t="shared" si="23"/>
        <v>65.675072067592168</v>
      </c>
      <c r="AH749" s="22">
        <f>AC749-AE749</f>
        <v>4.3632683320051342</v>
      </c>
    </row>
    <row r="750" spans="1:34" x14ac:dyDescent="0.25">
      <c r="A750" s="1">
        <f>DATEVALUE(Sheet1!A749)</f>
        <v>45653</v>
      </c>
      <c r="B750" s="2">
        <f>VALUE(Sheet1!B749)</f>
        <v>72.650000000000006</v>
      </c>
      <c r="C750" s="9">
        <f>(B750-B749)/B749</f>
        <v>-5.5028201953490226E-4</v>
      </c>
      <c r="D750" s="2">
        <f>MAX(D749,B750)</f>
        <v>103.9</v>
      </c>
      <c r="E750" s="9">
        <f>(B750-D750)/D750</f>
        <v>-0.30076997112608278</v>
      </c>
      <c r="AB750" s="1">
        <f>A750</f>
        <v>45653</v>
      </c>
      <c r="AC750" s="2">
        <f>B750</f>
        <v>72.650000000000006</v>
      </c>
      <c r="AD750" s="2">
        <f>748</f>
        <v>748</v>
      </c>
      <c r="AE750" s="2">
        <f>INTERCEPT($AC$3:$AC$1136,$AD$3:$AD$1136)+SLOPE($AC$3:$AC$1136,$AD$3:$AD$1136)*AD750</f>
        <v>68.308019704582421</v>
      </c>
      <c r="AF750" s="2">
        <f t="shared" si="22"/>
        <v>70.959679304985116</v>
      </c>
      <c r="AG750" s="2">
        <f t="shared" si="23"/>
        <v>65.656360104179726</v>
      </c>
      <c r="AH750" s="22">
        <f>AC750-AE750</f>
        <v>4.341980295417585</v>
      </c>
    </row>
    <row r="751" spans="1:34" x14ac:dyDescent="0.25">
      <c r="A751" s="1">
        <f>DATEVALUE(Sheet1!A750)</f>
        <v>45656</v>
      </c>
      <c r="B751" s="2">
        <f>VALUE(Sheet1!B750)</f>
        <v>72.69</v>
      </c>
      <c r="C751" s="9">
        <f>(B751-B750)/B750</f>
        <v>5.505849965587342E-4</v>
      </c>
      <c r="D751" s="2">
        <f>MAX(D750,B751)</f>
        <v>103.9</v>
      </c>
      <c r="E751" s="9">
        <f>(B751-D751)/D751</f>
        <v>-0.30038498556304144</v>
      </c>
      <c r="AB751" s="1">
        <f>A751</f>
        <v>45656</v>
      </c>
      <c r="AC751" s="2">
        <f>B751</f>
        <v>72.69</v>
      </c>
      <c r="AD751" s="2">
        <f>749</f>
        <v>749</v>
      </c>
      <c r="AE751" s="2">
        <f>INTERCEPT($AC$3:$AC$1136,$AD$3:$AD$1136)+SLOPE($AC$3:$AC$1136,$AD$3:$AD$1136)*AD751</f>
        <v>68.289307741169978</v>
      </c>
      <c r="AF751" s="2">
        <f t="shared" si="22"/>
        <v>70.940967341572673</v>
      </c>
      <c r="AG751" s="2">
        <f t="shared" si="23"/>
        <v>65.637648140767283</v>
      </c>
      <c r="AH751" s="22">
        <f>AC751-AE751</f>
        <v>4.4006922588300199</v>
      </c>
    </row>
    <row r="752" spans="1:34" x14ac:dyDescent="0.25">
      <c r="A752" s="1">
        <f>DATEVALUE(Sheet1!A751)</f>
        <v>45659</v>
      </c>
      <c r="B752" s="2">
        <f>VALUE(Sheet1!B751)</f>
        <v>72.94</v>
      </c>
      <c r="C752" s="9">
        <f>(B752-B751)/B751</f>
        <v>3.4392626220938233E-3</v>
      </c>
      <c r="D752" s="2">
        <f>MAX(D751,B752)</f>
        <v>103.9</v>
      </c>
      <c r="E752" s="9">
        <f>(B752-D752)/D752</f>
        <v>-0.29797882579403279</v>
      </c>
      <c r="AB752" s="1">
        <f>A752</f>
        <v>45659</v>
      </c>
      <c r="AC752" s="2">
        <f>B752</f>
        <v>72.94</v>
      </c>
      <c r="AD752" s="2">
        <f>750</f>
        <v>750</v>
      </c>
      <c r="AE752" s="2">
        <f>INTERCEPT($AC$3:$AC$1136,$AD$3:$AD$1136)+SLOPE($AC$3:$AC$1136,$AD$3:$AD$1136)*AD752</f>
        <v>68.270595777757521</v>
      </c>
      <c r="AF752" s="2">
        <f t="shared" si="22"/>
        <v>70.922255378160216</v>
      </c>
      <c r="AG752" s="2">
        <f t="shared" si="23"/>
        <v>65.618936177354826</v>
      </c>
      <c r="AH752" s="22">
        <f>AC752-AE752</f>
        <v>4.669404222242477</v>
      </c>
    </row>
    <row r="753" spans="1:34" x14ac:dyDescent="0.25">
      <c r="A753" s="1">
        <f>DATEVALUE(Sheet1!A752)</f>
        <v>45660</v>
      </c>
      <c r="B753" s="2">
        <f>VALUE(Sheet1!B752)</f>
        <v>72.989999999999995</v>
      </c>
      <c r="C753" s="9">
        <f>(B753-B752)/B752</f>
        <v>6.8549492733749871E-4</v>
      </c>
      <c r="D753" s="2">
        <f>MAX(D752,B753)</f>
        <v>103.9</v>
      </c>
      <c r="E753" s="9">
        <f>(B753-D753)/D753</f>
        <v>-0.29749759384023106</v>
      </c>
      <c r="AB753" s="1">
        <f>A753</f>
        <v>45660</v>
      </c>
      <c r="AC753" s="2">
        <f>B753</f>
        <v>72.989999999999995</v>
      </c>
      <c r="AD753" s="2">
        <f>751</f>
        <v>751</v>
      </c>
      <c r="AE753" s="2">
        <f>INTERCEPT($AC$3:$AC$1136,$AD$3:$AD$1136)+SLOPE($AC$3:$AC$1136,$AD$3:$AD$1136)*AD753</f>
        <v>68.251883814345078</v>
      </c>
      <c r="AF753" s="2">
        <f t="shared" si="22"/>
        <v>70.903543414747773</v>
      </c>
      <c r="AG753" s="2">
        <f t="shared" si="23"/>
        <v>65.600224213942383</v>
      </c>
      <c r="AH753" s="22">
        <f>AC753-AE753</f>
        <v>4.738116185654917</v>
      </c>
    </row>
    <row r="754" spans="1:34" x14ac:dyDescent="0.25">
      <c r="A754" s="1">
        <f>DATEVALUE(Sheet1!A753)</f>
        <v>45663</v>
      </c>
      <c r="B754" s="2">
        <f>VALUE(Sheet1!B753)</f>
        <v>73.14</v>
      </c>
      <c r="C754" s="9">
        <f>(B754-B753)/B753</f>
        <v>2.055076037813477E-3</v>
      </c>
      <c r="D754" s="2">
        <f>MAX(D753,B754)</f>
        <v>103.9</v>
      </c>
      <c r="E754" s="9">
        <f>(B754-D754)/D754</f>
        <v>-0.29605389797882581</v>
      </c>
      <c r="AB754" s="1">
        <f>A754</f>
        <v>45663</v>
      </c>
      <c r="AC754" s="2">
        <f>B754</f>
        <v>73.14</v>
      </c>
      <c r="AD754" s="2">
        <f>752</f>
        <v>752</v>
      </c>
      <c r="AE754" s="2">
        <f>INTERCEPT($AC$3:$AC$1136,$AD$3:$AD$1136)+SLOPE($AC$3:$AC$1136,$AD$3:$AD$1136)*AD754</f>
        <v>68.233171850932635</v>
      </c>
      <c r="AF754" s="2">
        <f t="shared" si="22"/>
        <v>70.88483145133533</v>
      </c>
      <c r="AG754" s="2">
        <f t="shared" si="23"/>
        <v>65.58151225052994</v>
      </c>
      <c r="AH754" s="22">
        <f>AC754-AE754</f>
        <v>4.9068281490673655</v>
      </c>
    </row>
    <row r="755" spans="1:34" x14ac:dyDescent="0.25">
      <c r="A755" s="1">
        <f>DATEVALUE(Sheet1!A754)</f>
        <v>45664</v>
      </c>
      <c r="B755" s="2">
        <f>VALUE(Sheet1!B754)</f>
        <v>73.98</v>
      </c>
      <c r="C755" s="9">
        <f>(B755-B754)/B754</f>
        <v>1.1484823625922935E-2</v>
      </c>
      <c r="D755" s="2">
        <f>MAX(D754,B755)</f>
        <v>103.9</v>
      </c>
      <c r="E755" s="9">
        <f>(B755-D755)/D755</f>
        <v>-0.28796920115495667</v>
      </c>
      <c r="AB755" s="1">
        <f>A755</f>
        <v>45664</v>
      </c>
      <c r="AC755" s="2">
        <f>B755</f>
        <v>73.98</v>
      </c>
      <c r="AD755" s="2">
        <f>753</f>
        <v>753</v>
      </c>
      <c r="AE755" s="2">
        <f>INTERCEPT($AC$3:$AC$1136,$AD$3:$AD$1136)+SLOPE($AC$3:$AC$1136,$AD$3:$AD$1136)*AD755</f>
        <v>68.214459887520192</v>
      </c>
      <c r="AF755" s="2">
        <f t="shared" si="22"/>
        <v>70.866119487922887</v>
      </c>
      <c r="AG755" s="2">
        <f t="shared" si="23"/>
        <v>65.562800287117497</v>
      </c>
      <c r="AH755" s="22">
        <f>AC755-AE755</f>
        <v>5.7655401124798118</v>
      </c>
    </row>
    <row r="756" spans="1:34" x14ac:dyDescent="0.25">
      <c r="A756" s="1">
        <f>DATEVALUE(Sheet1!A755)</f>
        <v>45665</v>
      </c>
      <c r="B756" s="2">
        <f>VALUE(Sheet1!B755)</f>
        <v>74.23</v>
      </c>
      <c r="C756" s="9">
        <f>(B756-B755)/B755</f>
        <v>3.3792917004595835E-3</v>
      </c>
      <c r="D756" s="2">
        <f>MAX(D755,B756)</f>
        <v>103.9</v>
      </c>
      <c r="E756" s="9">
        <f>(B756-D756)/D756</f>
        <v>-0.28556304138594801</v>
      </c>
      <c r="AB756" s="1">
        <f>A756</f>
        <v>45665</v>
      </c>
      <c r="AC756" s="2">
        <f>B756</f>
        <v>74.23</v>
      </c>
      <c r="AD756" s="2">
        <f>754</f>
        <v>754</v>
      </c>
      <c r="AE756" s="2">
        <f>INTERCEPT($AC$3:$AC$1136,$AD$3:$AD$1136)+SLOPE($AC$3:$AC$1136,$AD$3:$AD$1136)*AD756</f>
        <v>68.195747924107735</v>
      </c>
      <c r="AF756" s="2">
        <f t="shared" si="22"/>
        <v>70.84740752451043</v>
      </c>
      <c r="AG756" s="2">
        <f t="shared" si="23"/>
        <v>65.54408832370504</v>
      </c>
      <c r="AH756" s="22">
        <f>AC756-AE756</f>
        <v>6.0342520758922689</v>
      </c>
    </row>
    <row r="757" spans="1:34" x14ac:dyDescent="0.25">
      <c r="A757" s="1">
        <f>DATEVALUE(Sheet1!A756)</f>
        <v>45666</v>
      </c>
      <c r="B757" s="2">
        <f>VALUE(Sheet1!B756)</f>
        <v>74.319999999999993</v>
      </c>
      <c r="C757" s="9">
        <f>(B757-B756)/B756</f>
        <v>1.2124477973863559E-3</v>
      </c>
      <c r="D757" s="2">
        <f>MAX(D756,B757)</f>
        <v>103.9</v>
      </c>
      <c r="E757" s="9">
        <f>(B757-D757)/D757</f>
        <v>-0.284696823869105</v>
      </c>
      <c r="AB757" s="1">
        <f>A757</f>
        <v>45666</v>
      </c>
      <c r="AC757" s="2">
        <f>B757</f>
        <v>74.319999999999993</v>
      </c>
      <c r="AD757" s="2">
        <f>755</f>
        <v>755</v>
      </c>
      <c r="AE757" s="2">
        <f>INTERCEPT($AC$3:$AC$1136,$AD$3:$AD$1136)+SLOPE($AC$3:$AC$1136,$AD$3:$AD$1136)*AD757</f>
        <v>68.177035960695292</v>
      </c>
      <c r="AF757" s="2">
        <f t="shared" si="22"/>
        <v>70.828695561097987</v>
      </c>
      <c r="AG757" s="2">
        <f t="shared" si="23"/>
        <v>65.525376360292597</v>
      </c>
      <c r="AH757" s="22">
        <f>AC757-AE757</f>
        <v>6.1429640393047009</v>
      </c>
    </row>
    <row r="758" spans="1:34" x14ac:dyDescent="0.25">
      <c r="A758" s="1">
        <f>DATEVALUE(Sheet1!A757)</f>
        <v>45667</v>
      </c>
      <c r="B758" s="2">
        <f>VALUE(Sheet1!B757)</f>
        <v>74.91</v>
      </c>
      <c r="C758" s="9">
        <f>(B758-B757)/B757</f>
        <v>7.9386437029063967E-3</v>
      </c>
      <c r="D758" s="2">
        <f>MAX(D757,B758)</f>
        <v>103.9</v>
      </c>
      <c r="E758" s="9">
        <f>(B758-D758)/D758</f>
        <v>-0.27901828681424456</v>
      </c>
      <c r="AB758" s="1">
        <f>A758</f>
        <v>45667</v>
      </c>
      <c r="AC758" s="2">
        <f>B758</f>
        <v>74.91</v>
      </c>
      <c r="AD758" s="2">
        <f>756</f>
        <v>756</v>
      </c>
      <c r="AE758" s="2">
        <f>INTERCEPT($AC$3:$AC$1136,$AD$3:$AD$1136)+SLOPE($AC$3:$AC$1136,$AD$3:$AD$1136)*AD758</f>
        <v>68.158323997282849</v>
      </c>
      <c r="AF758" s="2">
        <f t="shared" si="22"/>
        <v>70.809983597685545</v>
      </c>
      <c r="AG758" s="2">
        <f t="shared" si="23"/>
        <v>65.506664396880154</v>
      </c>
      <c r="AH758" s="22">
        <f>AC758-AE758</f>
        <v>6.7516760027171472</v>
      </c>
    </row>
    <row r="759" spans="1:34" x14ac:dyDescent="0.25">
      <c r="A759" s="1">
        <f>DATEVALUE(Sheet1!A758)</f>
        <v>45670</v>
      </c>
      <c r="B759" s="2">
        <f>VALUE(Sheet1!B758)</f>
        <v>74.92</v>
      </c>
      <c r="C759" s="9">
        <f>(B759-B758)/B758</f>
        <v>1.3349352556407844E-4</v>
      </c>
      <c r="D759" s="2">
        <f>MAX(D758,B759)</f>
        <v>103.9</v>
      </c>
      <c r="E759" s="9">
        <f>(B759-D759)/D759</f>
        <v>-0.27892204042348412</v>
      </c>
      <c r="AB759" s="1">
        <f>A759</f>
        <v>45670</v>
      </c>
      <c r="AC759" s="2">
        <f>B759</f>
        <v>74.92</v>
      </c>
      <c r="AD759" s="2">
        <f>757</f>
        <v>757</v>
      </c>
      <c r="AE759" s="2">
        <f>INTERCEPT($AC$3:$AC$1136,$AD$3:$AD$1136)+SLOPE($AC$3:$AC$1136,$AD$3:$AD$1136)*AD759</f>
        <v>68.139612033870407</v>
      </c>
      <c r="AF759" s="2">
        <f t="shared" si="22"/>
        <v>70.791271634273102</v>
      </c>
      <c r="AG759" s="2">
        <f t="shared" si="23"/>
        <v>65.487952433467711</v>
      </c>
      <c r="AH759" s="22">
        <f>AC759-AE759</f>
        <v>6.7803879661295952</v>
      </c>
    </row>
    <row r="760" spans="1:34" x14ac:dyDescent="0.25">
      <c r="A760" s="1">
        <f>DATEVALUE(Sheet1!A759)</f>
        <v>45671</v>
      </c>
      <c r="B760" s="2">
        <f>VALUE(Sheet1!B759)</f>
        <v>74.69</v>
      </c>
      <c r="C760" s="9">
        <f>(B760-B759)/B759</f>
        <v>-3.0699412706887879E-3</v>
      </c>
      <c r="D760" s="2">
        <f>MAX(D759,B760)</f>
        <v>103.9</v>
      </c>
      <c r="E760" s="9">
        <f>(B760-D760)/D760</f>
        <v>-0.28113570741097216</v>
      </c>
      <c r="AB760" s="1">
        <f>A760</f>
        <v>45671</v>
      </c>
      <c r="AC760" s="2">
        <f>B760</f>
        <v>74.69</v>
      </c>
      <c r="AD760" s="2">
        <f>758</f>
        <v>758</v>
      </c>
      <c r="AE760" s="2">
        <f>INTERCEPT($AC$3:$AC$1136,$AD$3:$AD$1136)+SLOPE($AC$3:$AC$1136,$AD$3:$AD$1136)*AD760</f>
        <v>68.120900070457949</v>
      </c>
      <c r="AF760" s="2">
        <f t="shared" si="22"/>
        <v>70.772559670860645</v>
      </c>
      <c r="AG760" s="2">
        <f t="shared" si="23"/>
        <v>65.469240470055254</v>
      </c>
      <c r="AH760" s="22">
        <f>AC760-AE760</f>
        <v>6.5690999295420482</v>
      </c>
    </row>
    <row r="761" spans="1:34" x14ac:dyDescent="0.25">
      <c r="A761" s="1">
        <f>DATEVALUE(Sheet1!A760)</f>
        <v>45672</v>
      </c>
      <c r="B761" s="2">
        <f>VALUE(Sheet1!B760)</f>
        <v>74.97</v>
      </c>
      <c r="C761" s="9">
        <f>(B761-B760)/B760</f>
        <v>3.7488284910965476E-3</v>
      </c>
      <c r="D761" s="2">
        <f>MAX(D760,B761)</f>
        <v>103.9</v>
      </c>
      <c r="E761" s="9">
        <f>(B761-D761)/D761</f>
        <v>-0.27844080846968244</v>
      </c>
      <c r="AB761" s="1">
        <f>A761</f>
        <v>45672</v>
      </c>
      <c r="AC761" s="2">
        <f>B761</f>
        <v>74.97</v>
      </c>
      <c r="AD761" s="2">
        <f>759</f>
        <v>759</v>
      </c>
      <c r="AE761" s="2">
        <f>INTERCEPT($AC$3:$AC$1136,$AD$3:$AD$1136)+SLOPE($AC$3:$AC$1136,$AD$3:$AD$1136)*AD761</f>
        <v>68.102188107045507</v>
      </c>
      <c r="AF761" s="2">
        <f t="shared" si="22"/>
        <v>70.753847707448202</v>
      </c>
      <c r="AG761" s="2">
        <f t="shared" si="23"/>
        <v>65.450528506642812</v>
      </c>
      <c r="AH761" s="22">
        <f>AC761-AE761</f>
        <v>6.8678118929544922</v>
      </c>
    </row>
    <row r="762" spans="1:34" x14ac:dyDescent="0.25">
      <c r="A762" s="1">
        <f>DATEVALUE(Sheet1!A761)</f>
        <v>45673</v>
      </c>
      <c r="B762" s="2">
        <f>VALUE(Sheet1!B761)</f>
        <v>74.42</v>
      </c>
      <c r="C762" s="9">
        <f>(B762-B761)/B761</f>
        <v>-7.3362678404694836E-3</v>
      </c>
      <c r="D762" s="2">
        <f>MAX(D761,B762)</f>
        <v>103.9</v>
      </c>
      <c r="E762" s="9">
        <f>(B762-D762)/D762</f>
        <v>-0.28373435996150148</v>
      </c>
      <c r="AB762" s="1">
        <f>A762</f>
        <v>45673</v>
      </c>
      <c r="AC762" s="2">
        <f>B762</f>
        <v>74.42</v>
      </c>
      <c r="AD762" s="2">
        <f>760</f>
        <v>760</v>
      </c>
      <c r="AE762" s="2">
        <f>INTERCEPT($AC$3:$AC$1136,$AD$3:$AD$1136)+SLOPE($AC$3:$AC$1136,$AD$3:$AD$1136)*AD762</f>
        <v>68.083476143633064</v>
      </c>
      <c r="AF762" s="2">
        <f t="shared" si="22"/>
        <v>70.735135744035759</v>
      </c>
      <c r="AG762" s="2">
        <f t="shared" si="23"/>
        <v>65.431816543230369</v>
      </c>
      <c r="AH762" s="22">
        <f>AC762-AE762</f>
        <v>6.3365238563669379</v>
      </c>
    </row>
    <row r="763" spans="1:34" x14ac:dyDescent="0.25">
      <c r="A763" s="1">
        <f>DATEVALUE(Sheet1!A762)</f>
        <v>45674</v>
      </c>
      <c r="B763" s="2">
        <f>VALUE(Sheet1!B762)</f>
        <v>74.25</v>
      </c>
      <c r="C763" s="9">
        <f>(B763-B762)/B762</f>
        <v>-2.2843321687718585E-3</v>
      </c>
      <c r="D763" s="2">
        <f>MAX(D762,B763)</f>
        <v>103.9</v>
      </c>
      <c r="E763" s="9">
        <f>(B763-D763)/D763</f>
        <v>-0.2853705486044274</v>
      </c>
      <c r="AB763" s="1">
        <f>A763</f>
        <v>45674</v>
      </c>
      <c r="AC763" s="2">
        <f>B763</f>
        <v>74.25</v>
      </c>
      <c r="AD763" s="2">
        <f>761</f>
        <v>761</v>
      </c>
      <c r="AE763" s="2">
        <f>INTERCEPT($AC$3:$AC$1136,$AD$3:$AD$1136)+SLOPE($AC$3:$AC$1136,$AD$3:$AD$1136)*AD763</f>
        <v>68.064764180220607</v>
      </c>
      <c r="AF763" s="2">
        <f t="shared" si="22"/>
        <v>70.716423780623302</v>
      </c>
      <c r="AG763" s="2">
        <f t="shared" si="23"/>
        <v>65.413104579817912</v>
      </c>
      <c r="AH763" s="22">
        <f>AC763-AE763</f>
        <v>6.1852358197793933</v>
      </c>
    </row>
    <row r="764" spans="1:34" x14ac:dyDescent="0.25">
      <c r="A764" s="1">
        <f>DATEVALUE(Sheet1!A763)</f>
        <v>45677</v>
      </c>
      <c r="B764" s="2">
        <f>VALUE(Sheet1!B763)</f>
        <v>73.849999999999994</v>
      </c>
      <c r="C764" s="9">
        <f>(B764-B763)/B763</f>
        <v>-5.3872053872054638E-3</v>
      </c>
      <c r="D764" s="2">
        <f>MAX(D763,B764)</f>
        <v>103.9</v>
      </c>
      <c r="E764" s="9">
        <f>(B764-D764)/D764</f>
        <v>-0.2892204042348413</v>
      </c>
      <c r="AB764" s="1">
        <f>A764</f>
        <v>45677</v>
      </c>
      <c r="AC764" s="2">
        <f>B764</f>
        <v>73.849999999999994</v>
      </c>
      <c r="AD764" s="2">
        <f>762</f>
        <v>762</v>
      </c>
      <c r="AE764" s="2">
        <f>INTERCEPT($AC$3:$AC$1136,$AD$3:$AD$1136)+SLOPE($AC$3:$AC$1136,$AD$3:$AD$1136)*AD764</f>
        <v>68.046052216808164</v>
      </c>
      <c r="AF764" s="2">
        <f t="shared" si="22"/>
        <v>70.697711817210859</v>
      </c>
      <c r="AG764" s="2">
        <f t="shared" si="23"/>
        <v>65.394392616405469</v>
      </c>
      <c r="AH764" s="22">
        <f>AC764-AE764</f>
        <v>5.8039477831918305</v>
      </c>
    </row>
    <row r="765" spans="1:34" x14ac:dyDescent="0.25">
      <c r="A765" s="1">
        <f>DATEVALUE(Sheet1!A764)</f>
        <v>45678</v>
      </c>
      <c r="B765" s="2">
        <f>VALUE(Sheet1!B764)</f>
        <v>74.02</v>
      </c>
      <c r="C765" s="9">
        <f>(B765-B764)/B764</f>
        <v>2.3019634394042211E-3</v>
      </c>
      <c r="D765" s="2">
        <f>MAX(D764,B765)</f>
        <v>103.9</v>
      </c>
      <c r="E765" s="9">
        <f>(B765-D765)/D765</f>
        <v>-0.28758421559191538</v>
      </c>
      <c r="AB765" s="1">
        <f>A765</f>
        <v>45678</v>
      </c>
      <c r="AC765" s="2">
        <f>B765</f>
        <v>74.02</v>
      </c>
      <c r="AD765" s="2">
        <f>763</f>
        <v>763</v>
      </c>
      <c r="AE765" s="2">
        <f>INTERCEPT($AC$3:$AC$1136,$AD$3:$AD$1136)+SLOPE($AC$3:$AC$1136,$AD$3:$AD$1136)*AD765</f>
        <v>68.027340253395721</v>
      </c>
      <c r="AF765" s="2">
        <f t="shared" si="22"/>
        <v>70.678999853798416</v>
      </c>
      <c r="AG765" s="2">
        <f t="shared" si="23"/>
        <v>65.375680652993026</v>
      </c>
      <c r="AH765" s="22">
        <f>AC765-AE765</f>
        <v>5.992659746604275</v>
      </c>
    </row>
    <row r="766" spans="1:34" x14ac:dyDescent="0.25">
      <c r="A766" s="1">
        <f>DATEVALUE(Sheet1!A765)</f>
        <v>45679</v>
      </c>
      <c r="B766" s="2">
        <f>VALUE(Sheet1!B765)</f>
        <v>74.099999999999994</v>
      </c>
      <c r="C766" s="9">
        <f>(B766-B765)/B765</f>
        <v>1.0807889759524222E-3</v>
      </c>
      <c r="D766" s="2">
        <f>MAX(D765,B766)</f>
        <v>103.9</v>
      </c>
      <c r="E766" s="9">
        <f>(B766-D766)/D766</f>
        <v>-0.28681424446583265</v>
      </c>
      <c r="AB766" s="1">
        <f>A766</f>
        <v>45679</v>
      </c>
      <c r="AC766" s="2">
        <f>B766</f>
        <v>74.099999999999994</v>
      </c>
      <c r="AD766" s="2">
        <f>764</f>
        <v>764</v>
      </c>
      <c r="AE766" s="2">
        <f>INTERCEPT($AC$3:$AC$1136,$AD$3:$AD$1136)+SLOPE($AC$3:$AC$1136,$AD$3:$AD$1136)*AD766</f>
        <v>68.008628289983278</v>
      </c>
      <c r="AF766" s="2">
        <f t="shared" si="22"/>
        <v>70.660287890385973</v>
      </c>
      <c r="AG766" s="2">
        <f t="shared" si="23"/>
        <v>65.356968689580583</v>
      </c>
      <c r="AH766" s="22">
        <f>AC766-AE766</f>
        <v>6.0913717100167162</v>
      </c>
    </row>
    <row r="767" spans="1:34" x14ac:dyDescent="0.25">
      <c r="A767" s="1">
        <f>DATEVALUE(Sheet1!A766)</f>
        <v>45680</v>
      </c>
      <c r="B767" s="2">
        <f>VALUE(Sheet1!B766)</f>
        <v>73.88</v>
      </c>
      <c r="C767" s="9">
        <f>(B767-B766)/B766</f>
        <v>-2.9689608636976907E-3</v>
      </c>
      <c r="D767" s="2">
        <f>MAX(D766,B767)</f>
        <v>103.9</v>
      </c>
      <c r="E767" s="9">
        <f>(B767-D767)/D767</f>
        <v>-0.28893166506256024</v>
      </c>
      <c r="AB767" s="1">
        <f>A767</f>
        <v>45680</v>
      </c>
      <c r="AC767" s="2">
        <f>B767</f>
        <v>73.88</v>
      </c>
      <c r="AD767" s="2">
        <f>765</f>
        <v>765</v>
      </c>
      <c r="AE767" s="2">
        <f>INTERCEPT($AC$3:$AC$1136,$AD$3:$AD$1136)+SLOPE($AC$3:$AC$1136,$AD$3:$AD$1136)*AD767</f>
        <v>67.989916326570821</v>
      </c>
      <c r="AF767" s="2">
        <f t="shared" si="22"/>
        <v>70.641575926973516</v>
      </c>
      <c r="AG767" s="2">
        <f t="shared" si="23"/>
        <v>65.338256726168126</v>
      </c>
      <c r="AH767" s="22">
        <f>AC767-AE767</f>
        <v>5.8900836734291744</v>
      </c>
    </row>
    <row r="768" spans="1:34" x14ac:dyDescent="0.25">
      <c r="A768" s="1">
        <f>DATEVALUE(Sheet1!A767)</f>
        <v>45681</v>
      </c>
      <c r="B768" s="2">
        <f>VALUE(Sheet1!B767)</f>
        <v>73.86</v>
      </c>
      <c r="C768" s="9">
        <f>(B768-B767)/B767</f>
        <v>-2.7070925825657856E-4</v>
      </c>
      <c r="D768" s="2">
        <f>MAX(D767,B768)</f>
        <v>103.9</v>
      </c>
      <c r="E768" s="9">
        <f>(B768-D768)/D768</f>
        <v>-0.28912415784408091</v>
      </c>
      <c r="AB768" s="1">
        <f>A768</f>
        <v>45681</v>
      </c>
      <c r="AC768" s="2">
        <f>B768</f>
        <v>73.86</v>
      </c>
      <c r="AD768" s="2">
        <f>766</f>
        <v>766</v>
      </c>
      <c r="AE768" s="2">
        <f>INTERCEPT($AC$3:$AC$1136,$AD$3:$AD$1136)+SLOPE($AC$3:$AC$1136,$AD$3:$AD$1136)*AD768</f>
        <v>67.971204363158378</v>
      </c>
      <c r="AF768" s="2">
        <f t="shared" si="22"/>
        <v>70.622863963561073</v>
      </c>
      <c r="AG768" s="2">
        <f t="shared" si="23"/>
        <v>65.319544762755683</v>
      </c>
      <c r="AH768" s="22">
        <f>AC768-AE768</f>
        <v>5.8887956368416212</v>
      </c>
    </row>
    <row r="769" spans="1:34" x14ac:dyDescent="0.25">
      <c r="A769" s="1">
        <f>DATEVALUE(Sheet1!A768)</f>
        <v>45684</v>
      </c>
      <c r="B769" s="2">
        <f>VALUE(Sheet1!B768)</f>
        <v>74.040000000000006</v>
      </c>
      <c r="C769" s="9">
        <f>(B769-B768)/B768</f>
        <v>2.4370430544273874E-3</v>
      </c>
      <c r="D769" s="2">
        <f>MAX(D768,B769)</f>
        <v>103.9</v>
      </c>
      <c r="E769" s="9">
        <f>(B769-D769)/D769</f>
        <v>-0.2873917228103946</v>
      </c>
      <c r="AB769" s="1">
        <f>A769</f>
        <v>45684</v>
      </c>
      <c r="AC769" s="2">
        <f>B769</f>
        <v>74.040000000000006</v>
      </c>
      <c r="AD769" s="2">
        <f>767</f>
        <v>767</v>
      </c>
      <c r="AE769" s="2">
        <f>INTERCEPT($AC$3:$AC$1136,$AD$3:$AD$1136)+SLOPE($AC$3:$AC$1136,$AD$3:$AD$1136)*AD769</f>
        <v>67.952492399745935</v>
      </c>
      <c r="AF769" s="2">
        <f t="shared" si="22"/>
        <v>70.60415200014863</v>
      </c>
      <c r="AG769" s="2">
        <f t="shared" si="23"/>
        <v>65.30083279934324</v>
      </c>
      <c r="AH769" s="22">
        <f>AC769-AE769</f>
        <v>6.0875076002540709</v>
      </c>
    </row>
    <row r="770" spans="1:34" x14ac:dyDescent="0.25">
      <c r="A770" s="1">
        <f>DATEVALUE(Sheet1!A769)</f>
        <v>45685</v>
      </c>
      <c r="B770" s="2">
        <f>VALUE(Sheet1!B769)</f>
        <v>74.05</v>
      </c>
      <c r="C770" s="9">
        <f>(B770-B769)/B769</f>
        <v>1.3506212857902357E-4</v>
      </c>
      <c r="D770" s="2">
        <f>MAX(D769,B770)</f>
        <v>103.9</v>
      </c>
      <c r="E770" s="9">
        <f>(B770-D770)/D770</f>
        <v>-0.28729547641963432</v>
      </c>
      <c r="AB770" s="1">
        <f>A770</f>
        <v>45685</v>
      </c>
      <c r="AC770" s="2">
        <f>B770</f>
        <v>74.05</v>
      </c>
      <c r="AD770" s="2">
        <f>768</f>
        <v>768</v>
      </c>
      <c r="AE770" s="2">
        <f>INTERCEPT($AC$3:$AC$1136,$AD$3:$AD$1136)+SLOPE($AC$3:$AC$1136,$AD$3:$AD$1136)*AD770</f>
        <v>67.933780436333478</v>
      </c>
      <c r="AF770" s="2">
        <f t="shared" si="22"/>
        <v>70.585440036736173</v>
      </c>
      <c r="AG770" s="2">
        <f t="shared" si="23"/>
        <v>65.282120835930783</v>
      </c>
      <c r="AH770" s="22">
        <f>AC770-AE770</f>
        <v>6.1162195636665189</v>
      </c>
    </row>
    <row r="771" spans="1:34" x14ac:dyDescent="0.25">
      <c r="A771" s="1">
        <f>DATEVALUE(Sheet1!A770)</f>
        <v>45686</v>
      </c>
      <c r="B771" s="2">
        <f>VALUE(Sheet1!B770)</f>
        <v>74.489999999999995</v>
      </c>
      <c r="C771" s="9">
        <f>(B771-B770)/B770</f>
        <v>5.9419311276164444E-3</v>
      </c>
      <c r="D771" s="2">
        <f>MAX(D770,B771)</f>
        <v>103.9</v>
      </c>
      <c r="E771" s="9">
        <f>(B771-D771)/D771</f>
        <v>-0.28306063522617908</v>
      </c>
      <c r="AB771" s="1">
        <f>A771</f>
        <v>45686</v>
      </c>
      <c r="AC771" s="2">
        <f>B771</f>
        <v>74.489999999999995</v>
      </c>
      <c r="AD771" s="2">
        <f>769</f>
        <v>769</v>
      </c>
      <c r="AE771" s="2">
        <f>INTERCEPT($AC$3:$AC$1136,$AD$3:$AD$1136)+SLOPE($AC$3:$AC$1136,$AD$3:$AD$1136)*AD771</f>
        <v>67.915068472921035</v>
      </c>
      <c r="AF771" s="2">
        <f t="shared" si="22"/>
        <v>70.566728073323731</v>
      </c>
      <c r="AG771" s="2">
        <f t="shared" si="23"/>
        <v>65.26340887251834</v>
      </c>
      <c r="AH771" s="22">
        <f>AC771-AE771</f>
        <v>6.5749315270789594</v>
      </c>
    </row>
    <row r="772" spans="1:34" x14ac:dyDescent="0.25">
      <c r="A772" s="1">
        <f>DATEVALUE(Sheet1!A771)</f>
        <v>45687</v>
      </c>
      <c r="B772" s="2">
        <f>VALUE(Sheet1!B771)</f>
        <v>74.790000000000006</v>
      </c>
      <c r="C772" s="9">
        <f>(B772-B771)/B771</f>
        <v>4.027386226339259E-3</v>
      </c>
      <c r="D772" s="2">
        <f>MAX(D771,B772)</f>
        <v>103.9</v>
      </c>
      <c r="E772" s="9">
        <f>(B772-D772)/D772</f>
        <v>-0.28017324350336859</v>
      </c>
      <c r="AB772" s="1">
        <f>A772</f>
        <v>45687</v>
      </c>
      <c r="AC772" s="2">
        <f>B772</f>
        <v>74.790000000000006</v>
      </c>
      <c r="AD772" s="2">
        <f>770</f>
        <v>770</v>
      </c>
      <c r="AE772" s="2">
        <f>INTERCEPT($AC$3:$AC$1136,$AD$3:$AD$1136)+SLOPE($AC$3:$AC$1136,$AD$3:$AD$1136)*AD772</f>
        <v>67.896356509508593</v>
      </c>
      <c r="AF772" s="2">
        <f t="shared" ref="AF772:AF835" si="24">AE772+$AJ$5*$AJ$4</f>
        <v>70.548016109911288</v>
      </c>
      <c r="AG772" s="2">
        <f t="shared" ref="AG772:AG835" si="25">AE772-$AJ$5*$AJ$4</f>
        <v>65.244696909105897</v>
      </c>
      <c r="AH772" s="22">
        <f>AC772-AE772</f>
        <v>6.8936434904914137</v>
      </c>
    </row>
    <row r="773" spans="1:34" x14ac:dyDescent="0.25">
      <c r="A773" s="1">
        <f>DATEVALUE(Sheet1!A772)</f>
        <v>45688</v>
      </c>
      <c r="B773" s="2">
        <f>VALUE(Sheet1!B772)</f>
        <v>74.989999999999995</v>
      </c>
      <c r="C773" s="9">
        <f>(B773-B772)/B772</f>
        <v>2.6741542987028829E-3</v>
      </c>
      <c r="D773" s="2">
        <f>MAX(D772,B773)</f>
        <v>103.9</v>
      </c>
      <c r="E773" s="9">
        <f>(B773-D773)/D773</f>
        <v>-0.27824831568816177</v>
      </c>
      <c r="AB773" s="1">
        <f>A773</f>
        <v>45688</v>
      </c>
      <c r="AC773" s="2">
        <f>B773</f>
        <v>74.989999999999995</v>
      </c>
      <c r="AD773" s="2">
        <f>771</f>
        <v>771</v>
      </c>
      <c r="AE773" s="2">
        <f>INTERCEPT($AC$3:$AC$1136,$AD$3:$AD$1136)+SLOPE($AC$3:$AC$1136,$AD$3:$AD$1136)*AD773</f>
        <v>67.87764454609615</v>
      </c>
      <c r="AF773" s="2">
        <f t="shared" si="24"/>
        <v>70.529304146498845</v>
      </c>
      <c r="AG773" s="2">
        <f t="shared" si="25"/>
        <v>65.225984945693455</v>
      </c>
      <c r="AH773" s="22">
        <f>AC773-AE773</f>
        <v>7.1123554539038452</v>
      </c>
    </row>
    <row r="774" spans="1:34" x14ac:dyDescent="0.25">
      <c r="A774" s="1">
        <f>DATEVALUE(Sheet1!A773)</f>
        <v>45691</v>
      </c>
      <c r="B774" s="2">
        <f>VALUE(Sheet1!B773)</f>
        <v>75.319999999999993</v>
      </c>
      <c r="C774" s="9">
        <f>(B774-B773)/B773</f>
        <v>4.4005867448992974E-3</v>
      </c>
      <c r="D774" s="2">
        <f>MAX(D773,B774)</f>
        <v>103.9</v>
      </c>
      <c r="E774" s="9">
        <f>(B774-D774)/D774</f>
        <v>-0.27507218479307038</v>
      </c>
      <c r="AB774" s="1">
        <f>A774</f>
        <v>45691</v>
      </c>
      <c r="AC774" s="2">
        <f>B774</f>
        <v>75.319999999999993</v>
      </c>
      <c r="AD774" s="2">
        <f>772</f>
        <v>772</v>
      </c>
      <c r="AE774" s="2">
        <f>INTERCEPT($AC$3:$AC$1136,$AD$3:$AD$1136)+SLOPE($AC$3:$AC$1136,$AD$3:$AD$1136)*AD774</f>
        <v>67.858932582683693</v>
      </c>
      <c r="AF774" s="2">
        <f t="shared" si="24"/>
        <v>70.510592183086388</v>
      </c>
      <c r="AG774" s="2">
        <f t="shared" si="25"/>
        <v>65.207272982280998</v>
      </c>
      <c r="AH774" s="22">
        <f>AC774-AE774</f>
        <v>7.4610674173163005</v>
      </c>
    </row>
    <row r="775" spans="1:34" x14ac:dyDescent="0.25">
      <c r="A775" s="1">
        <f>DATEVALUE(Sheet1!A774)</f>
        <v>45692</v>
      </c>
      <c r="B775" s="2">
        <f>VALUE(Sheet1!B774)</f>
        <v>75.599999999999994</v>
      </c>
      <c r="C775" s="9">
        <f>(B775-B774)/B774</f>
        <v>3.7174721189591232E-3</v>
      </c>
      <c r="D775" s="2">
        <f>MAX(D774,B775)</f>
        <v>103.9</v>
      </c>
      <c r="E775" s="9">
        <f>(B775-D775)/D775</f>
        <v>-0.27237728585178067</v>
      </c>
      <c r="AB775" s="1">
        <f>A775</f>
        <v>45692</v>
      </c>
      <c r="AC775" s="2">
        <f>B775</f>
        <v>75.599999999999994</v>
      </c>
      <c r="AD775" s="2">
        <f>773</f>
        <v>773</v>
      </c>
      <c r="AE775" s="2">
        <f>INTERCEPT($AC$3:$AC$1136,$AD$3:$AD$1136)+SLOPE($AC$3:$AC$1136,$AD$3:$AD$1136)*AD775</f>
        <v>67.84022061927125</v>
      </c>
      <c r="AF775" s="2">
        <f t="shared" si="24"/>
        <v>70.491880219673945</v>
      </c>
      <c r="AG775" s="2">
        <f t="shared" si="25"/>
        <v>65.188561018868555</v>
      </c>
      <c r="AH775" s="22">
        <f>AC775-AE775</f>
        <v>7.7597793807287445</v>
      </c>
    </row>
    <row r="776" spans="1:34" x14ac:dyDescent="0.25">
      <c r="A776" s="1">
        <f>DATEVALUE(Sheet1!A775)</f>
        <v>45693</v>
      </c>
      <c r="B776" s="2">
        <f>VALUE(Sheet1!B775)</f>
        <v>76.040000000000006</v>
      </c>
      <c r="C776" s="9">
        <f>(B776-B775)/B775</f>
        <v>5.8201058201059787E-3</v>
      </c>
      <c r="D776" s="2">
        <f>MAX(D775,B776)</f>
        <v>103.9</v>
      </c>
      <c r="E776" s="9">
        <f>(B776-D776)/D776</f>
        <v>-0.26814244465832532</v>
      </c>
      <c r="AB776" s="1">
        <f>A776</f>
        <v>45693</v>
      </c>
      <c r="AC776" s="2">
        <f>B776</f>
        <v>76.040000000000006</v>
      </c>
      <c r="AD776" s="2">
        <f>774</f>
        <v>774</v>
      </c>
      <c r="AE776" s="2">
        <f>INTERCEPT($AC$3:$AC$1136,$AD$3:$AD$1136)+SLOPE($AC$3:$AC$1136,$AD$3:$AD$1136)*AD776</f>
        <v>67.821508655858807</v>
      </c>
      <c r="AF776" s="2">
        <f t="shared" si="24"/>
        <v>70.473168256261502</v>
      </c>
      <c r="AG776" s="2">
        <f t="shared" si="25"/>
        <v>65.169849055456112</v>
      </c>
      <c r="AH776" s="22">
        <f>AC776-AE776</f>
        <v>8.2184913441411993</v>
      </c>
    </row>
    <row r="777" spans="1:34" x14ac:dyDescent="0.25">
      <c r="A777" s="1">
        <f>DATEVALUE(Sheet1!A776)</f>
        <v>45694</v>
      </c>
      <c r="B777" s="2">
        <f>VALUE(Sheet1!B776)</f>
        <v>76.42</v>
      </c>
      <c r="C777" s="9">
        <f>(B777-B776)/B776</f>
        <v>4.9973698053655371E-3</v>
      </c>
      <c r="D777" s="2">
        <f>MAX(D776,B777)</f>
        <v>103.9</v>
      </c>
      <c r="E777" s="9">
        <f>(B777-D777)/D777</f>
        <v>-0.26448508180943214</v>
      </c>
      <c r="AB777" s="1">
        <f>A777</f>
        <v>45694</v>
      </c>
      <c r="AC777" s="2">
        <f>B777</f>
        <v>76.42</v>
      </c>
      <c r="AD777" s="2">
        <f>775</f>
        <v>775</v>
      </c>
      <c r="AE777" s="2">
        <f>INTERCEPT($AC$3:$AC$1136,$AD$3:$AD$1136)+SLOPE($AC$3:$AC$1136,$AD$3:$AD$1136)*AD777</f>
        <v>67.802796692446364</v>
      </c>
      <c r="AF777" s="2">
        <f t="shared" si="24"/>
        <v>70.454456292849059</v>
      </c>
      <c r="AG777" s="2">
        <f t="shared" si="25"/>
        <v>65.151137092043669</v>
      </c>
      <c r="AH777" s="22">
        <f>AC777-AE777</f>
        <v>8.6172033075536376</v>
      </c>
    </row>
    <row r="778" spans="1:34" x14ac:dyDescent="0.25">
      <c r="A778" s="1">
        <f>DATEVALUE(Sheet1!A777)</f>
        <v>45695</v>
      </c>
      <c r="B778" s="2">
        <f>VALUE(Sheet1!B777)</f>
        <v>77.239999999999995</v>
      </c>
      <c r="C778" s="9">
        <f>(B778-B777)/B777</f>
        <v>1.0730175346767772E-2</v>
      </c>
      <c r="D778" s="2">
        <f>MAX(D777,B778)</f>
        <v>103.9</v>
      </c>
      <c r="E778" s="9">
        <f>(B778-D778)/D778</f>
        <v>-0.25659287776708384</v>
      </c>
      <c r="AB778" s="1">
        <f>A778</f>
        <v>45695</v>
      </c>
      <c r="AC778" s="2">
        <f>B778</f>
        <v>77.239999999999995</v>
      </c>
      <c r="AD778" s="2">
        <f>776</f>
        <v>776</v>
      </c>
      <c r="AE778" s="2">
        <f>INTERCEPT($AC$3:$AC$1136,$AD$3:$AD$1136)+SLOPE($AC$3:$AC$1136,$AD$3:$AD$1136)*AD778</f>
        <v>67.784084729033907</v>
      </c>
      <c r="AF778" s="2">
        <f t="shared" si="24"/>
        <v>70.435744329436602</v>
      </c>
      <c r="AG778" s="2">
        <f t="shared" si="25"/>
        <v>65.132425128631212</v>
      </c>
      <c r="AH778" s="22">
        <f>AC778-AE778</f>
        <v>9.4559152709660879</v>
      </c>
    </row>
    <row r="779" spans="1:34" x14ac:dyDescent="0.25">
      <c r="A779" s="1">
        <f>DATEVALUE(Sheet1!A778)</f>
        <v>45698</v>
      </c>
      <c r="B779" s="2">
        <f>VALUE(Sheet1!B778)</f>
        <v>77.260000000000005</v>
      </c>
      <c r="C779" s="9">
        <f>(B779-B778)/B778</f>
        <v>2.5893319523576168E-4</v>
      </c>
      <c r="D779" s="2">
        <f>MAX(D778,B779)</f>
        <v>103.9</v>
      </c>
      <c r="E779" s="9">
        <f>(B779-D779)/D779</f>
        <v>-0.25640038498556306</v>
      </c>
      <c r="AB779" s="1">
        <f>A779</f>
        <v>45698</v>
      </c>
      <c r="AC779" s="2">
        <f>B779</f>
        <v>77.260000000000005</v>
      </c>
      <c r="AD779" s="2">
        <f>777</f>
        <v>777</v>
      </c>
      <c r="AE779" s="2">
        <f>INTERCEPT($AC$3:$AC$1136,$AD$3:$AD$1136)+SLOPE($AC$3:$AC$1136,$AD$3:$AD$1136)*AD779</f>
        <v>67.765372765621464</v>
      </c>
      <c r="AF779" s="2">
        <f t="shared" si="24"/>
        <v>70.417032366024159</v>
      </c>
      <c r="AG779" s="2">
        <f t="shared" si="25"/>
        <v>65.113713165218769</v>
      </c>
      <c r="AH779" s="22">
        <f>AC779-AE779</f>
        <v>9.4946272343785409</v>
      </c>
    </row>
    <row r="780" spans="1:34" x14ac:dyDescent="0.25">
      <c r="A780" s="1">
        <f>DATEVALUE(Sheet1!A779)</f>
        <v>45699</v>
      </c>
      <c r="B780" s="2">
        <f>VALUE(Sheet1!B779)</f>
        <v>77.959999999999994</v>
      </c>
      <c r="C780" s="9">
        <f>(B780-B779)/B779</f>
        <v>9.0603158167226073E-3</v>
      </c>
      <c r="D780" s="2">
        <f>MAX(D779,B780)</f>
        <v>103.9</v>
      </c>
      <c r="E780" s="9">
        <f>(B780-D780)/D780</f>
        <v>-0.24966313763233888</v>
      </c>
      <c r="AB780" s="1">
        <f>A780</f>
        <v>45699</v>
      </c>
      <c r="AC780" s="2">
        <f>B780</f>
        <v>77.959999999999994</v>
      </c>
      <c r="AD780" s="2">
        <f>778</f>
        <v>778</v>
      </c>
      <c r="AE780" s="2">
        <f>INTERCEPT($AC$3:$AC$1136,$AD$3:$AD$1136)+SLOPE($AC$3:$AC$1136,$AD$3:$AD$1136)*AD780</f>
        <v>67.746660802209021</v>
      </c>
      <c r="AF780" s="2">
        <f t="shared" si="24"/>
        <v>70.398320402611716</v>
      </c>
      <c r="AG780" s="2">
        <f t="shared" si="25"/>
        <v>65.095001201806326</v>
      </c>
      <c r="AH780" s="22">
        <f>AC780-AE780</f>
        <v>10.213339197790972</v>
      </c>
    </row>
    <row r="781" spans="1:34" x14ac:dyDescent="0.25">
      <c r="A781" s="1">
        <f>DATEVALUE(Sheet1!A780)</f>
        <v>45700</v>
      </c>
      <c r="B781" s="2">
        <f>VALUE(Sheet1!B780)</f>
        <v>79</v>
      </c>
      <c r="C781" s="9">
        <f>(B781-B780)/B780</f>
        <v>1.3340174448435176E-2</v>
      </c>
      <c r="D781" s="2">
        <f>MAX(D780,B781)</f>
        <v>103.9</v>
      </c>
      <c r="E781" s="9">
        <f>(B781-D781)/D781</f>
        <v>-0.23965351299326279</v>
      </c>
      <c r="AB781" s="1">
        <f>A781</f>
        <v>45700</v>
      </c>
      <c r="AC781" s="2">
        <f>B781</f>
        <v>79</v>
      </c>
      <c r="AD781" s="2">
        <f>779</f>
        <v>779</v>
      </c>
      <c r="AE781" s="2">
        <f>INTERCEPT($AC$3:$AC$1136,$AD$3:$AD$1136)+SLOPE($AC$3:$AC$1136,$AD$3:$AD$1136)*AD781</f>
        <v>67.727948838796578</v>
      </c>
      <c r="AF781" s="2">
        <f t="shared" si="24"/>
        <v>70.379608439199274</v>
      </c>
      <c r="AG781" s="2">
        <f t="shared" si="25"/>
        <v>65.076289238393883</v>
      </c>
      <c r="AH781" s="22">
        <f>AC781-AE781</f>
        <v>11.272051161203422</v>
      </c>
    </row>
    <row r="782" spans="1:34" x14ac:dyDescent="0.25">
      <c r="A782" s="1">
        <f>DATEVALUE(Sheet1!A781)</f>
        <v>45701</v>
      </c>
      <c r="B782" s="2">
        <f>VALUE(Sheet1!B781)</f>
        <v>79.12</v>
      </c>
      <c r="C782" s="9">
        <f>(B782-B781)/B781</f>
        <v>1.5189873417722096E-3</v>
      </c>
      <c r="D782" s="2">
        <f>MAX(D781,B782)</f>
        <v>103.9</v>
      </c>
      <c r="E782" s="9">
        <f>(B782-D782)/D782</f>
        <v>-0.2384985563041386</v>
      </c>
      <c r="AB782" s="1">
        <f>A782</f>
        <v>45701</v>
      </c>
      <c r="AC782" s="2">
        <f>B782</f>
        <v>79.12</v>
      </c>
      <c r="AD782" s="2">
        <f>780</f>
        <v>780</v>
      </c>
      <c r="AE782" s="2">
        <f>INTERCEPT($AC$3:$AC$1136,$AD$3:$AD$1136)+SLOPE($AC$3:$AC$1136,$AD$3:$AD$1136)*AD782</f>
        <v>67.709236875384121</v>
      </c>
      <c r="AF782" s="2">
        <f t="shared" si="24"/>
        <v>70.360896475786816</v>
      </c>
      <c r="AG782" s="2">
        <f t="shared" si="25"/>
        <v>65.057577274981426</v>
      </c>
      <c r="AH782" s="22">
        <f>AC782-AE782</f>
        <v>11.410763124615883</v>
      </c>
    </row>
    <row r="783" spans="1:34" x14ac:dyDescent="0.25">
      <c r="A783" s="1">
        <f>DATEVALUE(Sheet1!A782)</f>
        <v>45702</v>
      </c>
      <c r="B783" s="2">
        <f>VALUE(Sheet1!B782)</f>
        <v>79.86</v>
      </c>
      <c r="C783" s="9">
        <f>(B783-B782)/B782</f>
        <v>9.3528816986854762E-3</v>
      </c>
      <c r="D783" s="2">
        <f>MAX(D782,B783)</f>
        <v>103.9</v>
      </c>
      <c r="E783" s="9">
        <f>(B783-D783)/D783</f>
        <v>-0.23137632338787301</v>
      </c>
      <c r="AB783" s="1">
        <f>A783</f>
        <v>45702</v>
      </c>
      <c r="AC783" s="2">
        <f>B783</f>
        <v>79.86</v>
      </c>
      <c r="AD783" s="2">
        <f>781</f>
        <v>781</v>
      </c>
      <c r="AE783" s="2">
        <f>INTERCEPT($AC$3:$AC$1136,$AD$3:$AD$1136)+SLOPE($AC$3:$AC$1136,$AD$3:$AD$1136)*AD783</f>
        <v>67.690524911971679</v>
      </c>
      <c r="AF783" s="2">
        <f t="shared" si="24"/>
        <v>70.342184512374374</v>
      </c>
      <c r="AG783" s="2">
        <f t="shared" si="25"/>
        <v>65.038865311568983</v>
      </c>
      <c r="AH783" s="22">
        <f>AC783-AE783</f>
        <v>12.169475088028321</v>
      </c>
    </row>
    <row r="784" spans="1:34" x14ac:dyDescent="0.25">
      <c r="A784" s="1">
        <f>DATEVALUE(Sheet1!A783)</f>
        <v>45705</v>
      </c>
      <c r="B784" s="2">
        <f>VALUE(Sheet1!B783)</f>
        <v>79.62</v>
      </c>
      <c r="C784" s="9">
        <f>(B784-B783)/B783</f>
        <v>-3.005259203606247E-3</v>
      </c>
      <c r="D784" s="2">
        <f>MAX(D783,B784)</f>
        <v>103.9</v>
      </c>
      <c r="E784" s="9">
        <f>(B784-D784)/D784</f>
        <v>-0.23368623676612127</v>
      </c>
      <c r="AB784" s="1">
        <f>A784</f>
        <v>45705</v>
      </c>
      <c r="AC784" s="2">
        <f>B784</f>
        <v>79.62</v>
      </c>
      <c r="AD784" s="2">
        <f>782</f>
        <v>782</v>
      </c>
      <c r="AE784" s="2">
        <f>INTERCEPT($AC$3:$AC$1136,$AD$3:$AD$1136)+SLOPE($AC$3:$AC$1136,$AD$3:$AD$1136)*AD784</f>
        <v>67.671812948559236</v>
      </c>
      <c r="AF784" s="2">
        <f t="shared" si="24"/>
        <v>70.323472548961931</v>
      </c>
      <c r="AG784" s="2">
        <f t="shared" si="25"/>
        <v>65.020153348156541</v>
      </c>
      <c r="AH784" s="22">
        <f>AC784-AE784</f>
        <v>11.948187051440769</v>
      </c>
    </row>
    <row r="785" spans="1:34" x14ac:dyDescent="0.25">
      <c r="A785" s="1">
        <f>DATEVALUE(Sheet1!A784)</f>
        <v>45706</v>
      </c>
      <c r="B785" s="2">
        <f>VALUE(Sheet1!B784)</f>
        <v>78.91</v>
      </c>
      <c r="C785" s="9">
        <f>(B785-B784)/B784</f>
        <v>-8.9173574478775171E-3</v>
      </c>
      <c r="D785" s="2">
        <f>MAX(D784,B785)</f>
        <v>103.9</v>
      </c>
      <c r="E785" s="9">
        <f>(B785-D785)/D785</f>
        <v>-0.24051973051010594</v>
      </c>
      <c r="AB785" s="1">
        <f>A785</f>
        <v>45706</v>
      </c>
      <c r="AC785" s="2">
        <f>B785</f>
        <v>78.91</v>
      </c>
      <c r="AD785" s="2">
        <f>783</f>
        <v>783</v>
      </c>
      <c r="AE785" s="2">
        <f>INTERCEPT($AC$3:$AC$1136,$AD$3:$AD$1136)+SLOPE($AC$3:$AC$1136,$AD$3:$AD$1136)*AD785</f>
        <v>67.653100985146779</v>
      </c>
      <c r="AF785" s="2">
        <f t="shared" si="24"/>
        <v>70.304760585549474</v>
      </c>
      <c r="AG785" s="2">
        <f t="shared" si="25"/>
        <v>65.001441384744084</v>
      </c>
      <c r="AH785" s="22">
        <f>AC785-AE785</f>
        <v>11.256899014853218</v>
      </c>
    </row>
    <row r="786" spans="1:34" x14ac:dyDescent="0.25">
      <c r="A786" s="1">
        <f>DATEVALUE(Sheet1!A785)</f>
        <v>45707</v>
      </c>
      <c r="B786" s="2">
        <f>VALUE(Sheet1!B785)</f>
        <v>81.260000000000005</v>
      </c>
      <c r="C786" s="9">
        <f>(B786-B785)/B785</f>
        <v>2.9780762894436808E-2</v>
      </c>
      <c r="D786" s="2">
        <f>MAX(D785,B786)</f>
        <v>103.9</v>
      </c>
      <c r="E786" s="9">
        <f>(B786-D786)/D786</f>
        <v>-0.21790182868142444</v>
      </c>
      <c r="AB786" s="1">
        <f>A786</f>
        <v>45707</v>
      </c>
      <c r="AC786" s="2">
        <f>B786</f>
        <v>81.260000000000005</v>
      </c>
      <c r="AD786" s="2">
        <f>784</f>
        <v>784</v>
      </c>
      <c r="AE786" s="2">
        <f>INTERCEPT($AC$3:$AC$1136,$AD$3:$AD$1136)+SLOPE($AC$3:$AC$1136,$AD$3:$AD$1136)*AD786</f>
        <v>67.634389021734336</v>
      </c>
      <c r="AF786" s="2">
        <f t="shared" si="24"/>
        <v>70.286048622137031</v>
      </c>
      <c r="AG786" s="2">
        <f t="shared" si="25"/>
        <v>64.982729421331641</v>
      </c>
      <c r="AH786" s="22">
        <f>AC786-AE786</f>
        <v>13.625610978265669</v>
      </c>
    </row>
    <row r="787" spans="1:34" x14ac:dyDescent="0.25">
      <c r="A787" s="1">
        <f>DATEVALUE(Sheet1!A786)</f>
        <v>45708</v>
      </c>
      <c r="B787" s="2">
        <f>VALUE(Sheet1!B786)</f>
        <v>83.62</v>
      </c>
      <c r="C787" s="9">
        <f>(B787-B786)/B786</f>
        <v>2.9042579374846163E-2</v>
      </c>
      <c r="D787" s="2">
        <f>MAX(D786,B787)</f>
        <v>103.9</v>
      </c>
      <c r="E787" s="9">
        <f>(B787-D787)/D787</f>
        <v>-0.19518768046198268</v>
      </c>
      <c r="AB787" s="1">
        <f>A787</f>
        <v>45708</v>
      </c>
      <c r="AC787" s="2">
        <f>B787</f>
        <v>83.62</v>
      </c>
      <c r="AD787" s="2">
        <f>785</f>
        <v>785</v>
      </c>
      <c r="AE787" s="2">
        <f>INTERCEPT($AC$3:$AC$1136,$AD$3:$AD$1136)+SLOPE($AC$3:$AC$1136,$AD$3:$AD$1136)*AD787</f>
        <v>67.615677058321893</v>
      </c>
      <c r="AF787" s="2">
        <f t="shared" si="24"/>
        <v>70.267336658724588</v>
      </c>
      <c r="AG787" s="2">
        <f t="shared" si="25"/>
        <v>64.964017457919198</v>
      </c>
      <c r="AH787" s="22">
        <f>AC787-AE787</f>
        <v>16.004322941678112</v>
      </c>
    </row>
    <row r="788" spans="1:34" x14ac:dyDescent="0.25">
      <c r="A788" s="1">
        <f>DATEVALUE(Sheet1!A787)</f>
        <v>45709</v>
      </c>
      <c r="B788" s="2">
        <f>VALUE(Sheet1!B787)</f>
        <v>84.19</v>
      </c>
      <c r="C788" s="9">
        <f>(B788-B787)/B787</f>
        <v>6.8165510643385932E-3</v>
      </c>
      <c r="D788" s="2">
        <f>MAX(D787,B788)</f>
        <v>103.9</v>
      </c>
      <c r="E788" s="9">
        <f>(B788-D788)/D788</f>
        <v>-0.189701636188643</v>
      </c>
      <c r="AB788" s="1">
        <f>A788</f>
        <v>45709</v>
      </c>
      <c r="AC788" s="2">
        <f>B788</f>
        <v>84.19</v>
      </c>
      <c r="AD788" s="2">
        <f>786</f>
        <v>786</v>
      </c>
      <c r="AE788" s="2">
        <f>INTERCEPT($AC$3:$AC$1136,$AD$3:$AD$1136)+SLOPE($AC$3:$AC$1136,$AD$3:$AD$1136)*AD788</f>
        <v>67.59696509490945</v>
      </c>
      <c r="AF788" s="2">
        <f t="shared" si="24"/>
        <v>70.248624695312145</v>
      </c>
      <c r="AG788" s="2">
        <f t="shared" si="25"/>
        <v>64.945305494506755</v>
      </c>
      <c r="AH788" s="22">
        <f>AC788-AE788</f>
        <v>16.593034905090548</v>
      </c>
    </row>
    <row r="789" spans="1:34" x14ac:dyDescent="0.25">
      <c r="A789" s="1">
        <f>DATEVALUE(Sheet1!A788)</f>
        <v>45712</v>
      </c>
      <c r="B789" s="2">
        <f>VALUE(Sheet1!B788)</f>
        <v>84.85</v>
      </c>
      <c r="C789" s="9">
        <f>(B789-B788)/B788</f>
        <v>7.8394108563962055E-3</v>
      </c>
      <c r="D789" s="2">
        <f>MAX(D788,B789)</f>
        <v>103.9</v>
      </c>
      <c r="E789" s="9">
        <f>(B789-D789)/D789</f>
        <v>-0.18334937439846016</v>
      </c>
      <c r="AB789" s="1">
        <f>A789</f>
        <v>45712</v>
      </c>
      <c r="AC789" s="2">
        <f>B789</f>
        <v>84.85</v>
      </c>
      <c r="AD789" s="2">
        <f>787</f>
        <v>787</v>
      </c>
      <c r="AE789" s="2">
        <f>INTERCEPT($AC$3:$AC$1136,$AD$3:$AD$1136)+SLOPE($AC$3:$AC$1136,$AD$3:$AD$1136)*AD789</f>
        <v>67.578253131496993</v>
      </c>
      <c r="AF789" s="2">
        <f t="shared" si="24"/>
        <v>70.229912731899688</v>
      </c>
      <c r="AG789" s="2">
        <f t="shared" si="25"/>
        <v>64.926593531094298</v>
      </c>
      <c r="AH789" s="22">
        <f>AC789-AE789</f>
        <v>17.271746868503001</v>
      </c>
    </row>
    <row r="790" spans="1:34" x14ac:dyDescent="0.25">
      <c r="A790" s="1">
        <f>DATEVALUE(Sheet1!A789)</f>
        <v>45713</v>
      </c>
      <c r="B790" s="2">
        <f>VALUE(Sheet1!B789)</f>
        <v>86.67</v>
      </c>
      <c r="C790" s="9">
        <f>(B790-B789)/B789</f>
        <v>2.1449616971125605E-2</v>
      </c>
      <c r="D790" s="2">
        <f>MAX(D789,B790)</f>
        <v>103.9</v>
      </c>
      <c r="E790" s="9">
        <f>(B790-D790)/D790</f>
        <v>-0.16583253128007702</v>
      </c>
      <c r="AB790" s="1">
        <f>A790</f>
        <v>45713</v>
      </c>
      <c r="AC790" s="2">
        <f>B790</f>
        <v>86.67</v>
      </c>
      <c r="AD790" s="2">
        <f>788</f>
        <v>788</v>
      </c>
      <c r="AE790" s="2">
        <f>INTERCEPT($AC$3:$AC$1136,$AD$3:$AD$1136)+SLOPE($AC$3:$AC$1136,$AD$3:$AD$1136)*AD790</f>
        <v>67.55954116808455</v>
      </c>
      <c r="AF790" s="2">
        <f t="shared" si="24"/>
        <v>70.211200768487245</v>
      </c>
      <c r="AG790" s="2">
        <f t="shared" si="25"/>
        <v>64.907881567681855</v>
      </c>
      <c r="AH790" s="22">
        <f>AC790-AE790</f>
        <v>19.110458831915452</v>
      </c>
    </row>
    <row r="791" spans="1:34" x14ac:dyDescent="0.25">
      <c r="A791" s="1">
        <f>DATEVALUE(Sheet1!A790)</f>
        <v>45714</v>
      </c>
      <c r="B791" s="2">
        <f>VALUE(Sheet1!B790)</f>
        <v>87.18</v>
      </c>
      <c r="C791" s="9">
        <f>(B791-B790)/B790</f>
        <v>5.8843890619592141E-3</v>
      </c>
      <c r="D791" s="2">
        <f>MAX(D790,B791)</f>
        <v>103.9</v>
      </c>
      <c r="E791" s="9">
        <f>(B791-D791)/D791</f>
        <v>-0.1609239653512993</v>
      </c>
      <c r="AB791" s="1">
        <f>A791</f>
        <v>45714</v>
      </c>
      <c r="AC791" s="2">
        <f>B791</f>
        <v>87.18</v>
      </c>
      <c r="AD791" s="2">
        <f>789</f>
        <v>789</v>
      </c>
      <c r="AE791" s="2">
        <f>INTERCEPT($AC$3:$AC$1136,$AD$3:$AD$1136)+SLOPE($AC$3:$AC$1136,$AD$3:$AD$1136)*AD791</f>
        <v>67.540829204672107</v>
      </c>
      <c r="AF791" s="2">
        <f t="shared" si="24"/>
        <v>70.192488805074802</v>
      </c>
      <c r="AG791" s="2">
        <f t="shared" si="25"/>
        <v>64.889169604269412</v>
      </c>
      <c r="AH791" s="22">
        <f>AC791-AE791</f>
        <v>19.6391707953279</v>
      </c>
    </row>
    <row r="792" spans="1:34" x14ac:dyDescent="0.25">
      <c r="A792" s="1">
        <f>DATEVALUE(Sheet1!A791)</f>
        <v>45715</v>
      </c>
      <c r="B792" s="2">
        <f>VALUE(Sheet1!B791)</f>
        <v>87.68</v>
      </c>
      <c r="C792" s="9">
        <f>(B792-B791)/B791</f>
        <v>5.7352603808212893E-3</v>
      </c>
      <c r="D792" s="2">
        <f>MAX(D791,B792)</f>
        <v>103.9</v>
      </c>
      <c r="E792" s="9">
        <f>(B792-D792)/D792</f>
        <v>-0.15611164581328199</v>
      </c>
      <c r="AB792" s="1">
        <f>A792</f>
        <v>45715</v>
      </c>
      <c r="AC792" s="2">
        <f>B792</f>
        <v>87.68</v>
      </c>
      <c r="AD792" s="2">
        <f>790</f>
        <v>790</v>
      </c>
      <c r="AE792" s="2">
        <f>INTERCEPT($AC$3:$AC$1136,$AD$3:$AD$1136)+SLOPE($AC$3:$AC$1136,$AD$3:$AD$1136)*AD792</f>
        <v>67.52211724125965</v>
      </c>
      <c r="AF792" s="2">
        <f t="shared" si="24"/>
        <v>70.173776841662345</v>
      </c>
      <c r="AG792" s="2">
        <f t="shared" si="25"/>
        <v>64.870457640856955</v>
      </c>
      <c r="AH792" s="22">
        <f>AC792-AE792</f>
        <v>20.157882758740357</v>
      </c>
    </row>
    <row r="793" spans="1:34" x14ac:dyDescent="0.25">
      <c r="A793" s="1">
        <f>DATEVALUE(Sheet1!A792)</f>
        <v>45716</v>
      </c>
      <c r="B793" s="2">
        <f>VALUE(Sheet1!B792)</f>
        <v>87.49</v>
      </c>
      <c r="C793" s="9">
        <f>(B793-B792)/B792</f>
        <v>-2.1669708029198442E-3</v>
      </c>
      <c r="D793" s="2">
        <f>MAX(D792,B793)</f>
        <v>103.9</v>
      </c>
      <c r="E793" s="9">
        <f>(B793-D793)/D793</f>
        <v>-0.15794032723772869</v>
      </c>
      <c r="AB793" s="1">
        <f>A793</f>
        <v>45716</v>
      </c>
      <c r="AC793" s="2">
        <f>B793</f>
        <v>87.49</v>
      </c>
      <c r="AD793" s="2">
        <f>791</f>
        <v>791</v>
      </c>
      <c r="AE793" s="2">
        <f>INTERCEPT($AC$3:$AC$1136,$AD$3:$AD$1136)+SLOPE($AC$3:$AC$1136,$AD$3:$AD$1136)*AD793</f>
        <v>67.503405277847207</v>
      </c>
      <c r="AF793" s="2">
        <f t="shared" si="24"/>
        <v>70.155064878249902</v>
      </c>
      <c r="AG793" s="2">
        <f t="shared" si="25"/>
        <v>64.851745677444512</v>
      </c>
      <c r="AH793" s="22">
        <f>AC793-AE793</f>
        <v>19.986594722152788</v>
      </c>
    </row>
    <row r="794" spans="1:34" x14ac:dyDescent="0.25">
      <c r="A794" s="1">
        <f>DATEVALUE(Sheet1!A793)</f>
        <v>45721</v>
      </c>
      <c r="B794" s="2">
        <f>VALUE(Sheet1!B793)</f>
        <v>87.67</v>
      </c>
      <c r="C794" s="9">
        <f>(B794-B793)/B793</f>
        <v>2.0573779860556273E-3</v>
      </c>
      <c r="D794" s="2">
        <f>MAX(D793,B794)</f>
        <v>103.9</v>
      </c>
      <c r="E794" s="9">
        <f>(B794-D794)/D794</f>
        <v>-0.15620789220404238</v>
      </c>
      <c r="AB794" s="1">
        <f>A794</f>
        <v>45721</v>
      </c>
      <c r="AC794" s="2">
        <f>B794</f>
        <v>87.67</v>
      </c>
      <c r="AD794" s="2">
        <f>792</f>
        <v>792</v>
      </c>
      <c r="AE794" s="2">
        <f>INTERCEPT($AC$3:$AC$1136,$AD$3:$AD$1136)+SLOPE($AC$3:$AC$1136,$AD$3:$AD$1136)*AD794</f>
        <v>67.484693314434764</v>
      </c>
      <c r="AF794" s="2">
        <f t="shared" si="24"/>
        <v>70.13635291483746</v>
      </c>
      <c r="AG794" s="2">
        <f t="shared" si="25"/>
        <v>64.833033714032069</v>
      </c>
      <c r="AH794" s="22">
        <f>AC794-AE794</f>
        <v>20.185306685565237</v>
      </c>
    </row>
    <row r="795" spans="1:34" x14ac:dyDescent="0.25">
      <c r="A795" s="1">
        <f>DATEVALUE(Sheet1!A794)</f>
        <v>45722</v>
      </c>
      <c r="B795" s="2">
        <f>VALUE(Sheet1!B794)</f>
        <v>87.85</v>
      </c>
      <c r="C795" s="9">
        <f>(B795-B794)/B794</f>
        <v>2.0531538724762473E-3</v>
      </c>
      <c r="D795" s="2">
        <f>MAX(D794,B795)</f>
        <v>103.9</v>
      </c>
      <c r="E795" s="9">
        <f>(B795-D795)/D795</f>
        <v>-0.15447545717035621</v>
      </c>
      <c r="AB795" s="1">
        <f>A795</f>
        <v>45722</v>
      </c>
      <c r="AC795" s="2">
        <f>B795</f>
        <v>87.85</v>
      </c>
      <c r="AD795" s="2">
        <f>793</f>
        <v>793</v>
      </c>
      <c r="AE795" s="2">
        <f>INTERCEPT($AC$3:$AC$1136,$AD$3:$AD$1136)+SLOPE($AC$3:$AC$1136,$AD$3:$AD$1136)*AD795</f>
        <v>67.465981351022322</v>
      </c>
      <c r="AF795" s="2">
        <f t="shared" si="24"/>
        <v>70.117640951425017</v>
      </c>
      <c r="AG795" s="2">
        <f t="shared" si="25"/>
        <v>64.814321750619627</v>
      </c>
      <c r="AH795" s="22">
        <f>AC795-AE795</f>
        <v>20.384018648977673</v>
      </c>
    </row>
    <row r="796" spans="1:34" x14ac:dyDescent="0.25">
      <c r="A796" s="1">
        <f>DATEVALUE(Sheet1!A795)</f>
        <v>45723</v>
      </c>
      <c r="B796" s="2">
        <f>VALUE(Sheet1!B795)</f>
        <v>88.71</v>
      </c>
      <c r="C796" s="9">
        <f>(B796-B795)/B795</f>
        <v>9.7894137734775132E-3</v>
      </c>
      <c r="D796" s="2">
        <f>MAX(D795,B796)</f>
        <v>103.9</v>
      </c>
      <c r="E796" s="9">
        <f>(B796-D796)/D796</f>
        <v>-0.14619826756496643</v>
      </c>
      <c r="AB796" s="1">
        <f>A796</f>
        <v>45723</v>
      </c>
      <c r="AC796" s="2">
        <f>B796</f>
        <v>88.71</v>
      </c>
      <c r="AD796" s="2">
        <f>794</f>
        <v>794</v>
      </c>
      <c r="AE796" s="2">
        <f>INTERCEPT($AC$3:$AC$1136,$AD$3:$AD$1136)+SLOPE($AC$3:$AC$1136,$AD$3:$AD$1136)*AD796</f>
        <v>67.447269387609879</v>
      </c>
      <c r="AF796" s="2">
        <f t="shared" si="24"/>
        <v>70.098928988012574</v>
      </c>
      <c r="AG796" s="2">
        <f t="shared" si="25"/>
        <v>64.795609787207184</v>
      </c>
      <c r="AH796" s="22">
        <f>AC796-AE796</f>
        <v>21.262730612390115</v>
      </c>
    </row>
    <row r="797" spans="1:34" x14ac:dyDescent="0.25">
      <c r="A797" s="1">
        <f>DATEVALUE(Sheet1!A796)</f>
        <v>45726</v>
      </c>
      <c r="B797" s="2">
        <f>VALUE(Sheet1!B796)</f>
        <v>88.52</v>
      </c>
      <c r="C797" s="9">
        <f>(B797-B796)/B796</f>
        <v>-2.1418103934167259E-3</v>
      </c>
      <c r="D797" s="2">
        <f>MAX(D796,B797)</f>
        <v>103.9</v>
      </c>
      <c r="E797" s="9">
        <f>(B797-D797)/D797</f>
        <v>-0.14802694898941299</v>
      </c>
      <c r="AB797" s="1">
        <f>A797</f>
        <v>45726</v>
      </c>
      <c r="AC797" s="2">
        <f>B797</f>
        <v>88.52</v>
      </c>
      <c r="AD797" s="2">
        <f>795</f>
        <v>795</v>
      </c>
      <c r="AE797" s="2">
        <f>INTERCEPT($AC$3:$AC$1136,$AD$3:$AD$1136)+SLOPE($AC$3:$AC$1136,$AD$3:$AD$1136)*AD797</f>
        <v>67.428557424197422</v>
      </c>
      <c r="AF797" s="2">
        <f t="shared" si="24"/>
        <v>70.080217024600117</v>
      </c>
      <c r="AG797" s="2">
        <f t="shared" si="25"/>
        <v>64.776897823794727</v>
      </c>
      <c r="AH797" s="22">
        <f>AC797-AE797</f>
        <v>21.091442575802574</v>
      </c>
    </row>
    <row r="798" spans="1:34" x14ac:dyDescent="0.25">
      <c r="A798" s="1">
        <f>DATEVALUE(Sheet1!A797)</f>
        <v>45727</v>
      </c>
      <c r="B798" s="2">
        <f>VALUE(Sheet1!B797)</f>
        <v>89.08</v>
      </c>
      <c r="C798" s="9">
        <f>(B798-B797)/B797</f>
        <v>6.3262539539087476E-3</v>
      </c>
      <c r="D798" s="2">
        <f>MAX(D797,B798)</f>
        <v>103.9</v>
      </c>
      <c r="E798" s="9">
        <f>(B798-D798)/D798</f>
        <v>-0.14263715110683356</v>
      </c>
      <c r="AB798" s="1">
        <f>A798</f>
        <v>45727</v>
      </c>
      <c r="AC798" s="2">
        <f>B798</f>
        <v>89.08</v>
      </c>
      <c r="AD798" s="2">
        <f>796</f>
        <v>796</v>
      </c>
      <c r="AE798" s="2">
        <f>INTERCEPT($AC$3:$AC$1136,$AD$3:$AD$1136)+SLOPE($AC$3:$AC$1136,$AD$3:$AD$1136)*AD798</f>
        <v>67.409845460784979</v>
      </c>
      <c r="AF798" s="2">
        <f t="shared" si="24"/>
        <v>70.061505061187674</v>
      </c>
      <c r="AG798" s="2">
        <f t="shared" si="25"/>
        <v>64.758185860382284</v>
      </c>
      <c r="AH798" s="22">
        <f>AC798-AE798</f>
        <v>21.670154539215019</v>
      </c>
    </row>
    <row r="799" spans="1:34" x14ac:dyDescent="0.25">
      <c r="A799" s="1">
        <f>DATEVALUE(Sheet1!A798)</f>
        <v>45728</v>
      </c>
      <c r="B799" s="2">
        <f>VALUE(Sheet1!B798)</f>
        <v>89.39</v>
      </c>
      <c r="C799" s="9">
        <f>(B799-B798)/B798</f>
        <v>3.4800179613830519E-3</v>
      </c>
      <c r="D799" s="2">
        <f>MAX(D798,B799)</f>
        <v>103.9</v>
      </c>
      <c r="E799" s="9">
        <f>(B799-D799)/D799</f>
        <v>-0.13965351299326279</v>
      </c>
      <c r="AB799" s="1">
        <f>A799</f>
        <v>45728</v>
      </c>
      <c r="AC799" s="2">
        <f>B799</f>
        <v>89.39</v>
      </c>
      <c r="AD799" s="2">
        <f>797</f>
        <v>797</v>
      </c>
      <c r="AE799" s="2">
        <f>INTERCEPT($AC$3:$AC$1136,$AD$3:$AD$1136)+SLOPE($AC$3:$AC$1136,$AD$3:$AD$1136)*AD799</f>
        <v>67.391133497372536</v>
      </c>
      <c r="AF799" s="2">
        <f t="shared" si="24"/>
        <v>70.042793097775231</v>
      </c>
      <c r="AG799" s="2">
        <f t="shared" si="25"/>
        <v>64.739473896969841</v>
      </c>
      <c r="AH799" s="22">
        <f>AC799-AE799</f>
        <v>21.998866502627465</v>
      </c>
    </row>
    <row r="800" spans="1:34" x14ac:dyDescent="0.25">
      <c r="A800" s="1">
        <f>DATEVALUE(Sheet1!A799)</f>
        <v>45729</v>
      </c>
      <c r="B800" s="2">
        <f>VALUE(Sheet1!B799)</f>
        <v>89.88</v>
      </c>
      <c r="C800" s="9">
        <f>(B800-B799)/B799</f>
        <v>5.4815974941268024E-3</v>
      </c>
      <c r="D800" s="2">
        <f>MAX(D799,B800)</f>
        <v>103.9</v>
      </c>
      <c r="E800" s="9">
        <f>(B800-D800)/D800</f>
        <v>-0.13493743984600587</v>
      </c>
      <c r="AB800" s="1">
        <f>A800</f>
        <v>45729</v>
      </c>
      <c r="AC800" s="2">
        <f>B800</f>
        <v>89.88</v>
      </c>
      <c r="AD800" s="2">
        <f>798</f>
        <v>798</v>
      </c>
      <c r="AE800" s="2">
        <f>INTERCEPT($AC$3:$AC$1136,$AD$3:$AD$1136)+SLOPE($AC$3:$AC$1136,$AD$3:$AD$1136)*AD800</f>
        <v>67.372421533960079</v>
      </c>
      <c r="AF800" s="2">
        <f t="shared" si="24"/>
        <v>70.024081134362774</v>
      </c>
      <c r="AG800" s="2">
        <f t="shared" si="25"/>
        <v>64.720761933557384</v>
      </c>
      <c r="AH800" s="22">
        <f>AC800-AE800</f>
        <v>22.507578466039917</v>
      </c>
    </row>
    <row r="801" spans="1:34" x14ac:dyDescent="0.25">
      <c r="A801" s="1">
        <f>DATEVALUE(Sheet1!A800)</f>
        <v>45730</v>
      </c>
      <c r="B801" s="2">
        <f>VALUE(Sheet1!B800)</f>
        <v>89.83</v>
      </c>
      <c r="C801" s="9">
        <f>(B801-B800)/B800</f>
        <v>-5.5629728526921632E-4</v>
      </c>
      <c r="D801" s="2">
        <f>MAX(D800,B801)</f>
        <v>103.9</v>
      </c>
      <c r="E801" s="9">
        <f>(B801-D801)/D801</f>
        <v>-0.13541867179980757</v>
      </c>
      <c r="AB801" s="1">
        <f>A801</f>
        <v>45730</v>
      </c>
      <c r="AC801" s="2">
        <f>B801</f>
        <v>89.83</v>
      </c>
      <c r="AD801" s="2">
        <f>799</f>
        <v>799</v>
      </c>
      <c r="AE801" s="2">
        <f>INTERCEPT($AC$3:$AC$1136,$AD$3:$AD$1136)+SLOPE($AC$3:$AC$1136,$AD$3:$AD$1136)*AD801</f>
        <v>67.353709570547636</v>
      </c>
      <c r="AF801" s="2">
        <f t="shared" si="24"/>
        <v>70.005369170950331</v>
      </c>
      <c r="AG801" s="2">
        <f t="shared" si="25"/>
        <v>64.702049970144941</v>
      </c>
      <c r="AH801" s="22">
        <f>AC801-AE801</f>
        <v>22.476290429452362</v>
      </c>
    </row>
    <row r="802" spans="1:34" x14ac:dyDescent="0.25">
      <c r="A802" s="1">
        <f>DATEVALUE(Sheet1!A801)</f>
        <v>45733</v>
      </c>
      <c r="B802" s="2">
        <f>VALUE(Sheet1!B801)</f>
        <v>90.26</v>
      </c>
      <c r="C802" s="9">
        <f>(B802-B801)/B801</f>
        <v>4.7868195480352538E-3</v>
      </c>
      <c r="D802" s="2">
        <f>MAX(D801,B802)</f>
        <v>103.9</v>
      </c>
      <c r="E802" s="9">
        <f>(B802-D802)/D802</f>
        <v>-0.13128007699711261</v>
      </c>
      <c r="AB802" s="1">
        <f>A802</f>
        <v>45733</v>
      </c>
      <c r="AC802" s="2">
        <f>B802</f>
        <v>90.26</v>
      </c>
      <c r="AD802" s="2">
        <f>800</f>
        <v>800</v>
      </c>
      <c r="AE802" s="2">
        <f>INTERCEPT($AC$3:$AC$1136,$AD$3:$AD$1136)+SLOPE($AC$3:$AC$1136,$AD$3:$AD$1136)*AD802</f>
        <v>67.334997607135193</v>
      </c>
      <c r="AF802" s="2">
        <f t="shared" si="24"/>
        <v>69.986657207537888</v>
      </c>
      <c r="AG802" s="2">
        <f t="shared" si="25"/>
        <v>64.683338006732498</v>
      </c>
      <c r="AH802" s="22">
        <f>AC802-AE802</f>
        <v>22.925002392864812</v>
      </c>
    </row>
    <row r="803" spans="1:34" x14ac:dyDescent="0.25">
      <c r="A803" s="1">
        <f>DATEVALUE(Sheet1!A802)</f>
        <v>45734</v>
      </c>
      <c r="B803" s="2">
        <f>VALUE(Sheet1!B802)</f>
        <v>90.33</v>
      </c>
      <c r="C803" s="9">
        <f>(B803-B802)/B802</f>
        <v>7.7553733658312842E-4</v>
      </c>
      <c r="D803" s="2">
        <f>MAX(D802,B803)</f>
        <v>103.9</v>
      </c>
      <c r="E803" s="9">
        <f>(B803-D803)/D803</f>
        <v>-0.13060635226179024</v>
      </c>
      <c r="AB803" s="1">
        <f>A803</f>
        <v>45734</v>
      </c>
      <c r="AC803" s="2">
        <f>B803</f>
        <v>90.33</v>
      </c>
      <c r="AD803" s="2">
        <f>801</f>
        <v>801</v>
      </c>
      <c r="AE803" s="2">
        <f>INTERCEPT($AC$3:$AC$1136,$AD$3:$AD$1136)+SLOPE($AC$3:$AC$1136,$AD$3:$AD$1136)*AD803</f>
        <v>67.31628564372275</v>
      </c>
      <c r="AF803" s="2">
        <f t="shared" si="24"/>
        <v>69.967945244125445</v>
      </c>
      <c r="AG803" s="2">
        <f t="shared" si="25"/>
        <v>64.664626043320055</v>
      </c>
      <c r="AH803" s="22">
        <f>AC803-AE803</f>
        <v>23.013714356277248</v>
      </c>
    </row>
    <row r="804" spans="1:34" x14ac:dyDescent="0.25">
      <c r="A804" s="1">
        <f>DATEVALUE(Sheet1!A803)</f>
        <v>45735</v>
      </c>
      <c r="B804" s="2">
        <f>VALUE(Sheet1!B803)</f>
        <v>90.18</v>
      </c>
      <c r="C804" s="9">
        <f>(B804-B803)/B803</f>
        <v>-1.6605778811025294E-3</v>
      </c>
      <c r="D804" s="2">
        <f>MAX(D803,B804)</f>
        <v>103.9</v>
      </c>
      <c r="E804" s="9">
        <f>(B804-D804)/D804</f>
        <v>-0.13205004812319537</v>
      </c>
      <c r="AB804" s="1">
        <f>A804</f>
        <v>45735</v>
      </c>
      <c r="AC804" s="2">
        <f>B804</f>
        <v>90.18</v>
      </c>
      <c r="AD804" s="2">
        <f>802</f>
        <v>802</v>
      </c>
      <c r="AE804" s="2">
        <f>INTERCEPT($AC$3:$AC$1136,$AD$3:$AD$1136)+SLOPE($AC$3:$AC$1136,$AD$3:$AD$1136)*AD804</f>
        <v>67.297573680310293</v>
      </c>
      <c r="AF804" s="2">
        <f t="shared" si="24"/>
        <v>69.949233280712988</v>
      </c>
      <c r="AG804" s="2">
        <f t="shared" si="25"/>
        <v>64.645914079907598</v>
      </c>
      <c r="AH804" s="22">
        <f>AC804-AE804</f>
        <v>22.882426319689714</v>
      </c>
    </row>
    <row r="805" spans="1:34" x14ac:dyDescent="0.25">
      <c r="A805" s="1">
        <f>DATEVALUE(Sheet1!A804)</f>
        <v>45736</v>
      </c>
      <c r="B805" s="2">
        <f>VALUE(Sheet1!B804)</f>
        <v>90.08</v>
      </c>
      <c r="C805" s="9">
        <f>(B805-B804)/B804</f>
        <v>-1.1088933244622812E-3</v>
      </c>
      <c r="D805" s="2">
        <f>MAX(D804,B805)</f>
        <v>103.9</v>
      </c>
      <c r="E805" s="9">
        <f>(B805-D805)/D805</f>
        <v>-0.13301251203079892</v>
      </c>
      <c r="AB805" s="1">
        <f>A805</f>
        <v>45736</v>
      </c>
      <c r="AC805" s="2">
        <f>B805</f>
        <v>90.08</v>
      </c>
      <c r="AD805" s="2">
        <f>803</f>
        <v>803</v>
      </c>
      <c r="AE805" s="2">
        <f>INTERCEPT($AC$3:$AC$1136,$AD$3:$AD$1136)+SLOPE($AC$3:$AC$1136,$AD$3:$AD$1136)*AD805</f>
        <v>67.27886171689785</v>
      </c>
      <c r="AF805" s="2">
        <f t="shared" si="24"/>
        <v>69.930521317300546</v>
      </c>
      <c r="AG805" s="2">
        <f t="shared" si="25"/>
        <v>64.627202116495155</v>
      </c>
      <c r="AH805" s="22">
        <f>AC805-AE805</f>
        <v>22.801138283102148</v>
      </c>
    </row>
    <row r="806" spans="1:34" x14ac:dyDescent="0.25">
      <c r="A806" s="1">
        <f>DATEVALUE(Sheet1!A805)</f>
        <v>45737</v>
      </c>
      <c r="B806" s="2">
        <f>VALUE(Sheet1!B805)</f>
        <v>90.14</v>
      </c>
      <c r="C806" s="9">
        <f>(B806-B805)/B805</f>
        <v>6.6607460035526507E-4</v>
      </c>
      <c r="D806" s="2">
        <f>MAX(D805,B806)</f>
        <v>103.9</v>
      </c>
      <c r="E806" s="9">
        <f>(B806-D806)/D806</f>
        <v>-0.1324350336862368</v>
      </c>
      <c r="AB806" s="1">
        <f>A806</f>
        <v>45737</v>
      </c>
      <c r="AC806" s="2">
        <f>B806</f>
        <v>90.14</v>
      </c>
      <c r="AD806" s="2">
        <f>804</f>
        <v>804</v>
      </c>
      <c r="AE806" s="2">
        <f>INTERCEPT($AC$3:$AC$1136,$AD$3:$AD$1136)+SLOPE($AC$3:$AC$1136,$AD$3:$AD$1136)*AD806</f>
        <v>67.260149753485408</v>
      </c>
      <c r="AF806" s="2">
        <f t="shared" si="24"/>
        <v>69.911809353888103</v>
      </c>
      <c r="AG806" s="2">
        <f t="shared" si="25"/>
        <v>64.608490153082712</v>
      </c>
      <c r="AH806" s="22">
        <f>AC806-AE806</f>
        <v>22.879850246514593</v>
      </c>
    </row>
    <row r="807" spans="1:34" x14ac:dyDescent="0.25">
      <c r="A807" s="1">
        <f>DATEVALUE(Sheet1!A806)</f>
        <v>45740</v>
      </c>
      <c r="B807" s="2">
        <f>VALUE(Sheet1!B806)</f>
        <v>89.74</v>
      </c>
      <c r="C807" s="9">
        <f>(B807-B806)/B806</f>
        <v>-4.4375416019525812E-3</v>
      </c>
      <c r="D807" s="2">
        <f>MAX(D806,B807)</f>
        <v>103.9</v>
      </c>
      <c r="E807" s="9">
        <f>(B807-D807)/D807</f>
        <v>-0.13628488931665073</v>
      </c>
      <c r="AB807" s="1">
        <f>A807</f>
        <v>45740</v>
      </c>
      <c r="AC807" s="2">
        <f>B807</f>
        <v>89.74</v>
      </c>
      <c r="AD807" s="2">
        <f>805</f>
        <v>805</v>
      </c>
      <c r="AE807" s="2">
        <f>INTERCEPT($AC$3:$AC$1136,$AD$3:$AD$1136)+SLOPE($AC$3:$AC$1136,$AD$3:$AD$1136)*AD807</f>
        <v>67.241437790072951</v>
      </c>
      <c r="AF807" s="2">
        <f t="shared" si="24"/>
        <v>69.893097390475646</v>
      </c>
      <c r="AG807" s="2">
        <f t="shared" si="25"/>
        <v>64.589778189670255</v>
      </c>
      <c r="AH807" s="22">
        <f>AC807-AE807</f>
        <v>22.498562209927044</v>
      </c>
    </row>
    <row r="808" spans="1:34" x14ac:dyDescent="0.25">
      <c r="A808" s="1">
        <f>DATEVALUE(Sheet1!A807)</f>
        <v>45741</v>
      </c>
      <c r="B808" s="2">
        <f>VALUE(Sheet1!B807)</f>
        <v>89.12</v>
      </c>
      <c r="C808" s="9">
        <f>(B808-B807)/B807</f>
        <v>-6.9088477824826204E-3</v>
      </c>
      <c r="D808" s="2">
        <f>MAX(D807,B808)</f>
        <v>103.9</v>
      </c>
      <c r="E808" s="9">
        <f>(B808-D808)/D808</f>
        <v>-0.14225216554379211</v>
      </c>
      <c r="AB808" s="1">
        <f>A808</f>
        <v>45741</v>
      </c>
      <c r="AC808" s="2">
        <f>B808</f>
        <v>89.12</v>
      </c>
      <c r="AD808" s="2">
        <f>806</f>
        <v>806</v>
      </c>
      <c r="AE808" s="2">
        <f>INTERCEPT($AC$3:$AC$1136,$AD$3:$AD$1136)+SLOPE($AC$3:$AC$1136,$AD$3:$AD$1136)*AD808</f>
        <v>67.222725826660508</v>
      </c>
      <c r="AF808" s="2">
        <f t="shared" si="24"/>
        <v>69.874385427063203</v>
      </c>
      <c r="AG808" s="2">
        <f t="shared" si="25"/>
        <v>64.571066226257813</v>
      </c>
      <c r="AH808" s="22">
        <f>AC808-AE808</f>
        <v>21.897274173339497</v>
      </c>
    </row>
    <row r="809" spans="1:34" x14ac:dyDescent="0.25">
      <c r="A809" s="1">
        <f>DATEVALUE(Sheet1!A808)</f>
        <v>45742</v>
      </c>
      <c r="B809" s="2">
        <f>VALUE(Sheet1!B808)</f>
        <v>88.94</v>
      </c>
      <c r="C809" s="9">
        <f>(B809-B808)/B808</f>
        <v>-2.0197486535009743E-3</v>
      </c>
      <c r="D809" s="2">
        <f>MAX(D808,B809)</f>
        <v>103.9</v>
      </c>
      <c r="E809" s="9">
        <f>(B809-D809)/D809</f>
        <v>-0.14398460057747842</v>
      </c>
      <c r="AB809" s="1">
        <f>A809</f>
        <v>45742</v>
      </c>
      <c r="AC809" s="2">
        <f>B809</f>
        <v>88.94</v>
      </c>
      <c r="AD809" s="2">
        <f>807</f>
        <v>807</v>
      </c>
      <c r="AE809" s="2">
        <f>INTERCEPT($AC$3:$AC$1136,$AD$3:$AD$1136)+SLOPE($AC$3:$AC$1136,$AD$3:$AD$1136)*AD809</f>
        <v>67.204013863248065</v>
      </c>
      <c r="AF809" s="2">
        <f t="shared" si="24"/>
        <v>69.85567346365076</v>
      </c>
      <c r="AG809" s="2">
        <f t="shared" si="25"/>
        <v>64.55235426284537</v>
      </c>
      <c r="AH809" s="22">
        <f>AC809-AE809</f>
        <v>21.735986136751933</v>
      </c>
    </row>
    <row r="810" spans="1:34" x14ac:dyDescent="0.25">
      <c r="A810" s="1">
        <f>DATEVALUE(Sheet1!A809)</f>
        <v>45743</v>
      </c>
      <c r="B810" s="2">
        <f>VALUE(Sheet1!B809)</f>
        <v>87.92</v>
      </c>
      <c r="C810" s="9">
        <f>(B810-B809)/B809</f>
        <v>-1.146840566674158E-2</v>
      </c>
      <c r="D810" s="2">
        <f>MAX(D809,B810)</f>
        <v>103.9</v>
      </c>
      <c r="E810" s="9">
        <f>(B810-D810)/D810</f>
        <v>-0.15380173243503373</v>
      </c>
      <c r="AB810" s="1">
        <f>A810</f>
        <v>45743</v>
      </c>
      <c r="AC810" s="2">
        <f>B810</f>
        <v>87.92</v>
      </c>
      <c r="AD810" s="2">
        <f>808</f>
        <v>808</v>
      </c>
      <c r="AE810" s="2">
        <f>INTERCEPT($AC$3:$AC$1136,$AD$3:$AD$1136)+SLOPE($AC$3:$AC$1136,$AD$3:$AD$1136)*AD810</f>
        <v>67.185301899835622</v>
      </c>
      <c r="AF810" s="2">
        <f t="shared" si="24"/>
        <v>69.836961500238317</v>
      </c>
      <c r="AG810" s="2">
        <f t="shared" si="25"/>
        <v>64.533642299432927</v>
      </c>
      <c r="AH810" s="22">
        <f>AC810-AE810</f>
        <v>20.73469810016438</v>
      </c>
    </row>
    <row r="811" spans="1:34" x14ac:dyDescent="0.25">
      <c r="A811" s="1">
        <f>DATEVALUE(Sheet1!A810)</f>
        <v>45744</v>
      </c>
      <c r="B811" s="2">
        <f>VALUE(Sheet1!B810)</f>
        <v>87.87</v>
      </c>
      <c r="C811" s="9">
        <f>(B811-B810)/B810</f>
        <v>-5.6869881710642806E-4</v>
      </c>
      <c r="D811" s="2">
        <f>MAX(D810,B811)</f>
        <v>103.9</v>
      </c>
      <c r="E811" s="9">
        <f>(B811-D811)/D811</f>
        <v>-0.15428296438883543</v>
      </c>
      <c r="AB811" s="1">
        <f>A811</f>
        <v>45744</v>
      </c>
      <c r="AC811" s="2">
        <f>B811</f>
        <v>87.87</v>
      </c>
      <c r="AD811" s="2">
        <f>809</f>
        <v>809</v>
      </c>
      <c r="AE811" s="2">
        <f>INTERCEPT($AC$3:$AC$1136,$AD$3:$AD$1136)+SLOPE($AC$3:$AC$1136,$AD$3:$AD$1136)*AD811</f>
        <v>67.166589936423165</v>
      </c>
      <c r="AF811" s="2">
        <f t="shared" si="24"/>
        <v>69.81824953682586</v>
      </c>
      <c r="AG811" s="2">
        <f t="shared" si="25"/>
        <v>64.51493033602047</v>
      </c>
      <c r="AH811" s="22">
        <f>AC811-AE811</f>
        <v>20.70341006357684</v>
      </c>
    </row>
    <row r="812" spans="1:34" x14ac:dyDescent="0.25">
      <c r="A812" s="1">
        <f>DATEVALUE(Sheet1!A811)</f>
        <v>45747</v>
      </c>
      <c r="B812" s="2">
        <f>VALUE(Sheet1!B811)</f>
        <v>87.71</v>
      </c>
      <c r="C812" s="9">
        <f>(B812-B811)/B811</f>
        <v>-1.8208717423467712E-3</v>
      </c>
      <c r="D812" s="2">
        <f>MAX(D811,B812)</f>
        <v>103.9</v>
      </c>
      <c r="E812" s="9">
        <f>(B812-D812)/D812</f>
        <v>-0.15582290664100107</v>
      </c>
      <c r="AB812" s="1">
        <f>A812</f>
        <v>45747</v>
      </c>
      <c r="AC812" s="2">
        <f>B812</f>
        <v>87.71</v>
      </c>
      <c r="AD812" s="2">
        <f>810</f>
        <v>810</v>
      </c>
      <c r="AE812" s="2">
        <f>INTERCEPT($AC$3:$AC$1136,$AD$3:$AD$1136)+SLOPE($AC$3:$AC$1136,$AD$3:$AD$1136)*AD812</f>
        <v>67.147877973010722</v>
      </c>
      <c r="AF812" s="2">
        <f t="shared" si="24"/>
        <v>69.799537573413417</v>
      </c>
      <c r="AG812" s="2">
        <f t="shared" si="25"/>
        <v>64.496218372608027</v>
      </c>
      <c r="AH812" s="22">
        <f>AC812-AE812</f>
        <v>20.562122026989272</v>
      </c>
    </row>
    <row r="813" spans="1:34" x14ac:dyDescent="0.25">
      <c r="A813" s="1">
        <f>DATEVALUE(Sheet1!A812)</f>
        <v>45748</v>
      </c>
      <c r="B813" s="2">
        <f>VALUE(Sheet1!B812)</f>
        <v>86.62</v>
      </c>
      <c r="C813" s="9">
        <f>(B813-B812)/B812</f>
        <v>-1.2427317295633214E-2</v>
      </c>
      <c r="D813" s="2">
        <f>MAX(D812,B813)</f>
        <v>103.9</v>
      </c>
      <c r="E813" s="9">
        <f>(B813-D813)/D813</f>
        <v>-0.16631376323387873</v>
      </c>
      <c r="AB813" s="1">
        <f>A813</f>
        <v>45748</v>
      </c>
      <c r="AC813" s="2">
        <f>B813</f>
        <v>86.62</v>
      </c>
      <c r="AD813" s="2">
        <f>811</f>
        <v>811</v>
      </c>
      <c r="AE813" s="2">
        <f>INTERCEPT($AC$3:$AC$1136,$AD$3:$AD$1136)+SLOPE($AC$3:$AC$1136,$AD$3:$AD$1136)*AD813</f>
        <v>67.129166009598279</v>
      </c>
      <c r="AF813" s="2">
        <f t="shared" si="24"/>
        <v>69.780825610000974</v>
      </c>
      <c r="AG813" s="2">
        <f t="shared" si="25"/>
        <v>64.477506409195584</v>
      </c>
      <c r="AH813" s="22">
        <f>AC813-AE813</f>
        <v>19.490833990401725</v>
      </c>
    </row>
    <row r="814" spans="1:34" x14ac:dyDescent="0.25">
      <c r="A814" s="1">
        <f>DATEVALUE(Sheet1!A813)</f>
        <v>45749</v>
      </c>
      <c r="B814" s="2">
        <f>VALUE(Sheet1!B813)</f>
        <v>85.97</v>
      </c>
      <c r="C814" s="9">
        <f>(B814-B813)/B813</f>
        <v>-7.5040406372662858E-3</v>
      </c>
      <c r="D814" s="2">
        <f>MAX(D813,B814)</f>
        <v>103.9</v>
      </c>
      <c r="E814" s="9">
        <f>(B814-D814)/D814</f>
        <v>-0.17256977863330131</v>
      </c>
      <c r="AB814" s="1">
        <f>A814</f>
        <v>45749</v>
      </c>
      <c r="AC814" s="2">
        <f>B814</f>
        <v>85.97</v>
      </c>
      <c r="AD814" s="2">
        <f>812</f>
        <v>812</v>
      </c>
      <c r="AE814" s="2">
        <f>INTERCEPT($AC$3:$AC$1136,$AD$3:$AD$1136)+SLOPE($AC$3:$AC$1136,$AD$3:$AD$1136)*AD814</f>
        <v>67.110454046185822</v>
      </c>
      <c r="AF814" s="2">
        <f t="shared" si="24"/>
        <v>69.762113646588517</v>
      </c>
      <c r="AG814" s="2">
        <f t="shared" si="25"/>
        <v>64.458794445783127</v>
      </c>
      <c r="AH814" s="22">
        <f>AC814-AE814</f>
        <v>18.859545953814177</v>
      </c>
    </row>
    <row r="815" spans="1:34" x14ac:dyDescent="0.25">
      <c r="A815" s="1">
        <f>DATEVALUE(Sheet1!A814)</f>
        <v>45750</v>
      </c>
      <c r="B815" s="2">
        <f>VALUE(Sheet1!B814)</f>
        <v>84.82</v>
      </c>
      <c r="C815" s="9">
        <f>(B815-B814)/B814</f>
        <v>-1.3376759334651689E-2</v>
      </c>
      <c r="D815" s="2">
        <f>MAX(D814,B815)</f>
        <v>103.9</v>
      </c>
      <c r="E815" s="9">
        <f>(B815-D815)/D815</f>
        <v>-0.1836381135707412</v>
      </c>
      <c r="AB815" s="1">
        <f>A815</f>
        <v>45750</v>
      </c>
      <c r="AC815" s="2">
        <f>B815</f>
        <v>84.82</v>
      </c>
      <c r="AD815" s="2">
        <f>813</f>
        <v>813</v>
      </c>
      <c r="AE815" s="2">
        <f>INTERCEPT($AC$3:$AC$1136,$AD$3:$AD$1136)+SLOPE($AC$3:$AC$1136,$AD$3:$AD$1136)*AD815</f>
        <v>67.091742082773379</v>
      </c>
      <c r="AF815" s="2">
        <f t="shared" si="24"/>
        <v>69.743401683176074</v>
      </c>
      <c r="AG815" s="2">
        <f t="shared" si="25"/>
        <v>64.440082482370684</v>
      </c>
      <c r="AH815" s="22">
        <f>AC815-AE815</f>
        <v>17.728257917226614</v>
      </c>
    </row>
    <row r="816" spans="1:34" x14ac:dyDescent="0.25">
      <c r="A816" s="1">
        <f>DATEVALUE(Sheet1!A815)</f>
        <v>45751</v>
      </c>
      <c r="B816" s="2">
        <f>VALUE(Sheet1!B815)</f>
        <v>84.63</v>
      </c>
      <c r="C816" s="9">
        <f>(B816-B815)/B815</f>
        <v>-2.240037726951164E-3</v>
      </c>
      <c r="D816" s="2">
        <f>MAX(D815,B816)</f>
        <v>103.9</v>
      </c>
      <c r="E816" s="9">
        <f>(B816-D816)/D816</f>
        <v>-0.18546679499518776</v>
      </c>
      <c r="AB816" s="1">
        <f>A816</f>
        <v>45751</v>
      </c>
      <c r="AC816" s="2">
        <f>B816</f>
        <v>84.63</v>
      </c>
      <c r="AD816" s="2">
        <f>814</f>
        <v>814</v>
      </c>
      <c r="AE816" s="2">
        <f>INTERCEPT($AC$3:$AC$1136,$AD$3:$AD$1136)+SLOPE($AC$3:$AC$1136,$AD$3:$AD$1136)*AD816</f>
        <v>67.073030119360936</v>
      </c>
      <c r="AF816" s="2">
        <f t="shared" si="24"/>
        <v>69.724689719763632</v>
      </c>
      <c r="AG816" s="2">
        <f t="shared" si="25"/>
        <v>64.421370518958241</v>
      </c>
      <c r="AH816" s="22">
        <f>AC816-AE816</f>
        <v>17.556969880639059</v>
      </c>
    </row>
    <row r="817" spans="1:34" x14ac:dyDescent="0.25">
      <c r="A817" s="1">
        <f>DATEVALUE(Sheet1!A816)</f>
        <v>45754</v>
      </c>
      <c r="B817" s="2">
        <f>VALUE(Sheet1!B816)</f>
        <v>84.83</v>
      </c>
      <c r="C817" s="9">
        <f>(B817-B816)/B816</f>
        <v>2.3632281696798164E-3</v>
      </c>
      <c r="D817" s="2">
        <f>MAX(D816,B817)</f>
        <v>103.9</v>
      </c>
      <c r="E817" s="9">
        <f>(B817-D817)/D817</f>
        <v>-0.18354186717998081</v>
      </c>
      <c r="AB817" s="1">
        <f>A817</f>
        <v>45754</v>
      </c>
      <c r="AC817" s="2">
        <f>B817</f>
        <v>84.83</v>
      </c>
      <c r="AD817" s="2">
        <f>815</f>
        <v>815</v>
      </c>
      <c r="AE817" s="2">
        <f>INTERCEPT($AC$3:$AC$1136,$AD$3:$AD$1136)+SLOPE($AC$3:$AC$1136,$AD$3:$AD$1136)*AD817</f>
        <v>67.054318155948494</v>
      </c>
      <c r="AF817" s="2">
        <f t="shared" si="24"/>
        <v>69.705977756351189</v>
      </c>
      <c r="AG817" s="2">
        <f t="shared" si="25"/>
        <v>64.402658555545798</v>
      </c>
      <c r="AH817" s="22">
        <f>AC817-AE817</f>
        <v>17.775681844051505</v>
      </c>
    </row>
    <row r="818" spans="1:34" x14ac:dyDescent="0.25">
      <c r="A818" s="1">
        <f>DATEVALUE(Sheet1!A817)</f>
        <v>45755</v>
      </c>
      <c r="B818" s="2">
        <f>VALUE(Sheet1!B817)</f>
        <v>85.25</v>
      </c>
      <c r="C818" s="9">
        <f>(B818-B817)/B817</f>
        <v>4.9510786278439438E-3</v>
      </c>
      <c r="D818" s="2">
        <f>MAX(D817,B818)</f>
        <v>103.9</v>
      </c>
      <c r="E818" s="9">
        <f>(B818-D818)/D818</f>
        <v>-0.17949951876804623</v>
      </c>
      <c r="AB818" s="1">
        <f>A818</f>
        <v>45755</v>
      </c>
      <c r="AC818" s="2">
        <f>B818</f>
        <v>85.25</v>
      </c>
      <c r="AD818" s="2">
        <f>816</f>
        <v>816</v>
      </c>
      <c r="AE818" s="2">
        <f>INTERCEPT($AC$3:$AC$1136,$AD$3:$AD$1136)+SLOPE($AC$3:$AC$1136,$AD$3:$AD$1136)*AD818</f>
        <v>67.035606192536051</v>
      </c>
      <c r="AF818" s="2">
        <f t="shared" si="24"/>
        <v>69.687265792938746</v>
      </c>
      <c r="AG818" s="2">
        <f t="shared" si="25"/>
        <v>64.383946592133356</v>
      </c>
      <c r="AH818" s="22">
        <f>AC818-AE818</f>
        <v>18.214393807463949</v>
      </c>
    </row>
    <row r="819" spans="1:34" x14ac:dyDescent="0.25">
      <c r="A819" s="1">
        <f>DATEVALUE(Sheet1!A818)</f>
        <v>45756</v>
      </c>
      <c r="B819" s="2">
        <f>VALUE(Sheet1!B818)</f>
        <v>85.72</v>
      </c>
      <c r="C819" s="9">
        <f>(B819-B818)/B818</f>
        <v>5.5131964809384034E-3</v>
      </c>
      <c r="D819" s="2">
        <f>MAX(D818,B819)</f>
        <v>103.9</v>
      </c>
      <c r="E819" s="9">
        <f>(B819-D819)/D819</f>
        <v>-0.17497593840230996</v>
      </c>
      <c r="AB819" s="1">
        <f>A819</f>
        <v>45756</v>
      </c>
      <c r="AC819" s="2">
        <f>B819</f>
        <v>85.72</v>
      </c>
      <c r="AD819" s="2">
        <f>817</f>
        <v>817</v>
      </c>
      <c r="AE819" s="2">
        <f>INTERCEPT($AC$3:$AC$1136,$AD$3:$AD$1136)+SLOPE($AC$3:$AC$1136,$AD$3:$AD$1136)*AD819</f>
        <v>67.016894229123594</v>
      </c>
      <c r="AF819" s="2">
        <f t="shared" si="24"/>
        <v>69.668553829526289</v>
      </c>
      <c r="AG819" s="2">
        <f t="shared" si="25"/>
        <v>64.365234628720899</v>
      </c>
      <c r="AH819" s="22">
        <f>AC819-AE819</f>
        <v>18.703105770876405</v>
      </c>
    </row>
    <row r="820" spans="1:34" x14ac:dyDescent="0.25">
      <c r="A820" s="1">
        <f>DATEVALUE(Sheet1!A819)</f>
        <v>45757</v>
      </c>
      <c r="B820" s="2">
        <f>VALUE(Sheet1!B819)</f>
        <v>85.57</v>
      </c>
      <c r="C820" s="9">
        <f>(B820-B819)/B819</f>
        <v>-1.7498833411106591E-3</v>
      </c>
      <c r="D820" s="2">
        <f>MAX(D819,B820)</f>
        <v>103.9</v>
      </c>
      <c r="E820" s="9">
        <f>(B820-D820)/D820</f>
        <v>-0.17641963426371521</v>
      </c>
      <c r="AB820" s="1">
        <f>A820</f>
        <v>45757</v>
      </c>
      <c r="AC820" s="2">
        <f>B820</f>
        <v>85.57</v>
      </c>
      <c r="AD820" s="2">
        <f>818</f>
        <v>818</v>
      </c>
      <c r="AE820" s="2">
        <f>INTERCEPT($AC$3:$AC$1136,$AD$3:$AD$1136)+SLOPE($AC$3:$AC$1136,$AD$3:$AD$1136)*AD820</f>
        <v>66.998182265711151</v>
      </c>
      <c r="AF820" s="2">
        <f t="shared" si="24"/>
        <v>69.649841866113846</v>
      </c>
      <c r="AG820" s="2">
        <f t="shared" si="25"/>
        <v>64.346522665308456</v>
      </c>
      <c r="AH820" s="22">
        <f>AC820-AE820</f>
        <v>18.571817734288842</v>
      </c>
    </row>
    <row r="821" spans="1:34" x14ac:dyDescent="0.25">
      <c r="A821" s="1">
        <f>DATEVALUE(Sheet1!A820)</f>
        <v>45758</v>
      </c>
      <c r="B821" s="2">
        <f>VALUE(Sheet1!B820)</f>
        <v>84.98</v>
      </c>
      <c r="C821" s="9">
        <f>(B821-B820)/B820</f>
        <v>-6.8949398153557231E-3</v>
      </c>
      <c r="D821" s="2">
        <f>MAX(D820,B821)</f>
        <v>103.9</v>
      </c>
      <c r="E821" s="9">
        <f>(B821-D821)/D821</f>
        <v>-0.18209817131857556</v>
      </c>
      <c r="AB821" s="1">
        <f>A821</f>
        <v>45758</v>
      </c>
      <c r="AC821" s="2">
        <f>B821</f>
        <v>84.98</v>
      </c>
      <c r="AD821" s="2">
        <f>819</f>
        <v>819</v>
      </c>
      <c r="AE821" s="2">
        <f>INTERCEPT($AC$3:$AC$1136,$AD$3:$AD$1136)+SLOPE($AC$3:$AC$1136,$AD$3:$AD$1136)*AD821</f>
        <v>66.979470302298708</v>
      </c>
      <c r="AF821" s="2">
        <f t="shared" si="24"/>
        <v>69.631129902701403</v>
      </c>
      <c r="AG821" s="2">
        <f t="shared" si="25"/>
        <v>64.327810701896013</v>
      </c>
      <c r="AH821" s="22">
        <f>AC821-AE821</f>
        <v>18.000529697701296</v>
      </c>
    </row>
    <row r="822" spans="1:34" x14ac:dyDescent="0.25">
      <c r="A822" s="1">
        <f>DATEVALUE(Sheet1!A821)</f>
        <v>45761</v>
      </c>
      <c r="B822" s="2">
        <f>VALUE(Sheet1!B821)</f>
        <v>85.3</v>
      </c>
      <c r="C822" s="9">
        <f>(B822-B821)/B821</f>
        <v>3.7655919039773261E-3</v>
      </c>
      <c r="D822" s="2">
        <f>MAX(D821,B822)</f>
        <v>103.9</v>
      </c>
      <c r="E822" s="9">
        <f>(B822-D822)/D822</f>
        <v>-0.17901828681424453</v>
      </c>
      <c r="AB822" s="1">
        <f>A822</f>
        <v>45761</v>
      </c>
      <c r="AC822" s="2">
        <f>B822</f>
        <v>85.3</v>
      </c>
      <c r="AD822" s="2">
        <f>820</f>
        <v>820</v>
      </c>
      <c r="AE822" s="2">
        <f>INTERCEPT($AC$3:$AC$1136,$AD$3:$AD$1136)+SLOPE($AC$3:$AC$1136,$AD$3:$AD$1136)*AD822</f>
        <v>66.960758338886251</v>
      </c>
      <c r="AF822" s="2">
        <f t="shared" si="24"/>
        <v>69.612417939288946</v>
      </c>
      <c r="AG822" s="2">
        <f t="shared" si="25"/>
        <v>64.309098738483556</v>
      </c>
      <c r="AH822" s="22">
        <f>AC822-AE822</f>
        <v>18.339241661113746</v>
      </c>
    </row>
    <row r="823" spans="1:34" x14ac:dyDescent="0.25">
      <c r="A823" s="1">
        <f>DATEVALUE(Sheet1!A822)</f>
        <v>45762</v>
      </c>
      <c r="B823" s="2">
        <f>VALUE(Sheet1!B822)</f>
        <v>84.71</v>
      </c>
      <c r="C823" s="9">
        <f>(B823-B822)/B822</f>
        <v>-6.9167643610785869E-3</v>
      </c>
      <c r="D823" s="2">
        <f>MAX(D822,B823)</f>
        <v>103.9</v>
      </c>
      <c r="E823" s="9">
        <f>(B823-D823)/D823</f>
        <v>-0.18469682386910502</v>
      </c>
      <c r="AB823" s="1">
        <f>A823</f>
        <v>45762</v>
      </c>
      <c r="AC823" s="2">
        <f>B823</f>
        <v>84.71</v>
      </c>
      <c r="AD823" s="2">
        <f>821</f>
        <v>821</v>
      </c>
      <c r="AE823" s="2">
        <f>INTERCEPT($AC$3:$AC$1136,$AD$3:$AD$1136)+SLOPE($AC$3:$AC$1136,$AD$3:$AD$1136)*AD823</f>
        <v>66.942046375473808</v>
      </c>
      <c r="AF823" s="2">
        <f t="shared" si="24"/>
        <v>69.593705975876503</v>
      </c>
      <c r="AG823" s="2">
        <f t="shared" si="25"/>
        <v>64.290386775071113</v>
      </c>
      <c r="AH823" s="22">
        <f>AC823-AE823</f>
        <v>17.767953624526186</v>
      </c>
    </row>
    <row r="824" spans="1:34" x14ac:dyDescent="0.25">
      <c r="A824" s="1">
        <f>DATEVALUE(Sheet1!A823)</f>
        <v>45763</v>
      </c>
      <c r="B824" s="2">
        <f>VALUE(Sheet1!B823)</f>
        <v>83.78</v>
      </c>
      <c r="C824" s="9">
        <f>(B824-B823)/B823</f>
        <v>-1.097863298311879E-2</v>
      </c>
      <c r="D824" s="2">
        <f>MAX(D823,B824)</f>
        <v>103.9</v>
      </c>
      <c r="E824" s="9">
        <f>(B824-D824)/D824</f>
        <v>-0.19364773820981718</v>
      </c>
      <c r="AB824" s="1">
        <f>A824</f>
        <v>45763</v>
      </c>
      <c r="AC824" s="2">
        <f>B824</f>
        <v>83.78</v>
      </c>
      <c r="AD824" s="2">
        <f>822</f>
        <v>822</v>
      </c>
      <c r="AE824" s="2">
        <f>INTERCEPT($AC$3:$AC$1136,$AD$3:$AD$1136)+SLOPE($AC$3:$AC$1136,$AD$3:$AD$1136)*AD824</f>
        <v>66.923334412061365</v>
      </c>
      <c r="AF824" s="2">
        <f t="shared" si="24"/>
        <v>69.57499401246406</v>
      </c>
      <c r="AG824" s="2">
        <f t="shared" si="25"/>
        <v>64.27167481165867</v>
      </c>
      <c r="AH824" s="22">
        <f>AC824-AE824</f>
        <v>16.856665587938636</v>
      </c>
    </row>
    <row r="825" spans="1:34" x14ac:dyDescent="0.25">
      <c r="A825" s="1">
        <f>DATEVALUE(Sheet1!A824)</f>
        <v>45764</v>
      </c>
      <c r="B825" s="2">
        <f>VALUE(Sheet1!B824)</f>
        <v>83.49</v>
      </c>
      <c r="C825" s="9">
        <f>(B825-B824)/B824</f>
        <v>-3.4614466459776351E-3</v>
      </c>
      <c r="D825" s="2">
        <f>MAX(D824,B825)</f>
        <v>103.9</v>
      </c>
      <c r="E825" s="9">
        <f>(B825-D825)/D825</f>
        <v>-0.19643888354186728</v>
      </c>
      <c r="AB825" s="1">
        <f>A825</f>
        <v>45764</v>
      </c>
      <c r="AC825" s="2">
        <f>B825</f>
        <v>83.49</v>
      </c>
      <c r="AD825" s="2">
        <f>823</f>
        <v>823</v>
      </c>
      <c r="AE825" s="2">
        <f>INTERCEPT($AC$3:$AC$1136,$AD$3:$AD$1136)+SLOPE($AC$3:$AC$1136,$AD$3:$AD$1136)*AD825</f>
        <v>66.904622448648922</v>
      </c>
      <c r="AF825" s="2">
        <f t="shared" si="24"/>
        <v>69.556282049051617</v>
      </c>
      <c r="AG825" s="2">
        <f t="shared" si="25"/>
        <v>64.252962848246227</v>
      </c>
      <c r="AH825" s="22">
        <f>AC825-AE825</f>
        <v>16.585377551351073</v>
      </c>
    </row>
    <row r="826" spans="1:34" x14ac:dyDescent="0.25">
      <c r="A826" s="1">
        <f>DATEVALUE(Sheet1!A825)</f>
        <v>45769</v>
      </c>
      <c r="B826" s="2">
        <f>VALUE(Sheet1!B825)</f>
        <v>82.57</v>
      </c>
      <c r="C826" s="9">
        <f>(B826-B825)/B825</f>
        <v>-1.1019283746556495E-2</v>
      </c>
      <c r="D826" s="2">
        <f>MAX(D825,B826)</f>
        <v>103.9</v>
      </c>
      <c r="E826" s="9">
        <f>(B826-D826)/D826</f>
        <v>-0.20529355149181916</v>
      </c>
      <c r="AB826" s="1">
        <f>A826</f>
        <v>45769</v>
      </c>
      <c r="AC826" s="2">
        <f>B826</f>
        <v>82.57</v>
      </c>
      <c r="AD826" s="2">
        <f>824</f>
        <v>824</v>
      </c>
      <c r="AE826" s="2">
        <f>INTERCEPT($AC$3:$AC$1136,$AD$3:$AD$1136)+SLOPE($AC$3:$AC$1136,$AD$3:$AD$1136)*AD826</f>
        <v>66.885910485236465</v>
      </c>
      <c r="AF826" s="2">
        <f t="shared" si="24"/>
        <v>69.53757008563916</v>
      </c>
      <c r="AG826" s="2">
        <f t="shared" si="25"/>
        <v>64.23425088483377</v>
      </c>
      <c r="AH826" s="22">
        <f>AC826-AE826</f>
        <v>15.684089514763528</v>
      </c>
    </row>
    <row r="827" spans="1:34" x14ac:dyDescent="0.25">
      <c r="A827" s="1">
        <f>DATEVALUE(Sheet1!A826)</f>
        <v>45770</v>
      </c>
      <c r="B827" s="2">
        <f>VALUE(Sheet1!B826)</f>
        <v>81.97</v>
      </c>
      <c r="C827" s="9">
        <f>(B827-B826)/B826</f>
        <v>-7.266561705219745E-3</v>
      </c>
      <c r="D827" s="2">
        <f>MAX(D826,B827)</f>
        <v>103.9</v>
      </c>
      <c r="E827" s="9">
        <f>(B827-D827)/D827</f>
        <v>-0.2110683349374399</v>
      </c>
      <c r="AB827" s="1">
        <f>A827</f>
        <v>45770</v>
      </c>
      <c r="AC827" s="2">
        <f>B827</f>
        <v>81.97</v>
      </c>
      <c r="AD827" s="2">
        <f>825</f>
        <v>825</v>
      </c>
      <c r="AE827" s="2">
        <f>INTERCEPT($AC$3:$AC$1136,$AD$3:$AD$1136)+SLOPE($AC$3:$AC$1136,$AD$3:$AD$1136)*AD827</f>
        <v>66.867198521824022</v>
      </c>
      <c r="AF827" s="2">
        <f t="shared" si="24"/>
        <v>69.518858122226717</v>
      </c>
      <c r="AG827" s="2">
        <f t="shared" si="25"/>
        <v>64.215538921421327</v>
      </c>
      <c r="AH827" s="22">
        <f>AC827-AE827</f>
        <v>15.102801478175977</v>
      </c>
    </row>
    <row r="828" spans="1:34" x14ac:dyDescent="0.25">
      <c r="A828" s="1">
        <f>DATEVALUE(Sheet1!A827)</f>
        <v>45771</v>
      </c>
      <c r="B828" s="2">
        <f>VALUE(Sheet1!B827)</f>
        <v>81.599999999999994</v>
      </c>
      <c r="C828" s="9">
        <f>(B828-B827)/B827</f>
        <v>-4.5138465292180619E-3</v>
      </c>
      <c r="D828" s="2">
        <f>MAX(D827,B828)</f>
        <v>103.9</v>
      </c>
      <c r="E828" s="9">
        <f>(B828-D828)/D828</f>
        <v>-0.21462945139557277</v>
      </c>
      <c r="AB828" s="1">
        <f>A828</f>
        <v>45771</v>
      </c>
      <c r="AC828" s="2">
        <f>B828</f>
        <v>81.599999999999994</v>
      </c>
      <c r="AD828" s="2">
        <f>826</f>
        <v>826</v>
      </c>
      <c r="AE828" s="2">
        <f>INTERCEPT($AC$3:$AC$1136,$AD$3:$AD$1136)+SLOPE($AC$3:$AC$1136,$AD$3:$AD$1136)*AD828</f>
        <v>66.848486558411579</v>
      </c>
      <c r="AF828" s="2">
        <f t="shared" si="24"/>
        <v>69.500146158814275</v>
      </c>
      <c r="AG828" s="2">
        <f t="shared" si="25"/>
        <v>64.196826958008884</v>
      </c>
      <c r="AH828" s="22">
        <f>AC828-AE828</f>
        <v>14.751513441588415</v>
      </c>
    </row>
    <row r="829" spans="1:34" x14ac:dyDescent="0.25">
      <c r="A829" s="1">
        <f>DATEVALUE(Sheet1!A828)</f>
        <v>45772</v>
      </c>
      <c r="B829" s="2">
        <f>VALUE(Sheet1!B828)</f>
        <v>80.540000000000006</v>
      </c>
      <c r="C829" s="9">
        <f>(B829-B828)/B828</f>
        <v>-1.2990196078431228E-2</v>
      </c>
      <c r="D829" s="2">
        <f>MAX(D828,B829)</f>
        <v>103.9</v>
      </c>
      <c r="E829" s="9">
        <f>(B829-D829)/D829</f>
        <v>-0.22483156881616936</v>
      </c>
      <c r="AB829" s="1">
        <f>A829</f>
        <v>45772</v>
      </c>
      <c r="AC829" s="2">
        <f>B829</f>
        <v>80.540000000000006</v>
      </c>
      <c r="AD829" s="2">
        <f>827</f>
        <v>827</v>
      </c>
      <c r="AE829" s="2">
        <f>INTERCEPT($AC$3:$AC$1136,$AD$3:$AD$1136)+SLOPE($AC$3:$AC$1136,$AD$3:$AD$1136)*AD829</f>
        <v>66.829774594999122</v>
      </c>
      <c r="AF829" s="2">
        <f t="shared" si="24"/>
        <v>69.481434195401818</v>
      </c>
      <c r="AG829" s="2">
        <f t="shared" si="25"/>
        <v>64.178114994596427</v>
      </c>
      <c r="AH829" s="22">
        <f>AC829-AE829</f>
        <v>13.710225405000884</v>
      </c>
    </row>
    <row r="830" spans="1:34" x14ac:dyDescent="0.25">
      <c r="A830" s="1">
        <f>DATEVALUE(Sheet1!A829)</f>
        <v>45775</v>
      </c>
      <c r="B830" s="2">
        <f>VALUE(Sheet1!B829)</f>
        <v>80.489999999999995</v>
      </c>
      <c r="C830" s="9">
        <f>(B830-B829)/B829</f>
        <v>-6.2080953563460844E-4</v>
      </c>
      <c r="D830" s="2">
        <f>MAX(D829,B830)</f>
        <v>103.9</v>
      </c>
      <c r="E830" s="9">
        <f>(B830-D830)/D830</f>
        <v>-0.22531280076997121</v>
      </c>
      <c r="AB830" s="1">
        <f>A830</f>
        <v>45775</v>
      </c>
      <c r="AC830" s="2">
        <f>B830</f>
        <v>80.489999999999995</v>
      </c>
      <c r="AD830" s="2">
        <f>828</f>
        <v>828</v>
      </c>
      <c r="AE830" s="2">
        <f>INTERCEPT($AC$3:$AC$1136,$AD$3:$AD$1136)+SLOPE($AC$3:$AC$1136,$AD$3:$AD$1136)*AD830</f>
        <v>66.81106263158668</v>
      </c>
      <c r="AF830" s="2">
        <f t="shared" si="24"/>
        <v>69.462722231989375</v>
      </c>
      <c r="AG830" s="2">
        <f t="shared" si="25"/>
        <v>64.159403031183984</v>
      </c>
      <c r="AH830" s="22">
        <f>AC830-AE830</f>
        <v>13.678937368413315</v>
      </c>
    </row>
    <row r="831" spans="1:34" x14ac:dyDescent="0.25">
      <c r="A831" s="1">
        <f>DATEVALUE(Sheet1!A830)</f>
        <v>45776</v>
      </c>
      <c r="B831" s="2">
        <f>VALUE(Sheet1!B830)</f>
        <v>80.37</v>
      </c>
      <c r="C831" s="9">
        <f>(B831-B830)/B830</f>
        <v>-1.4908684308608566E-3</v>
      </c>
      <c r="D831" s="2">
        <f>MAX(D830,B831)</f>
        <v>103.9</v>
      </c>
      <c r="E831" s="9">
        <f>(B831-D831)/D831</f>
        <v>-0.22646775745909528</v>
      </c>
      <c r="AB831" s="1">
        <f>A831</f>
        <v>45776</v>
      </c>
      <c r="AC831" s="2">
        <f>B831</f>
        <v>80.37</v>
      </c>
      <c r="AD831" s="2">
        <f>829</f>
        <v>829</v>
      </c>
      <c r="AE831" s="2">
        <f>INTERCEPT($AC$3:$AC$1136,$AD$3:$AD$1136)+SLOPE($AC$3:$AC$1136,$AD$3:$AD$1136)*AD831</f>
        <v>66.792350668174237</v>
      </c>
      <c r="AF831" s="2">
        <f t="shared" si="24"/>
        <v>69.444010268576932</v>
      </c>
      <c r="AG831" s="2">
        <f t="shared" si="25"/>
        <v>64.140691067771542</v>
      </c>
      <c r="AH831" s="22">
        <f>AC831-AE831</f>
        <v>13.577649331825768</v>
      </c>
    </row>
    <row r="832" spans="1:34" x14ac:dyDescent="0.25">
      <c r="A832" s="1">
        <f>DATEVALUE(Sheet1!A831)</f>
        <v>45777</v>
      </c>
      <c r="B832" s="2">
        <f>VALUE(Sheet1!B831)</f>
        <v>80.13</v>
      </c>
      <c r="C832" s="9">
        <f>(B832-B831)/B831</f>
        <v>-2.9861888764465484E-3</v>
      </c>
      <c r="D832" s="2">
        <f>MAX(D831,B832)</f>
        <v>103.9</v>
      </c>
      <c r="E832" s="9">
        <f>(B832-D832)/D832</f>
        <v>-0.22877767083734368</v>
      </c>
      <c r="AB832" s="1">
        <f>A832</f>
        <v>45777</v>
      </c>
      <c r="AC832" s="2">
        <f>B832</f>
        <v>80.13</v>
      </c>
      <c r="AD832" s="2">
        <f>830</f>
        <v>830</v>
      </c>
      <c r="AE832" s="2">
        <f>INTERCEPT($AC$3:$AC$1136,$AD$3:$AD$1136)+SLOPE($AC$3:$AC$1136,$AD$3:$AD$1136)*AD832</f>
        <v>66.773638704761794</v>
      </c>
      <c r="AF832" s="2">
        <f t="shared" si="24"/>
        <v>69.425298305164489</v>
      </c>
      <c r="AG832" s="2">
        <f t="shared" si="25"/>
        <v>64.121979104359099</v>
      </c>
      <c r="AH832" s="22">
        <f>AC832-AE832</f>
        <v>13.356361295238202</v>
      </c>
    </row>
    <row r="833" spans="1:34" x14ac:dyDescent="0.25">
      <c r="A833" s="1">
        <f>DATEVALUE(Sheet1!A832)</f>
        <v>45779</v>
      </c>
      <c r="B833" s="2">
        <f>VALUE(Sheet1!B832)</f>
        <v>79.069999999999993</v>
      </c>
      <c r="C833" s="9">
        <f>(B833-B832)/B832</f>
        <v>-1.3228503681517564E-2</v>
      </c>
      <c r="D833" s="2">
        <f>MAX(D832,B833)</f>
        <v>103.9</v>
      </c>
      <c r="E833" s="9">
        <f>(B833-D833)/D833</f>
        <v>-0.23897978825794045</v>
      </c>
      <c r="AB833" s="1">
        <f>A833</f>
        <v>45779</v>
      </c>
      <c r="AC833" s="2">
        <f>B833</f>
        <v>79.069999999999993</v>
      </c>
      <c r="AD833" s="2">
        <f>831</f>
        <v>831</v>
      </c>
      <c r="AE833" s="2">
        <f>INTERCEPT($AC$3:$AC$1136,$AD$3:$AD$1136)+SLOPE($AC$3:$AC$1136,$AD$3:$AD$1136)*AD833</f>
        <v>66.754926741349337</v>
      </c>
      <c r="AF833" s="2">
        <f t="shared" si="24"/>
        <v>69.406586341752032</v>
      </c>
      <c r="AG833" s="2">
        <f t="shared" si="25"/>
        <v>64.103267140946642</v>
      </c>
      <c r="AH833" s="22">
        <f>AC833-AE833</f>
        <v>12.315073258650656</v>
      </c>
    </row>
    <row r="834" spans="1:34" x14ac:dyDescent="0.25">
      <c r="A834" s="1">
        <f>DATEVALUE(Sheet1!A833)</f>
        <v>45782</v>
      </c>
      <c r="B834" s="2">
        <f>VALUE(Sheet1!B833)</f>
        <v>79.05</v>
      </c>
      <c r="C834" s="9">
        <f>(B834-B833)/B833</f>
        <v>-2.529404325280893E-4</v>
      </c>
      <c r="D834" s="2">
        <f>MAX(D833,B834)</f>
        <v>103.9</v>
      </c>
      <c r="E834" s="9">
        <f>(B834-D834)/D834</f>
        <v>-0.23917228103946109</v>
      </c>
      <c r="AB834" s="1">
        <f>A834</f>
        <v>45782</v>
      </c>
      <c r="AC834" s="2">
        <f>B834</f>
        <v>79.05</v>
      </c>
      <c r="AD834" s="2">
        <f>832</f>
        <v>832</v>
      </c>
      <c r="AE834" s="2">
        <f>INTERCEPT($AC$3:$AC$1136,$AD$3:$AD$1136)+SLOPE($AC$3:$AC$1136,$AD$3:$AD$1136)*AD834</f>
        <v>66.736214777936894</v>
      </c>
      <c r="AF834" s="2">
        <f t="shared" si="24"/>
        <v>69.387874378339589</v>
      </c>
      <c r="AG834" s="2">
        <f t="shared" si="25"/>
        <v>64.084555177534199</v>
      </c>
      <c r="AH834" s="22">
        <f>AC834-AE834</f>
        <v>12.313785222063103</v>
      </c>
    </row>
    <row r="835" spans="1:34" x14ac:dyDescent="0.25">
      <c r="A835" s="1">
        <f>DATEVALUE(Sheet1!A834)</f>
        <v>45783</v>
      </c>
      <c r="B835" s="2">
        <f>VALUE(Sheet1!B834)</f>
        <v>77.61</v>
      </c>
      <c r="C835" s="9">
        <f>(B835-B834)/B834</f>
        <v>-1.8216318785578719E-2</v>
      </c>
      <c r="D835" s="2">
        <f>MAX(D834,B835)</f>
        <v>103.9</v>
      </c>
      <c r="E835" s="9">
        <f>(B835-D835)/D835</f>
        <v>-0.25303176130895094</v>
      </c>
      <c r="AB835" s="1">
        <f>A835</f>
        <v>45783</v>
      </c>
      <c r="AC835" s="2">
        <f>B835</f>
        <v>77.61</v>
      </c>
      <c r="AD835" s="2">
        <f>833</f>
        <v>833</v>
      </c>
      <c r="AE835" s="2">
        <f>INTERCEPT($AC$3:$AC$1136,$AD$3:$AD$1136)+SLOPE($AC$3:$AC$1136,$AD$3:$AD$1136)*AD835</f>
        <v>66.717502814524451</v>
      </c>
      <c r="AF835" s="2">
        <f t="shared" si="24"/>
        <v>69.369162414927146</v>
      </c>
      <c r="AG835" s="2">
        <f t="shared" si="25"/>
        <v>64.065843214121756</v>
      </c>
      <c r="AH835" s="22">
        <f>AC835-AE835</f>
        <v>10.892497185475548</v>
      </c>
    </row>
    <row r="836" spans="1:34" x14ac:dyDescent="0.25">
      <c r="A836" s="1">
        <f>DATEVALUE(Sheet1!A835)</f>
        <v>45784</v>
      </c>
      <c r="B836" s="2">
        <f>VALUE(Sheet1!B835)</f>
        <v>76.38</v>
      </c>
      <c r="C836" s="9">
        <f>(B836-B835)/B835</f>
        <v>-1.5848473134905346E-2</v>
      </c>
      <c r="D836" s="2">
        <f>MAX(D835,B836)</f>
        <v>103.9</v>
      </c>
      <c r="E836" s="9">
        <f>(B836-D836)/D836</f>
        <v>-0.26487006737247359</v>
      </c>
      <c r="AB836" s="1">
        <f>A836</f>
        <v>45784</v>
      </c>
      <c r="AC836" s="2">
        <f>B836</f>
        <v>76.38</v>
      </c>
      <c r="AD836" s="2">
        <f>834</f>
        <v>834</v>
      </c>
      <c r="AE836" s="2">
        <f>INTERCEPT($AC$3:$AC$1136,$AD$3:$AD$1136)+SLOPE($AC$3:$AC$1136,$AD$3:$AD$1136)*AD836</f>
        <v>66.698790851112008</v>
      </c>
      <c r="AF836" s="2">
        <f t="shared" ref="AF836:AF899" si="26">AE836+$AJ$5*$AJ$4</f>
        <v>69.350450451514703</v>
      </c>
      <c r="AG836" s="2">
        <f t="shared" ref="AG836:AG899" si="27">AE836-$AJ$5*$AJ$4</f>
        <v>64.047131250709313</v>
      </c>
      <c r="AH836" s="22">
        <f>AC836-AE836</f>
        <v>9.6812091488879872</v>
      </c>
    </row>
    <row r="837" spans="1:34" x14ac:dyDescent="0.25">
      <c r="A837" s="1">
        <f>DATEVALUE(Sheet1!A836)</f>
        <v>45785</v>
      </c>
      <c r="B837" s="2">
        <f>VALUE(Sheet1!B836)</f>
        <v>75.930000000000007</v>
      </c>
      <c r="C837" s="9">
        <f>(B837-B836)/B836</f>
        <v>-5.8915946582873613E-3</v>
      </c>
      <c r="D837" s="2">
        <f>MAX(D836,B837)</f>
        <v>103.9</v>
      </c>
      <c r="E837" s="9">
        <f>(B837-D837)/D837</f>
        <v>-0.26920115495668911</v>
      </c>
      <c r="AB837" s="1">
        <f>A837</f>
        <v>45785</v>
      </c>
      <c r="AC837" s="2">
        <f>B837</f>
        <v>75.930000000000007</v>
      </c>
      <c r="AD837" s="2">
        <f>835</f>
        <v>835</v>
      </c>
      <c r="AE837" s="2">
        <f>INTERCEPT($AC$3:$AC$1136,$AD$3:$AD$1136)+SLOPE($AC$3:$AC$1136,$AD$3:$AD$1136)*AD837</f>
        <v>66.680078887699551</v>
      </c>
      <c r="AF837" s="2">
        <f t="shared" si="26"/>
        <v>69.331738488102246</v>
      </c>
      <c r="AG837" s="2">
        <f t="shared" si="27"/>
        <v>64.028419287296856</v>
      </c>
      <c r="AH837" s="22">
        <f>AC837-AE837</f>
        <v>9.2499211123004557</v>
      </c>
    </row>
    <row r="838" spans="1:34" x14ac:dyDescent="0.25">
      <c r="A838" s="1">
        <f>DATEVALUE(Sheet1!A837)</f>
        <v>45786</v>
      </c>
      <c r="B838" s="2">
        <f>VALUE(Sheet1!B837)</f>
        <v>75.069999999999993</v>
      </c>
      <c r="C838" s="9">
        <f>(B838-B837)/B837</f>
        <v>-1.1326221519821066E-2</v>
      </c>
      <c r="D838" s="2">
        <f>MAX(D837,B838)</f>
        <v>103.9</v>
      </c>
      <c r="E838" s="9">
        <f>(B838-D838)/D838</f>
        <v>-0.27747834456207904</v>
      </c>
      <c r="AB838" s="1">
        <f>A838</f>
        <v>45786</v>
      </c>
      <c r="AC838" s="2">
        <f>B838</f>
        <v>75.069999999999993</v>
      </c>
      <c r="AD838" s="2">
        <f>836</f>
        <v>836</v>
      </c>
      <c r="AE838" s="2">
        <f>INTERCEPT($AC$3:$AC$1136,$AD$3:$AD$1136)+SLOPE($AC$3:$AC$1136,$AD$3:$AD$1136)*AD838</f>
        <v>66.661366924287108</v>
      </c>
      <c r="AF838" s="2">
        <f t="shared" si="26"/>
        <v>69.313026524689803</v>
      </c>
      <c r="AG838" s="2">
        <f t="shared" si="27"/>
        <v>64.009707323884413</v>
      </c>
      <c r="AH838" s="22">
        <f>AC838-AE838</f>
        <v>8.4086330757128849</v>
      </c>
    </row>
    <row r="839" spans="1:34" x14ac:dyDescent="0.25">
      <c r="A839" s="1">
        <f>DATEVALUE(Sheet1!A838)</f>
        <v>45789</v>
      </c>
      <c r="B839" s="2">
        <f>VALUE(Sheet1!B838)</f>
        <v>74.34</v>
      </c>
      <c r="C839" s="9">
        <f>(B839-B838)/B838</f>
        <v>-9.7242573597973864E-3</v>
      </c>
      <c r="D839" s="2">
        <f>MAX(D838,B839)</f>
        <v>103.9</v>
      </c>
      <c r="E839" s="9">
        <f>(B839-D839)/D839</f>
        <v>-0.28450433108758422</v>
      </c>
      <c r="AB839" s="1">
        <f>A839</f>
        <v>45789</v>
      </c>
      <c r="AC839" s="2">
        <f>B839</f>
        <v>74.34</v>
      </c>
      <c r="AD839" s="2">
        <f>837</f>
        <v>837</v>
      </c>
      <c r="AE839" s="2">
        <f>INTERCEPT($AC$3:$AC$1136,$AD$3:$AD$1136)+SLOPE($AC$3:$AC$1136,$AD$3:$AD$1136)*AD839</f>
        <v>66.642654960874665</v>
      </c>
      <c r="AF839" s="2">
        <f t="shared" si="26"/>
        <v>69.294314561277361</v>
      </c>
      <c r="AG839" s="2">
        <f t="shared" si="27"/>
        <v>63.99099536047197</v>
      </c>
      <c r="AH839" s="22">
        <f>AC839-AE839</f>
        <v>7.697345039125338</v>
      </c>
    </row>
    <row r="840" spans="1:34" x14ac:dyDescent="0.25">
      <c r="A840" s="1">
        <f>DATEVALUE(Sheet1!A839)</f>
        <v>45790</v>
      </c>
      <c r="B840" s="2">
        <f>VALUE(Sheet1!B839)</f>
        <v>73.569999999999993</v>
      </c>
      <c r="C840" s="9">
        <f>(B840-B839)/B839</f>
        <v>-1.0357815442561343E-2</v>
      </c>
      <c r="D840" s="2">
        <f>MAX(D839,B840)</f>
        <v>103.9</v>
      </c>
      <c r="E840" s="9">
        <f>(B840-D840)/D840</f>
        <v>-0.29191530317613101</v>
      </c>
      <c r="AB840" s="1">
        <f>A840</f>
        <v>45790</v>
      </c>
      <c r="AC840" s="2">
        <f>B840</f>
        <v>73.569999999999993</v>
      </c>
      <c r="AD840" s="2">
        <f>838</f>
        <v>838</v>
      </c>
      <c r="AE840" s="2">
        <f>INTERCEPT($AC$3:$AC$1136,$AD$3:$AD$1136)+SLOPE($AC$3:$AC$1136,$AD$3:$AD$1136)*AD840</f>
        <v>66.623942997462223</v>
      </c>
      <c r="AF840" s="2">
        <f t="shared" si="26"/>
        <v>69.275602597864918</v>
      </c>
      <c r="AG840" s="2">
        <f t="shared" si="27"/>
        <v>63.972283397059527</v>
      </c>
      <c r="AH840" s="22">
        <f>AC840-AE840</f>
        <v>6.9460570025377706</v>
      </c>
    </row>
    <row r="841" spans="1:34" x14ac:dyDescent="0.25">
      <c r="A841" s="1">
        <f>DATEVALUE(Sheet1!A840)</f>
        <v>45791</v>
      </c>
      <c r="B841" s="2">
        <f>VALUE(Sheet1!B840)</f>
        <v>73.12</v>
      </c>
      <c r="C841" s="9">
        <f>(B841-B840)/B840</f>
        <v>-6.1166236237595309E-3</v>
      </c>
      <c r="D841" s="2">
        <f>MAX(D840,B841)</f>
        <v>103.9</v>
      </c>
      <c r="E841" s="9">
        <f>(B841-D841)/D841</f>
        <v>-0.29624639076034648</v>
      </c>
      <c r="AB841" s="1">
        <f>A841</f>
        <v>45791</v>
      </c>
      <c r="AC841" s="2">
        <f>B841</f>
        <v>73.12</v>
      </c>
      <c r="AD841" s="2">
        <f>839</f>
        <v>839</v>
      </c>
      <c r="AE841" s="2">
        <f>INTERCEPT($AC$3:$AC$1136,$AD$3:$AD$1136)+SLOPE($AC$3:$AC$1136,$AD$3:$AD$1136)*AD841</f>
        <v>66.605231034049766</v>
      </c>
      <c r="AF841" s="2">
        <f t="shared" si="26"/>
        <v>69.256890634452461</v>
      </c>
      <c r="AG841" s="2">
        <f t="shared" si="27"/>
        <v>63.95357143364707</v>
      </c>
      <c r="AH841" s="22">
        <f>AC841-AE841</f>
        <v>6.514768965950239</v>
      </c>
    </row>
    <row r="842" spans="1:34" x14ac:dyDescent="0.25">
      <c r="A842" s="1">
        <f>DATEVALUE(Sheet1!A841)</f>
        <v>45792</v>
      </c>
      <c r="B842" s="2">
        <f>VALUE(Sheet1!B841)</f>
        <v>73.069999999999993</v>
      </c>
      <c r="C842" s="9">
        <f>(B842-B841)/B841</f>
        <v>-6.8380743982510075E-4</v>
      </c>
      <c r="D842" s="2">
        <f>MAX(D841,B842)</f>
        <v>103.9</v>
      </c>
      <c r="E842" s="9">
        <f>(B842-D842)/D842</f>
        <v>-0.29672762271414832</v>
      </c>
      <c r="AB842" s="1">
        <f>A842</f>
        <v>45792</v>
      </c>
      <c r="AC842" s="2">
        <f>B842</f>
        <v>73.069999999999993</v>
      </c>
      <c r="AD842" s="2">
        <f>840</f>
        <v>840</v>
      </c>
      <c r="AE842" s="2">
        <f>INTERCEPT($AC$3:$AC$1136,$AD$3:$AD$1136)+SLOPE($AC$3:$AC$1136,$AD$3:$AD$1136)*AD842</f>
        <v>66.586519070637323</v>
      </c>
      <c r="AF842" s="2">
        <f t="shared" si="26"/>
        <v>69.238178671040018</v>
      </c>
      <c r="AG842" s="2">
        <f t="shared" si="27"/>
        <v>63.934859470234628</v>
      </c>
      <c r="AH842" s="22">
        <f>AC842-AE842</f>
        <v>6.4834809293626705</v>
      </c>
    </row>
    <row r="843" spans="1:34" x14ac:dyDescent="0.25">
      <c r="A843" s="1">
        <f>DATEVALUE(Sheet1!A842)</f>
        <v>45793</v>
      </c>
      <c r="B843" s="2">
        <f>VALUE(Sheet1!B842)</f>
        <v>72.930000000000007</v>
      </c>
      <c r="C843" s="9">
        <f>(B843-B842)/B842</f>
        <v>-1.9159709867248716E-3</v>
      </c>
      <c r="D843" s="2">
        <f>MAX(D842,B843)</f>
        <v>103.9</v>
      </c>
      <c r="E843" s="9">
        <f>(B843-D843)/D843</f>
        <v>-0.29807507218479307</v>
      </c>
      <c r="AB843" s="1">
        <f>A843</f>
        <v>45793</v>
      </c>
      <c r="AC843" s="2">
        <f>B843</f>
        <v>72.930000000000007</v>
      </c>
      <c r="AD843" s="2">
        <f>841</f>
        <v>841</v>
      </c>
      <c r="AE843" s="2">
        <f>INTERCEPT($AC$3:$AC$1136,$AD$3:$AD$1136)+SLOPE($AC$3:$AC$1136,$AD$3:$AD$1136)*AD843</f>
        <v>66.56780710722488</v>
      </c>
      <c r="AF843" s="2">
        <f t="shared" si="26"/>
        <v>69.219466707627575</v>
      </c>
      <c r="AG843" s="2">
        <f t="shared" si="27"/>
        <v>63.916147506822185</v>
      </c>
      <c r="AH843" s="22">
        <f>AC843-AE843</f>
        <v>6.362192892775127</v>
      </c>
    </row>
    <row r="844" spans="1:34" x14ac:dyDescent="0.25">
      <c r="A844" s="1">
        <f>DATEVALUE(Sheet1!A843)</f>
        <v>45796</v>
      </c>
      <c r="B844" s="2">
        <f>VALUE(Sheet1!B843)</f>
        <v>72.680000000000007</v>
      </c>
      <c r="C844" s="9">
        <f>(B844-B843)/B843</f>
        <v>-3.4279446044151924E-3</v>
      </c>
      <c r="D844" s="2">
        <f>MAX(D843,B844)</f>
        <v>103.9</v>
      </c>
      <c r="E844" s="9">
        <f>(B844-D844)/D844</f>
        <v>-0.30048123195380172</v>
      </c>
      <c r="AB844" s="1">
        <f>A844</f>
        <v>45796</v>
      </c>
      <c r="AC844" s="2">
        <f>B844</f>
        <v>72.680000000000007</v>
      </c>
      <c r="AD844" s="2">
        <f>842</f>
        <v>842</v>
      </c>
      <c r="AE844" s="2">
        <f>INTERCEPT($AC$3:$AC$1136,$AD$3:$AD$1136)+SLOPE($AC$3:$AC$1136,$AD$3:$AD$1136)*AD844</f>
        <v>66.549095143812423</v>
      </c>
      <c r="AF844" s="2">
        <f t="shared" si="26"/>
        <v>69.200754744215118</v>
      </c>
      <c r="AG844" s="2">
        <f t="shared" si="27"/>
        <v>63.897435543409728</v>
      </c>
      <c r="AH844" s="22">
        <f>AC844-AE844</f>
        <v>6.1309048561875841</v>
      </c>
    </row>
    <row r="845" spans="1:34" x14ac:dyDescent="0.25">
      <c r="A845" s="1">
        <f>DATEVALUE(Sheet1!A844)</f>
        <v>45797</v>
      </c>
      <c r="B845" s="2">
        <f>VALUE(Sheet1!B844)</f>
        <v>72.59</v>
      </c>
      <c r="C845" s="9">
        <f>(B845-B844)/B844</f>
        <v>-1.2383048981838662E-3</v>
      </c>
      <c r="D845" s="2">
        <f>MAX(D844,B845)</f>
        <v>103.9</v>
      </c>
      <c r="E845" s="9">
        <f>(B845-D845)/D845</f>
        <v>-0.30134744947064485</v>
      </c>
      <c r="AB845" s="1">
        <f>A845</f>
        <v>45797</v>
      </c>
      <c r="AC845" s="2">
        <f>B845</f>
        <v>72.59</v>
      </c>
      <c r="AD845" s="2">
        <f>843</f>
        <v>843</v>
      </c>
      <c r="AE845" s="2">
        <f>INTERCEPT($AC$3:$AC$1136,$AD$3:$AD$1136)+SLOPE($AC$3:$AC$1136,$AD$3:$AD$1136)*AD845</f>
        <v>66.53038318039998</v>
      </c>
      <c r="AF845" s="2">
        <f t="shared" si="26"/>
        <v>69.182042780802675</v>
      </c>
      <c r="AG845" s="2">
        <f t="shared" si="27"/>
        <v>63.878723579997285</v>
      </c>
      <c r="AH845" s="22">
        <f>AC845-AE845</f>
        <v>6.0596168196000235</v>
      </c>
    </row>
    <row r="846" spans="1:34" x14ac:dyDescent="0.25">
      <c r="A846" s="1">
        <f>DATEVALUE(Sheet1!A845)</f>
        <v>45798</v>
      </c>
      <c r="B846" s="2">
        <f>VALUE(Sheet1!B845)</f>
        <v>72.03</v>
      </c>
      <c r="C846" s="9">
        <f>(B846-B845)/B845</f>
        <v>-7.7145612343298281E-3</v>
      </c>
      <c r="D846" s="2">
        <f>MAX(D845,B846)</f>
        <v>103.9</v>
      </c>
      <c r="E846" s="9">
        <f>(B846-D846)/D846</f>
        <v>-0.30673724735322427</v>
      </c>
      <c r="AB846" s="1">
        <f>A846</f>
        <v>45798</v>
      </c>
      <c r="AC846" s="2">
        <f>B846</f>
        <v>72.03</v>
      </c>
      <c r="AD846" s="2">
        <f>844</f>
        <v>844</v>
      </c>
      <c r="AE846" s="2">
        <f>INTERCEPT($AC$3:$AC$1136,$AD$3:$AD$1136)+SLOPE($AC$3:$AC$1136,$AD$3:$AD$1136)*AD846</f>
        <v>66.511671216987537</v>
      </c>
      <c r="AF846" s="2">
        <f t="shared" si="26"/>
        <v>69.163330817390232</v>
      </c>
      <c r="AG846" s="2">
        <f t="shared" si="27"/>
        <v>63.860011616584842</v>
      </c>
      <c r="AH846" s="22">
        <f>AC846-AE846</f>
        <v>5.5183287830124641</v>
      </c>
    </row>
    <row r="847" spans="1:34" x14ac:dyDescent="0.25">
      <c r="A847" s="1">
        <f>DATEVALUE(Sheet1!A846)</f>
        <v>45799</v>
      </c>
      <c r="B847" s="2">
        <f>VALUE(Sheet1!B846)</f>
        <v>71.22</v>
      </c>
      <c r="C847" s="9">
        <f>(B847-B846)/B846</f>
        <v>-1.1245314452311568E-2</v>
      </c>
      <c r="D847" s="2">
        <f>MAX(D846,B847)</f>
        <v>103.9</v>
      </c>
      <c r="E847" s="9">
        <f>(B847-D847)/D847</f>
        <v>-0.31453320500481236</v>
      </c>
      <c r="AB847" s="1">
        <f>A847</f>
        <v>45799</v>
      </c>
      <c r="AC847" s="2">
        <f>B847</f>
        <v>71.22</v>
      </c>
      <c r="AD847" s="2">
        <f>845</f>
        <v>845</v>
      </c>
      <c r="AE847" s="2">
        <f>INTERCEPT($AC$3:$AC$1136,$AD$3:$AD$1136)+SLOPE($AC$3:$AC$1136,$AD$3:$AD$1136)*AD847</f>
        <v>66.492959253575094</v>
      </c>
      <c r="AF847" s="2">
        <f t="shared" si="26"/>
        <v>69.144618853977789</v>
      </c>
      <c r="AG847" s="2">
        <f t="shared" si="27"/>
        <v>63.841299653172399</v>
      </c>
      <c r="AH847" s="22">
        <f>AC847-AE847</f>
        <v>4.7270407464249047</v>
      </c>
    </row>
    <row r="848" spans="1:34" x14ac:dyDescent="0.25">
      <c r="A848" s="1">
        <f>DATEVALUE(Sheet1!A847)</f>
        <v>45800</v>
      </c>
      <c r="B848" s="2">
        <f>VALUE(Sheet1!B847)</f>
        <v>71.13</v>
      </c>
      <c r="C848" s="9">
        <f>(B848-B847)/B847</f>
        <v>-1.2636899747262484E-3</v>
      </c>
      <c r="D848" s="2">
        <f>MAX(D847,B848)</f>
        <v>103.9</v>
      </c>
      <c r="E848" s="9">
        <f>(B848-D848)/D848</f>
        <v>-0.31539942252165554</v>
      </c>
      <c r="AB848" s="1">
        <f>A848</f>
        <v>45800</v>
      </c>
      <c r="AC848" s="2">
        <f>B848</f>
        <v>71.13</v>
      </c>
      <c r="AD848" s="2">
        <f>846</f>
        <v>846</v>
      </c>
      <c r="AE848" s="2">
        <f>INTERCEPT($AC$3:$AC$1136,$AD$3:$AD$1136)+SLOPE($AC$3:$AC$1136,$AD$3:$AD$1136)*AD848</f>
        <v>66.474247290162637</v>
      </c>
      <c r="AF848" s="2">
        <f t="shared" si="26"/>
        <v>69.125906890565332</v>
      </c>
      <c r="AG848" s="2">
        <f t="shared" si="27"/>
        <v>63.822587689759942</v>
      </c>
      <c r="AH848" s="22">
        <f>AC848-AE848</f>
        <v>4.6557527098373583</v>
      </c>
    </row>
    <row r="849" spans="1:34" x14ac:dyDescent="0.25">
      <c r="A849" s="1">
        <f>DATEVALUE(Sheet1!A848)</f>
        <v>45803</v>
      </c>
      <c r="B849" s="2">
        <f>VALUE(Sheet1!B848)</f>
        <v>71.239999999999995</v>
      </c>
      <c r="C849" s="9">
        <f>(B849-B848)/B848</f>
        <v>1.5464642204414375E-3</v>
      </c>
      <c r="D849" s="2">
        <f>MAX(D848,B849)</f>
        <v>103.9</v>
      </c>
      <c r="E849" s="9">
        <f>(B849-D849)/D849</f>
        <v>-0.31434071222329174</v>
      </c>
      <c r="AB849" s="1">
        <f>A849</f>
        <v>45803</v>
      </c>
      <c r="AC849" s="2">
        <f>B849</f>
        <v>71.239999999999995</v>
      </c>
      <c r="AD849" s="2">
        <f>847</f>
        <v>847</v>
      </c>
      <c r="AE849" s="2">
        <f>INTERCEPT($AC$3:$AC$1136,$AD$3:$AD$1136)+SLOPE($AC$3:$AC$1136,$AD$3:$AD$1136)*AD849</f>
        <v>66.455535326750194</v>
      </c>
      <c r="AF849" s="2">
        <f t="shared" si="26"/>
        <v>69.107194927152889</v>
      </c>
      <c r="AG849" s="2">
        <f t="shared" si="27"/>
        <v>63.803875726347499</v>
      </c>
      <c r="AH849" s="22">
        <f>AC849-AE849</f>
        <v>4.7844646732498006</v>
      </c>
    </row>
    <row r="850" spans="1:34" x14ac:dyDescent="0.25">
      <c r="A850" s="1">
        <f>DATEVALUE(Sheet1!A849)</f>
        <v>45804</v>
      </c>
      <c r="B850" s="2">
        <f>VALUE(Sheet1!B849)</f>
        <v>70.819999999999993</v>
      </c>
      <c r="C850" s="9">
        <f>(B850-B849)/B849</f>
        <v>-5.8955642897248984E-3</v>
      </c>
      <c r="D850" s="2">
        <f>MAX(D849,B850)</f>
        <v>103.9</v>
      </c>
      <c r="E850" s="9">
        <f>(B850-D850)/D850</f>
        <v>-0.31838306063522626</v>
      </c>
      <c r="AB850" s="1">
        <f>A850</f>
        <v>45804</v>
      </c>
      <c r="AC850" s="2">
        <f>B850</f>
        <v>70.819999999999993</v>
      </c>
      <c r="AD850" s="2">
        <f>848</f>
        <v>848</v>
      </c>
      <c r="AE850" s="2">
        <f>INTERCEPT($AC$3:$AC$1136,$AD$3:$AD$1136)+SLOPE($AC$3:$AC$1136,$AD$3:$AD$1136)*AD850</f>
        <v>66.436823363337751</v>
      </c>
      <c r="AF850" s="2">
        <f t="shared" si="26"/>
        <v>69.088482963740447</v>
      </c>
      <c r="AG850" s="2">
        <f t="shared" si="27"/>
        <v>63.785163762935056</v>
      </c>
      <c r="AH850" s="22">
        <f>AC850-AE850</f>
        <v>4.3831766366622418</v>
      </c>
    </row>
    <row r="851" spans="1:34" x14ac:dyDescent="0.25">
      <c r="A851" s="1">
        <f>DATEVALUE(Sheet1!A850)</f>
        <v>45805</v>
      </c>
      <c r="B851" s="2">
        <f>VALUE(Sheet1!B850)</f>
        <v>69.42</v>
      </c>
      <c r="C851" s="9">
        <f>(B851-B850)/B850</f>
        <v>-1.9768426998023038E-2</v>
      </c>
      <c r="D851" s="2">
        <f>MAX(D850,B851)</f>
        <v>103.9</v>
      </c>
      <c r="E851" s="9">
        <f>(B851-D851)/D851</f>
        <v>-0.33185755534167471</v>
      </c>
      <c r="AB851" s="1">
        <f>A851</f>
        <v>45805</v>
      </c>
      <c r="AC851" s="2">
        <f>B851</f>
        <v>69.42</v>
      </c>
      <c r="AD851" s="2">
        <f>849</f>
        <v>849</v>
      </c>
      <c r="AE851" s="2">
        <f>INTERCEPT($AC$3:$AC$1136,$AD$3:$AD$1136)+SLOPE($AC$3:$AC$1136,$AD$3:$AD$1136)*AD851</f>
        <v>66.418111399925294</v>
      </c>
      <c r="AF851" s="2">
        <f t="shared" si="26"/>
        <v>69.069771000327989</v>
      </c>
      <c r="AG851" s="2">
        <f t="shared" si="27"/>
        <v>63.766451799522599</v>
      </c>
      <c r="AH851" s="22">
        <f>AC851-AE851</f>
        <v>3.0018886000747074</v>
      </c>
    </row>
    <row r="852" spans="1:34" x14ac:dyDescent="0.25">
      <c r="A852" s="1">
        <f>DATEVALUE(Sheet1!A851)</f>
        <v>45806</v>
      </c>
      <c r="B852" s="2">
        <f>VALUE(Sheet1!B851)</f>
        <v>69.17</v>
      </c>
      <c r="C852" s="9">
        <f>(B852-B851)/B851</f>
        <v>-3.6012676462114663E-3</v>
      </c>
      <c r="D852" s="2">
        <f>MAX(D851,B852)</f>
        <v>103.9</v>
      </c>
      <c r="E852" s="9">
        <f>(B852-D852)/D852</f>
        <v>-0.33426371511068337</v>
      </c>
      <c r="AB852" s="1">
        <f>A852</f>
        <v>45806</v>
      </c>
      <c r="AC852" s="2">
        <f>B852</f>
        <v>69.17</v>
      </c>
      <c r="AD852" s="2">
        <f>850</f>
        <v>850</v>
      </c>
      <c r="AE852" s="2">
        <f>INTERCEPT($AC$3:$AC$1136,$AD$3:$AD$1136)+SLOPE($AC$3:$AC$1136,$AD$3:$AD$1136)*AD852</f>
        <v>66.399399436512851</v>
      </c>
      <c r="AF852" s="2">
        <f t="shared" si="26"/>
        <v>69.051059036915547</v>
      </c>
      <c r="AG852" s="2">
        <f t="shared" si="27"/>
        <v>63.747739836110156</v>
      </c>
      <c r="AH852" s="22">
        <f>AC852-AE852</f>
        <v>2.7706005634871502</v>
      </c>
    </row>
    <row r="853" spans="1:34" x14ac:dyDescent="0.25">
      <c r="A853" s="1">
        <f>DATEVALUE(Sheet1!A852)</f>
        <v>45807</v>
      </c>
      <c r="B853" s="2">
        <f>VALUE(Sheet1!B852)</f>
        <v>68.95</v>
      </c>
      <c r="C853" s="9">
        <f>(B853-B852)/B852</f>
        <v>-3.180569611103063E-3</v>
      </c>
      <c r="D853" s="2">
        <f>MAX(D852,B853)</f>
        <v>103.9</v>
      </c>
      <c r="E853" s="9">
        <f>(B853-D853)/D853</f>
        <v>-0.33638113570741096</v>
      </c>
      <c r="AB853" s="1">
        <f>A853</f>
        <v>45807</v>
      </c>
      <c r="AC853" s="2">
        <f>B853</f>
        <v>68.95</v>
      </c>
      <c r="AD853" s="2">
        <f>851</f>
        <v>851</v>
      </c>
      <c r="AE853" s="2">
        <f>INTERCEPT($AC$3:$AC$1136,$AD$3:$AD$1136)+SLOPE($AC$3:$AC$1136,$AD$3:$AD$1136)*AD853</f>
        <v>66.380687473100409</v>
      </c>
      <c r="AF853" s="2">
        <f t="shared" si="26"/>
        <v>69.032347073503104</v>
      </c>
      <c r="AG853" s="2">
        <f t="shared" si="27"/>
        <v>63.729027872697714</v>
      </c>
      <c r="AH853" s="22">
        <f>AC853-AE853</f>
        <v>2.5693125268995942</v>
      </c>
    </row>
    <row r="854" spans="1:34" x14ac:dyDescent="0.25">
      <c r="A854" s="1">
        <f>DATEVALUE(Sheet1!A853)</f>
        <v>45810</v>
      </c>
      <c r="B854" s="2">
        <f>VALUE(Sheet1!B853)</f>
        <v>68.849999999999994</v>
      </c>
      <c r="C854" s="9">
        <f>(B854-B853)/B853</f>
        <v>-1.4503263234228938E-3</v>
      </c>
      <c r="D854" s="2">
        <f>MAX(D853,B854)</f>
        <v>103.9</v>
      </c>
      <c r="E854" s="9">
        <f>(B854-D854)/D854</f>
        <v>-0.33734359961501453</v>
      </c>
      <c r="AB854" s="1">
        <f>A854</f>
        <v>45810</v>
      </c>
      <c r="AC854" s="2">
        <f>B854</f>
        <v>68.849999999999994</v>
      </c>
      <c r="AD854" s="2">
        <f>852</f>
        <v>852</v>
      </c>
      <c r="AE854" s="2">
        <f>INTERCEPT($AC$3:$AC$1136,$AD$3:$AD$1136)+SLOPE($AC$3:$AC$1136,$AD$3:$AD$1136)*AD854</f>
        <v>66.361975509687966</v>
      </c>
      <c r="AF854" s="2">
        <f t="shared" si="26"/>
        <v>69.013635110090661</v>
      </c>
      <c r="AG854" s="2">
        <f t="shared" si="27"/>
        <v>63.710315909285271</v>
      </c>
      <c r="AH854" s="22">
        <f>AC854-AE854</f>
        <v>2.4880244903120285</v>
      </c>
    </row>
    <row r="855" spans="1:34" x14ac:dyDescent="0.25">
      <c r="A855" s="1">
        <f>DATEVALUE(Sheet1!A854)</f>
        <v>45811</v>
      </c>
      <c r="B855" s="2">
        <f>VALUE(Sheet1!B854)</f>
        <v>68.89</v>
      </c>
      <c r="C855" s="9">
        <f>(B855-B854)/B854</f>
        <v>5.8097312999282871E-4</v>
      </c>
      <c r="D855" s="2">
        <f>MAX(D854,B855)</f>
        <v>103.9</v>
      </c>
      <c r="E855" s="9">
        <f>(B855-D855)/D855</f>
        <v>-0.33695861405197308</v>
      </c>
      <c r="AB855" s="1">
        <f>A855</f>
        <v>45811</v>
      </c>
      <c r="AC855" s="2">
        <f>B855</f>
        <v>68.89</v>
      </c>
      <c r="AD855" s="2">
        <f>853</f>
        <v>853</v>
      </c>
      <c r="AE855" s="2">
        <f>INTERCEPT($AC$3:$AC$1136,$AD$3:$AD$1136)+SLOPE($AC$3:$AC$1136,$AD$3:$AD$1136)*AD855</f>
        <v>66.343263546275509</v>
      </c>
      <c r="AF855" s="2">
        <f t="shared" si="26"/>
        <v>68.994923146678204</v>
      </c>
      <c r="AG855" s="2">
        <f t="shared" si="27"/>
        <v>63.691603945872814</v>
      </c>
      <c r="AH855" s="22">
        <f>AC855-AE855</f>
        <v>2.5467364537244919</v>
      </c>
    </row>
    <row r="856" spans="1:34" x14ac:dyDescent="0.25">
      <c r="A856" s="1">
        <f>DATEVALUE(Sheet1!A855)</f>
        <v>45812</v>
      </c>
      <c r="B856" s="2">
        <f>VALUE(Sheet1!B855)</f>
        <v>69.02</v>
      </c>
      <c r="C856" s="9">
        <f>(B856-B855)/B855</f>
        <v>1.8870663376396495E-3</v>
      </c>
      <c r="D856" s="2">
        <f>MAX(D855,B856)</f>
        <v>103.9</v>
      </c>
      <c r="E856" s="9">
        <f>(B856-D856)/D856</f>
        <v>-0.33570741097208862</v>
      </c>
      <c r="AB856" s="1">
        <f>A856</f>
        <v>45812</v>
      </c>
      <c r="AC856" s="2">
        <f>B856</f>
        <v>69.02</v>
      </c>
      <c r="AD856" s="2">
        <f>854</f>
        <v>854</v>
      </c>
      <c r="AE856" s="2">
        <f>INTERCEPT($AC$3:$AC$1136,$AD$3:$AD$1136)+SLOPE($AC$3:$AC$1136,$AD$3:$AD$1136)*AD856</f>
        <v>66.324551582863066</v>
      </c>
      <c r="AF856" s="2">
        <f t="shared" si="26"/>
        <v>68.976211183265761</v>
      </c>
      <c r="AG856" s="2">
        <f t="shared" si="27"/>
        <v>63.672891982460371</v>
      </c>
      <c r="AH856" s="22">
        <f>AC856-AE856</f>
        <v>2.6954484171369302</v>
      </c>
    </row>
    <row r="857" spans="1:34" x14ac:dyDescent="0.25">
      <c r="A857" s="1">
        <f>DATEVALUE(Sheet1!A856)</f>
        <v>45813</v>
      </c>
      <c r="B857" s="2">
        <f>VALUE(Sheet1!B856)</f>
        <v>68.959999999999994</v>
      </c>
      <c r="C857" s="9">
        <f>(B857-B856)/B856</f>
        <v>-8.6931324253842763E-4</v>
      </c>
      <c r="D857" s="2">
        <f>MAX(D856,B857)</f>
        <v>103.9</v>
      </c>
      <c r="E857" s="9">
        <f>(B857-D857)/D857</f>
        <v>-0.33628488931665074</v>
      </c>
      <c r="AB857" s="1">
        <f>A857</f>
        <v>45813</v>
      </c>
      <c r="AC857" s="2">
        <f>B857</f>
        <v>68.959999999999994</v>
      </c>
      <c r="AD857" s="2">
        <f>855</f>
        <v>855</v>
      </c>
      <c r="AE857" s="2">
        <f>INTERCEPT($AC$3:$AC$1136,$AD$3:$AD$1136)+SLOPE($AC$3:$AC$1136,$AD$3:$AD$1136)*AD857</f>
        <v>66.305839619450623</v>
      </c>
      <c r="AF857" s="2">
        <f t="shared" si="26"/>
        <v>68.957499219853318</v>
      </c>
      <c r="AG857" s="2">
        <f t="shared" si="27"/>
        <v>63.654180019047928</v>
      </c>
      <c r="AH857" s="22">
        <f>AC857-AE857</f>
        <v>2.6541603805493708</v>
      </c>
    </row>
    <row r="858" spans="1:34" x14ac:dyDescent="0.25">
      <c r="A858" s="1">
        <f>DATEVALUE(Sheet1!A857)</f>
        <v>45814</v>
      </c>
      <c r="B858" s="2">
        <f>VALUE(Sheet1!B857)</f>
        <v>69.53</v>
      </c>
      <c r="C858" s="9">
        <f>(B858-B857)/B857</f>
        <v>8.2656612529003401E-3</v>
      </c>
      <c r="D858" s="2">
        <f>MAX(D857,B858)</f>
        <v>103.9</v>
      </c>
      <c r="E858" s="9">
        <f>(B858-D858)/D858</f>
        <v>-0.33079884504331092</v>
      </c>
      <c r="AB858" s="1">
        <f>A858</f>
        <v>45814</v>
      </c>
      <c r="AC858" s="2">
        <f>B858</f>
        <v>69.53</v>
      </c>
      <c r="AD858" s="2">
        <f>856</f>
        <v>856</v>
      </c>
      <c r="AE858" s="2">
        <f>INTERCEPT($AC$3:$AC$1136,$AD$3:$AD$1136)+SLOPE($AC$3:$AC$1136,$AD$3:$AD$1136)*AD858</f>
        <v>66.287127656038166</v>
      </c>
      <c r="AF858" s="2">
        <f t="shared" si="26"/>
        <v>68.938787256440861</v>
      </c>
      <c r="AG858" s="2">
        <f t="shared" si="27"/>
        <v>63.635468055635471</v>
      </c>
      <c r="AH858" s="22">
        <f>AC858-AE858</f>
        <v>3.2428723439618352</v>
      </c>
    </row>
    <row r="859" spans="1:34" x14ac:dyDescent="0.25">
      <c r="A859" s="1">
        <f>DATEVALUE(Sheet1!A858)</f>
        <v>45817</v>
      </c>
      <c r="B859" s="2">
        <f>VALUE(Sheet1!B858)</f>
        <v>68.790000000000006</v>
      </c>
      <c r="C859" s="9">
        <f>(B859-B858)/B858</f>
        <v>-1.0642887962030704E-2</v>
      </c>
      <c r="D859" s="2">
        <f>MAX(D858,B859)</f>
        <v>103.9</v>
      </c>
      <c r="E859" s="9">
        <f>(B859-D859)/D859</f>
        <v>-0.33792107795957649</v>
      </c>
      <c r="AB859" s="1">
        <f>A859</f>
        <v>45817</v>
      </c>
      <c r="AC859" s="2">
        <f>B859</f>
        <v>68.790000000000006</v>
      </c>
      <c r="AD859" s="2">
        <f>857</f>
        <v>857</v>
      </c>
      <c r="AE859" s="2">
        <f>INTERCEPT($AC$3:$AC$1136,$AD$3:$AD$1136)+SLOPE($AC$3:$AC$1136,$AD$3:$AD$1136)*AD859</f>
        <v>66.268415692625723</v>
      </c>
      <c r="AF859" s="2">
        <f t="shared" si="26"/>
        <v>68.920075293028418</v>
      </c>
      <c r="AG859" s="2">
        <f t="shared" si="27"/>
        <v>63.616756092223028</v>
      </c>
      <c r="AH859" s="22">
        <f>AC859-AE859</f>
        <v>2.5215843073742832</v>
      </c>
    </row>
    <row r="860" spans="1:34" x14ac:dyDescent="0.25">
      <c r="A860" s="1">
        <f>DATEVALUE(Sheet1!A859)</f>
        <v>45818</v>
      </c>
      <c r="B860" s="2">
        <f>VALUE(Sheet1!B859)</f>
        <v>67.73</v>
      </c>
      <c r="C860" s="9">
        <f>(B860-B859)/B859</f>
        <v>-1.5409216455880247E-2</v>
      </c>
      <c r="D860" s="2">
        <f>MAX(D859,B860)</f>
        <v>103.9</v>
      </c>
      <c r="E860" s="9">
        <f>(B860-D860)/D860</f>
        <v>-0.34812319538017322</v>
      </c>
      <c r="AB860" s="1">
        <f>A860</f>
        <v>45818</v>
      </c>
      <c r="AC860" s="2">
        <f>B860</f>
        <v>67.73</v>
      </c>
      <c r="AD860" s="2">
        <f>858</f>
        <v>858</v>
      </c>
      <c r="AE860" s="2">
        <f>INTERCEPT($AC$3:$AC$1136,$AD$3:$AD$1136)+SLOPE($AC$3:$AC$1136,$AD$3:$AD$1136)*AD860</f>
        <v>66.24970372921328</v>
      </c>
      <c r="AF860" s="2">
        <f t="shared" si="26"/>
        <v>68.901363329615975</v>
      </c>
      <c r="AG860" s="2">
        <f t="shared" si="27"/>
        <v>63.598044128810585</v>
      </c>
      <c r="AH860" s="22">
        <f>AC860-AE860</f>
        <v>1.4802962707867238</v>
      </c>
    </row>
    <row r="861" spans="1:34" x14ac:dyDescent="0.25">
      <c r="A861" s="1">
        <f>DATEVALUE(Sheet1!A860)</f>
        <v>45819</v>
      </c>
      <c r="B861" s="2">
        <f>VALUE(Sheet1!B860)</f>
        <v>67.97</v>
      </c>
      <c r="C861" s="9">
        <f>(B861-B860)/B860</f>
        <v>3.5434814705447345E-3</v>
      </c>
      <c r="D861" s="2">
        <f>MAX(D860,B861)</f>
        <v>103.9</v>
      </c>
      <c r="E861" s="9">
        <f>(B861-D861)/D861</f>
        <v>-0.34581328200192496</v>
      </c>
      <c r="AB861" s="1">
        <f>A861</f>
        <v>45819</v>
      </c>
      <c r="AC861" s="2">
        <f>B861</f>
        <v>67.97</v>
      </c>
      <c r="AD861" s="2">
        <f>859</f>
        <v>859</v>
      </c>
      <c r="AE861" s="2">
        <f>INTERCEPT($AC$3:$AC$1136,$AD$3:$AD$1136)+SLOPE($AC$3:$AC$1136,$AD$3:$AD$1136)*AD861</f>
        <v>66.230991765800837</v>
      </c>
      <c r="AF861" s="2">
        <f t="shared" si="26"/>
        <v>68.882651366203532</v>
      </c>
      <c r="AG861" s="2">
        <f t="shared" si="27"/>
        <v>63.579332165398142</v>
      </c>
      <c r="AH861" s="22">
        <f>AC861-AE861</f>
        <v>1.7390082341991615</v>
      </c>
    </row>
    <row r="862" spans="1:34" x14ac:dyDescent="0.25">
      <c r="A862" s="1">
        <f>DATEVALUE(Sheet1!A861)</f>
        <v>45820</v>
      </c>
      <c r="B862" s="2">
        <f>VALUE(Sheet1!B861)</f>
        <v>67.64</v>
      </c>
      <c r="C862" s="9">
        <f>(B862-B861)/B861</f>
        <v>-4.8550831249080228E-3</v>
      </c>
      <c r="D862" s="2">
        <f>MAX(D861,B862)</f>
        <v>103.9</v>
      </c>
      <c r="E862" s="9">
        <f>(B862-D862)/D862</f>
        <v>-0.3489894128970164</v>
      </c>
      <c r="AB862" s="1">
        <f>A862</f>
        <v>45820</v>
      </c>
      <c r="AC862" s="2">
        <f>B862</f>
        <v>67.64</v>
      </c>
      <c r="AD862" s="2">
        <f>860</f>
        <v>860</v>
      </c>
      <c r="AE862" s="2">
        <f>INTERCEPT($AC$3:$AC$1136,$AD$3:$AD$1136)+SLOPE($AC$3:$AC$1136,$AD$3:$AD$1136)*AD862</f>
        <v>66.212279802388395</v>
      </c>
      <c r="AF862" s="2">
        <f t="shared" si="26"/>
        <v>68.86393940279109</v>
      </c>
      <c r="AG862" s="2">
        <f t="shared" si="27"/>
        <v>63.560620201985699</v>
      </c>
      <c r="AH862" s="22">
        <f>AC862-AE862</f>
        <v>1.4277201976116061</v>
      </c>
    </row>
    <row r="863" spans="1:34" x14ac:dyDescent="0.25">
      <c r="A863" s="1">
        <f>DATEVALUE(Sheet1!A862)</f>
        <v>45821</v>
      </c>
      <c r="B863" s="2">
        <f>VALUE(Sheet1!B862)</f>
        <v>67.61</v>
      </c>
      <c r="C863" s="9">
        <f>(B863-B862)/B862</f>
        <v>-4.4352454169132373E-4</v>
      </c>
      <c r="D863" s="2">
        <f>MAX(D862,B863)</f>
        <v>103.9</v>
      </c>
      <c r="E863" s="9">
        <f>(B863-D863)/D863</f>
        <v>-0.34927815206929747</v>
      </c>
      <c r="AB863" s="1">
        <f>A863</f>
        <v>45821</v>
      </c>
      <c r="AC863" s="2">
        <f>B863</f>
        <v>67.61</v>
      </c>
      <c r="AD863" s="2">
        <f>861</f>
        <v>861</v>
      </c>
      <c r="AE863" s="2">
        <f>INTERCEPT($AC$3:$AC$1136,$AD$3:$AD$1136)+SLOPE($AC$3:$AC$1136,$AD$3:$AD$1136)*AD863</f>
        <v>66.193567838975937</v>
      </c>
      <c r="AF863" s="2">
        <f t="shared" si="26"/>
        <v>68.845227439378633</v>
      </c>
      <c r="AG863" s="2">
        <f t="shared" si="27"/>
        <v>63.541908238573242</v>
      </c>
      <c r="AH863" s="22">
        <f>AC863-AE863</f>
        <v>1.416432161024062</v>
      </c>
    </row>
    <row r="864" spans="1:34" x14ac:dyDescent="0.25">
      <c r="A864" s="1">
        <f>DATEVALUE(Sheet1!A863)</f>
        <v>45824</v>
      </c>
      <c r="B864" s="2">
        <f>VALUE(Sheet1!B863)</f>
        <v>67.5</v>
      </c>
      <c r="C864" s="9">
        <f>(B864-B863)/B863</f>
        <v>-1.6269782576541847E-3</v>
      </c>
      <c r="D864" s="2">
        <f>MAX(D863,B864)</f>
        <v>103.9</v>
      </c>
      <c r="E864" s="9">
        <f>(B864-D864)/D864</f>
        <v>-0.35033686236766126</v>
      </c>
      <c r="AB864" s="1">
        <f>A864</f>
        <v>45824</v>
      </c>
      <c r="AC864" s="2">
        <f>B864</f>
        <v>67.5</v>
      </c>
      <c r="AD864" s="2">
        <f>862</f>
        <v>862</v>
      </c>
      <c r="AE864" s="2">
        <f>INTERCEPT($AC$3:$AC$1136,$AD$3:$AD$1136)+SLOPE($AC$3:$AC$1136,$AD$3:$AD$1136)*AD864</f>
        <v>66.174855875563495</v>
      </c>
      <c r="AF864" s="2">
        <f t="shared" si="26"/>
        <v>68.82651547596619</v>
      </c>
      <c r="AG864" s="2">
        <f t="shared" si="27"/>
        <v>63.523196275160799</v>
      </c>
      <c r="AH864" s="22">
        <f>AC864-AE864</f>
        <v>1.3251441244365054</v>
      </c>
    </row>
    <row r="865" spans="1:34" x14ac:dyDescent="0.25">
      <c r="A865" s="1">
        <f>DATEVALUE(Sheet1!A864)</f>
        <v>45825</v>
      </c>
      <c r="B865" s="2">
        <f>VALUE(Sheet1!B864)</f>
        <v>67.36</v>
      </c>
      <c r="C865" s="9">
        <f>(B865-B864)/B864</f>
        <v>-2.0740740740740823E-3</v>
      </c>
      <c r="D865" s="2">
        <f>MAX(D864,B865)</f>
        <v>103.9</v>
      </c>
      <c r="E865" s="9">
        <f>(B865-D865)/D865</f>
        <v>-0.35168431183830612</v>
      </c>
      <c r="AB865" s="1">
        <f>A865</f>
        <v>45825</v>
      </c>
      <c r="AC865" s="2">
        <f>B865</f>
        <v>67.36</v>
      </c>
      <c r="AD865" s="2">
        <f>863</f>
        <v>863</v>
      </c>
      <c r="AE865" s="2">
        <f>INTERCEPT($AC$3:$AC$1136,$AD$3:$AD$1136)+SLOPE($AC$3:$AC$1136,$AD$3:$AD$1136)*AD865</f>
        <v>66.156143912151052</v>
      </c>
      <c r="AF865" s="2">
        <f t="shared" si="26"/>
        <v>68.807803512553747</v>
      </c>
      <c r="AG865" s="2">
        <f t="shared" si="27"/>
        <v>63.504484311748357</v>
      </c>
      <c r="AH865" s="22">
        <f>AC865-AE865</f>
        <v>1.2038560878489477</v>
      </c>
    </row>
    <row r="866" spans="1:34" x14ac:dyDescent="0.25">
      <c r="A866" s="1">
        <f>DATEVALUE(Sheet1!A865)</f>
        <v>45826</v>
      </c>
      <c r="B866" s="2">
        <f>VALUE(Sheet1!B865)</f>
        <v>68.069999999999993</v>
      </c>
      <c r="C866" s="9">
        <f>(B866-B865)/B865</f>
        <v>1.0540380047505845E-2</v>
      </c>
      <c r="D866" s="2">
        <f>MAX(D865,B866)</f>
        <v>103.9</v>
      </c>
      <c r="E866" s="9">
        <f>(B866-D866)/D866</f>
        <v>-0.34485081809432155</v>
      </c>
      <c r="AB866" s="1">
        <f>A866</f>
        <v>45826</v>
      </c>
      <c r="AC866" s="2">
        <f>B866</f>
        <v>68.069999999999993</v>
      </c>
      <c r="AD866" s="2">
        <f>864</f>
        <v>864</v>
      </c>
      <c r="AE866" s="2">
        <f>INTERCEPT($AC$3:$AC$1136,$AD$3:$AD$1136)+SLOPE($AC$3:$AC$1136,$AD$3:$AD$1136)*AD866</f>
        <v>66.137431948738595</v>
      </c>
      <c r="AF866" s="2">
        <f t="shared" si="26"/>
        <v>68.78909154914129</v>
      </c>
      <c r="AG866" s="2">
        <f t="shared" si="27"/>
        <v>63.4857723483359</v>
      </c>
      <c r="AH866" s="22">
        <f>AC866-AE866</f>
        <v>1.9325680512613985</v>
      </c>
    </row>
    <row r="867" spans="1:34" x14ac:dyDescent="0.25">
      <c r="A867" s="1">
        <f>DATEVALUE(Sheet1!A866)</f>
        <v>45828</v>
      </c>
      <c r="B867" s="2">
        <f>VALUE(Sheet1!B866)</f>
        <v>68.11</v>
      </c>
      <c r="C867" s="9">
        <f>(B867-B866)/B866</f>
        <v>5.8763038049076326E-4</v>
      </c>
      <c r="D867" s="2">
        <f>MAX(D866,B867)</f>
        <v>103.9</v>
      </c>
      <c r="E867" s="9">
        <f>(B867-D867)/D867</f>
        <v>-0.3444658325312801</v>
      </c>
      <c r="AB867" s="1">
        <f>A867</f>
        <v>45828</v>
      </c>
      <c r="AC867" s="2">
        <f>B867</f>
        <v>68.11</v>
      </c>
      <c r="AD867" s="2">
        <f>865</f>
        <v>865</v>
      </c>
      <c r="AE867" s="2">
        <f>INTERCEPT($AC$3:$AC$1136,$AD$3:$AD$1136)+SLOPE($AC$3:$AC$1136,$AD$3:$AD$1136)*AD867</f>
        <v>66.118719985326152</v>
      </c>
      <c r="AF867" s="2">
        <f t="shared" si="26"/>
        <v>68.770379585728847</v>
      </c>
      <c r="AG867" s="2">
        <f t="shared" si="27"/>
        <v>63.467060384923457</v>
      </c>
      <c r="AH867" s="22">
        <f>AC867-AE867</f>
        <v>1.9912800146738476</v>
      </c>
    </row>
    <row r="868" spans="1:34" x14ac:dyDescent="0.25">
      <c r="A868" s="1">
        <f>DATEVALUE(Sheet1!A867)</f>
        <v>45831</v>
      </c>
      <c r="B868" s="2">
        <f>VALUE(Sheet1!B867)</f>
        <v>68.430000000000007</v>
      </c>
      <c r="C868" s="9">
        <f>(B868-B867)/B867</f>
        <v>4.6982821905741795E-3</v>
      </c>
      <c r="D868" s="2">
        <f>MAX(D867,B868)</f>
        <v>103.9</v>
      </c>
      <c r="E868" s="9">
        <f>(B868-D868)/D868</f>
        <v>-0.34138594802694894</v>
      </c>
      <c r="AB868" s="1">
        <f>A868</f>
        <v>45831</v>
      </c>
      <c r="AC868" s="2">
        <f>B868</f>
        <v>68.430000000000007</v>
      </c>
      <c r="AD868" s="2">
        <f>866</f>
        <v>866</v>
      </c>
      <c r="AE868" s="2">
        <f>INTERCEPT($AC$3:$AC$1136,$AD$3:$AD$1136)+SLOPE($AC$3:$AC$1136,$AD$3:$AD$1136)*AD868</f>
        <v>66.100008021913709</v>
      </c>
      <c r="AF868" s="2">
        <f t="shared" si="26"/>
        <v>68.751667622316404</v>
      </c>
      <c r="AG868" s="2">
        <f t="shared" si="27"/>
        <v>63.448348421511014</v>
      </c>
      <c r="AH868" s="22">
        <f>AC868-AE868</f>
        <v>2.3299919780862979</v>
      </c>
    </row>
    <row r="869" spans="1:34" x14ac:dyDescent="0.25">
      <c r="A869" s="1">
        <f>DATEVALUE(Sheet1!A868)</f>
        <v>45832</v>
      </c>
      <c r="B869" s="2">
        <f>VALUE(Sheet1!B868)</f>
        <v>68.27</v>
      </c>
      <c r="C869" s="9">
        <f>(B869-B868)/B868</f>
        <v>-2.3381557796289753E-3</v>
      </c>
      <c r="D869" s="2">
        <f>MAX(D868,B869)</f>
        <v>103.9</v>
      </c>
      <c r="E869" s="9">
        <f>(B869-D869)/D869</f>
        <v>-0.34292589027911463</v>
      </c>
      <c r="AB869" s="1">
        <f>A869</f>
        <v>45832</v>
      </c>
      <c r="AC869" s="2">
        <f>B869</f>
        <v>68.27</v>
      </c>
      <c r="AD869" s="2">
        <f>867</f>
        <v>867</v>
      </c>
      <c r="AE869" s="2">
        <f>INTERCEPT($AC$3:$AC$1136,$AD$3:$AD$1136)+SLOPE($AC$3:$AC$1136,$AD$3:$AD$1136)*AD869</f>
        <v>66.081296058501266</v>
      </c>
      <c r="AF869" s="2">
        <f t="shared" si="26"/>
        <v>68.732955658903961</v>
      </c>
      <c r="AG869" s="2">
        <f t="shared" si="27"/>
        <v>63.429636458098571</v>
      </c>
      <c r="AH869" s="22">
        <f>AC869-AE869</f>
        <v>2.1887039414987299</v>
      </c>
    </row>
    <row r="870" spans="1:34" x14ac:dyDescent="0.25">
      <c r="A870" s="1">
        <f>DATEVALUE(Sheet1!A869)</f>
        <v>45833</v>
      </c>
      <c r="B870" s="2">
        <f>VALUE(Sheet1!B869)</f>
        <v>68.040000000000006</v>
      </c>
      <c r="C870" s="9">
        <f>(B870-B869)/B869</f>
        <v>-3.3689761242125353E-3</v>
      </c>
      <c r="D870" s="2">
        <f>MAX(D869,B870)</f>
        <v>103.9</v>
      </c>
      <c r="E870" s="9">
        <f>(B870-D870)/D870</f>
        <v>-0.3451395572666025</v>
      </c>
      <c r="AB870" s="1">
        <f>A870</f>
        <v>45833</v>
      </c>
      <c r="AC870" s="2">
        <f>B870</f>
        <v>68.040000000000006</v>
      </c>
      <c r="AD870" s="2">
        <f>868</f>
        <v>868</v>
      </c>
      <c r="AE870" s="2">
        <f>INTERCEPT($AC$3:$AC$1136,$AD$3:$AD$1136)+SLOPE($AC$3:$AC$1136,$AD$3:$AD$1136)*AD870</f>
        <v>66.062584095088809</v>
      </c>
      <c r="AF870" s="2">
        <f t="shared" si="26"/>
        <v>68.714243695491504</v>
      </c>
      <c r="AG870" s="2">
        <f t="shared" si="27"/>
        <v>63.410924494686114</v>
      </c>
      <c r="AH870" s="22">
        <f>AC870-AE870</f>
        <v>1.9774159049111972</v>
      </c>
    </row>
    <row r="871" spans="1:34" x14ac:dyDescent="0.25">
      <c r="A871" s="1">
        <f>DATEVALUE(Sheet1!A870)</f>
        <v>45834</v>
      </c>
      <c r="B871" s="2">
        <f>VALUE(Sheet1!B870)</f>
        <v>67.58</v>
      </c>
      <c r="C871" s="9">
        <f>(B871-B870)/B870</f>
        <v>-6.7607289829513216E-3</v>
      </c>
      <c r="D871" s="2">
        <f>MAX(D870,B871)</f>
        <v>103.9</v>
      </c>
      <c r="E871" s="9">
        <f>(B871-D871)/D871</f>
        <v>-0.34956689124157847</v>
      </c>
      <c r="AB871" s="1">
        <f>A871</f>
        <v>45834</v>
      </c>
      <c r="AC871" s="2">
        <f>B871</f>
        <v>67.58</v>
      </c>
      <c r="AD871" s="2">
        <f>869</f>
        <v>869</v>
      </c>
      <c r="AE871" s="2">
        <f>INTERCEPT($AC$3:$AC$1136,$AD$3:$AD$1136)+SLOPE($AC$3:$AC$1136,$AD$3:$AD$1136)*AD871</f>
        <v>66.043872131676366</v>
      </c>
      <c r="AF871" s="2">
        <f t="shared" si="26"/>
        <v>68.695531732079061</v>
      </c>
      <c r="AG871" s="2">
        <f t="shared" si="27"/>
        <v>63.392212531273671</v>
      </c>
      <c r="AH871" s="22">
        <f>AC871-AE871</f>
        <v>1.5361278683236321</v>
      </c>
    </row>
    <row r="872" spans="1:34" x14ac:dyDescent="0.25">
      <c r="A872" s="1">
        <f>DATEVALUE(Sheet1!A871)</f>
        <v>45835</v>
      </c>
      <c r="B872" s="2">
        <f>VALUE(Sheet1!B871)</f>
        <v>67.650000000000006</v>
      </c>
      <c r="C872" s="9">
        <f>(B872-B871)/B871</f>
        <v>1.0358094110684728E-3</v>
      </c>
      <c r="D872" s="2">
        <f>MAX(D871,B872)</f>
        <v>103.9</v>
      </c>
      <c r="E872" s="9">
        <f>(B872-D872)/D872</f>
        <v>-0.34889316650625601</v>
      </c>
      <c r="AB872" s="1">
        <f>A872</f>
        <v>45835</v>
      </c>
      <c r="AC872" s="2">
        <f>B872</f>
        <v>67.650000000000006</v>
      </c>
      <c r="AD872" s="2">
        <f>870</f>
        <v>870</v>
      </c>
      <c r="AE872" s="2">
        <f>INTERCEPT($AC$3:$AC$1136,$AD$3:$AD$1136)+SLOPE($AC$3:$AC$1136,$AD$3:$AD$1136)*AD872</f>
        <v>66.025160168263923</v>
      </c>
      <c r="AF872" s="2">
        <f t="shared" si="26"/>
        <v>68.676819768666618</v>
      </c>
      <c r="AG872" s="2">
        <f t="shared" si="27"/>
        <v>63.373500567861228</v>
      </c>
      <c r="AH872" s="22">
        <f>AC872-AE872</f>
        <v>1.6248398317360824</v>
      </c>
    </row>
    <row r="873" spans="1:34" x14ac:dyDescent="0.25">
      <c r="A873" s="1">
        <f>DATEVALUE(Sheet1!A872)</f>
        <v>45838</v>
      </c>
      <c r="B873" s="2">
        <f>VALUE(Sheet1!B872)</f>
        <v>67.02</v>
      </c>
      <c r="C873" s="9">
        <f>(B873-B872)/B872</f>
        <v>-9.3126385809314052E-3</v>
      </c>
      <c r="D873" s="2">
        <f>MAX(D872,B873)</f>
        <v>103.9</v>
      </c>
      <c r="E873" s="9">
        <f>(B873-D873)/D873</f>
        <v>-0.3549566891241579</v>
      </c>
      <c r="AB873" s="1">
        <f>A873</f>
        <v>45838</v>
      </c>
      <c r="AC873" s="2">
        <f>B873</f>
        <v>67.02</v>
      </c>
      <c r="AD873" s="2">
        <f>871</f>
        <v>871</v>
      </c>
      <c r="AE873" s="2">
        <f>INTERCEPT($AC$3:$AC$1136,$AD$3:$AD$1136)+SLOPE($AC$3:$AC$1136,$AD$3:$AD$1136)*AD873</f>
        <v>66.006448204851466</v>
      </c>
      <c r="AF873" s="2">
        <f t="shared" si="26"/>
        <v>68.658107805254161</v>
      </c>
      <c r="AG873" s="2">
        <f t="shared" si="27"/>
        <v>63.354788604448771</v>
      </c>
      <c r="AH873" s="22">
        <f>AC873-AE873</f>
        <v>1.0135517951485298</v>
      </c>
    </row>
    <row r="874" spans="1:34" x14ac:dyDescent="0.25">
      <c r="A874" s="1">
        <f>DATEVALUE(Sheet1!A873)</f>
        <v>45839</v>
      </c>
      <c r="B874" s="2">
        <f>VALUE(Sheet1!B873)</f>
        <v>65.680000000000007</v>
      </c>
      <c r="C874" s="9">
        <f>(B874-B873)/B873</f>
        <v>-1.9994031632348391E-2</v>
      </c>
      <c r="D874" s="2">
        <f>MAX(D873,B874)</f>
        <v>103.9</v>
      </c>
      <c r="E874" s="9">
        <f>(B874-D874)/D874</f>
        <v>-0.36785370548604424</v>
      </c>
      <c r="AB874" s="1">
        <f>A874</f>
        <v>45839</v>
      </c>
      <c r="AC874" s="2">
        <f>B874</f>
        <v>65.680000000000007</v>
      </c>
      <c r="AD874" s="2">
        <f>872</f>
        <v>872</v>
      </c>
      <c r="AE874" s="2">
        <f>INTERCEPT($AC$3:$AC$1136,$AD$3:$AD$1136)+SLOPE($AC$3:$AC$1136,$AD$3:$AD$1136)*AD874</f>
        <v>65.987736241439023</v>
      </c>
      <c r="AF874" s="2">
        <f t="shared" si="26"/>
        <v>68.639395841841718</v>
      </c>
      <c r="AG874" s="2">
        <f t="shared" si="27"/>
        <v>63.336076641036328</v>
      </c>
      <c r="AH874" s="22">
        <f>AC874-AE874</f>
        <v>-0.30773624143901657</v>
      </c>
    </row>
    <row r="875" spans="1:34" x14ac:dyDescent="0.25">
      <c r="A875" s="1">
        <f>DATEVALUE(Sheet1!A874)</f>
        <v>45840</v>
      </c>
      <c r="B875" s="2">
        <f>VALUE(Sheet1!B874)</f>
        <v>65.25</v>
      </c>
      <c r="C875" s="9">
        <f>(B875-B874)/B874</f>
        <v>-6.5468940316687997E-3</v>
      </c>
      <c r="D875" s="2">
        <f>MAX(D874,B875)</f>
        <v>103.9</v>
      </c>
      <c r="E875" s="9">
        <f>(B875-D875)/D875</f>
        <v>-0.3719923002887392</v>
      </c>
      <c r="AB875" s="1">
        <f>A875</f>
        <v>45840</v>
      </c>
      <c r="AC875" s="2">
        <f>B875</f>
        <v>65.25</v>
      </c>
      <c r="AD875" s="2">
        <f>873</f>
        <v>873</v>
      </c>
      <c r="AE875" s="2">
        <f>INTERCEPT($AC$3:$AC$1136,$AD$3:$AD$1136)+SLOPE($AC$3:$AC$1136,$AD$3:$AD$1136)*AD875</f>
        <v>65.969024278026581</v>
      </c>
      <c r="AF875" s="2">
        <f t="shared" si="26"/>
        <v>68.620683878429276</v>
      </c>
      <c r="AG875" s="2">
        <f t="shared" si="27"/>
        <v>63.317364677623885</v>
      </c>
      <c r="AH875" s="22">
        <f>AC875-AE875</f>
        <v>-0.71902427802658053</v>
      </c>
    </row>
    <row r="876" spans="1:34" x14ac:dyDescent="0.25">
      <c r="A876" s="1">
        <f>DATEVALUE(Sheet1!A875)</f>
        <v>45841</v>
      </c>
      <c r="B876" s="2">
        <f>VALUE(Sheet1!B875)</f>
        <v>64.150000000000006</v>
      </c>
      <c r="C876" s="9">
        <f>(B876-B875)/B875</f>
        <v>-1.6858237547892632E-2</v>
      </c>
      <c r="D876" s="2">
        <f>MAX(D875,B876)</f>
        <v>103.9</v>
      </c>
      <c r="E876" s="9">
        <f>(B876-D876)/D876</f>
        <v>-0.38257940327237727</v>
      </c>
      <c r="AB876" s="1">
        <f>A876</f>
        <v>45841</v>
      </c>
      <c r="AC876" s="2">
        <f>B876</f>
        <v>64.150000000000006</v>
      </c>
      <c r="AD876" s="2">
        <f>874</f>
        <v>874</v>
      </c>
      <c r="AE876" s="2">
        <f>INTERCEPT($AC$3:$AC$1136,$AD$3:$AD$1136)+SLOPE($AC$3:$AC$1136,$AD$3:$AD$1136)*AD876</f>
        <v>65.950312314614138</v>
      </c>
      <c r="AF876" s="2">
        <f t="shared" si="26"/>
        <v>68.601971915016833</v>
      </c>
      <c r="AG876" s="2">
        <f t="shared" si="27"/>
        <v>63.298652714211443</v>
      </c>
      <c r="AH876" s="22">
        <f>AC876-AE876</f>
        <v>-1.800312314614132</v>
      </c>
    </row>
    <row r="877" spans="1:34" x14ac:dyDescent="0.25">
      <c r="A877" s="1">
        <f>DATEVALUE(Sheet1!A876)</f>
        <v>45842</v>
      </c>
      <c r="B877" s="2">
        <f>VALUE(Sheet1!B876)</f>
        <v>64.05</v>
      </c>
      <c r="C877" s="9">
        <f>(B877-B876)/B876</f>
        <v>-1.5588464536244507E-3</v>
      </c>
      <c r="D877" s="2">
        <f>MAX(D876,B877)</f>
        <v>103.9</v>
      </c>
      <c r="E877" s="9">
        <f>(B877-D877)/D877</f>
        <v>-0.38354186717998079</v>
      </c>
      <c r="AB877" s="1">
        <f>A877</f>
        <v>45842</v>
      </c>
      <c r="AC877" s="2">
        <f>B877</f>
        <v>64.05</v>
      </c>
      <c r="AD877" s="2">
        <f>875</f>
        <v>875</v>
      </c>
      <c r="AE877" s="2">
        <f>INTERCEPT($AC$3:$AC$1136,$AD$3:$AD$1136)+SLOPE($AC$3:$AC$1136,$AD$3:$AD$1136)*AD877</f>
        <v>65.931600351201695</v>
      </c>
      <c r="AF877" s="2">
        <f t="shared" si="26"/>
        <v>68.58325995160439</v>
      </c>
      <c r="AG877" s="2">
        <f t="shared" si="27"/>
        <v>63.279940750799</v>
      </c>
      <c r="AH877" s="22">
        <f>AC877-AE877</f>
        <v>-1.8816003512016977</v>
      </c>
    </row>
    <row r="878" spans="1:34" x14ac:dyDescent="0.25">
      <c r="A878" s="1">
        <f>DATEVALUE(Sheet1!A877)</f>
        <v>45845</v>
      </c>
      <c r="B878" s="2">
        <f>VALUE(Sheet1!B877)</f>
        <v>63.44</v>
      </c>
      <c r="C878" s="9">
        <f>(B878-B877)/B877</f>
        <v>-9.523809523809516E-3</v>
      </c>
      <c r="D878" s="2">
        <f>MAX(D877,B878)</f>
        <v>103.9</v>
      </c>
      <c r="E878" s="9">
        <f>(B878-D878)/D878</f>
        <v>-0.38941289701636195</v>
      </c>
      <c r="AB878" s="1">
        <f>A878</f>
        <v>45845</v>
      </c>
      <c r="AC878" s="2">
        <f>B878</f>
        <v>63.44</v>
      </c>
      <c r="AD878" s="2">
        <f>876</f>
        <v>876</v>
      </c>
      <c r="AE878" s="2">
        <f>INTERCEPT($AC$3:$AC$1136,$AD$3:$AD$1136)+SLOPE($AC$3:$AC$1136,$AD$3:$AD$1136)*AD878</f>
        <v>65.912888387789238</v>
      </c>
      <c r="AF878" s="2">
        <f t="shared" si="26"/>
        <v>68.564547988191933</v>
      </c>
      <c r="AG878" s="2">
        <f t="shared" si="27"/>
        <v>63.261228787386543</v>
      </c>
      <c r="AH878" s="22">
        <f>AC878-AE878</f>
        <v>-2.47288838778924</v>
      </c>
    </row>
    <row r="879" spans="1:34" x14ac:dyDescent="0.25">
      <c r="A879" s="1">
        <f>DATEVALUE(Sheet1!A878)</f>
        <v>45846</v>
      </c>
      <c r="B879" s="2">
        <f>VALUE(Sheet1!B878)</f>
        <v>63.35</v>
      </c>
      <c r="C879" s="9">
        <f>(B879-B878)/B878</f>
        <v>-1.4186633039091473E-3</v>
      </c>
      <c r="D879" s="2">
        <f>MAX(D878,B879)</f>
        <v>103.9</v>
      </c>
      <c r="E879" s="9">
        <f>(B879-D879)/D879</f>
        <v>-0.39027911453320502</v>
      </c>
      <c r="AB879" s="1">
        <f>A879</f>
        <v>45846</v>
      </c>
      <c r="AC879" s="2">
        <f>B879</f>
        <v>63.35</v>
      </c>
      <c r="AD879" s="2">
        <f>877</f>
        <v>877</v>
      </c>
      <c r="AE879" s="2">
        <f>INTERCEPT($AC$3:$AC$1136,$AD$3:$AD$1136)+SLOPE($AC$3:$AC$1136,$AD$3:$AD$1136)*AD879</f>
        <v>65.894176424376795</v>
      </c>
      <c r="AF879" s="2">
        <f t="shared" si="26"/>
        <v>68.54583602477949</v>
      </c>
      <c r="AG879" s="2">
        <f t="shared" si="27"/>
        <v>63.2425168239741</v>
      </c>
      <c r="AH879" s="22">
        <f>AC879-AE879</f>
        <v>-2.5441764243767935</v>
      </c>
    </row>
    <row r="880" spans="1:34" x14ac:dyDescent="0.25">
      <c r="A880" s="1">
        <f>DATEVALUE(Sheet1!A879)</f>
        <v>45847</v>
      </c>
      <c r="B880" s="2">
        <f>VALUE(Sheet1!B879)</f>
        <v>63.19</v>
      </c>
      <c r="C880" s="9">
        <f>(B880-B879)/B879</f>
        <v>-2.5256511444357332E-3</v>
      </c>
      <c r="D880" s="2">
        <f>MAX(D879,B880)</f>
        <v>103.9</v>
      </c>
      <c r="E880" s="9">
        <f>(B880-D880)/D880</f>
        <v>-0.3918190567853706</v>
      </c>
      <c r="AB880" s="1">
        <f>A880</f>
        <v>45847</v>
      </c>
      <c r="AC880" s="2">
        <f>B880</f>
        <v>63.19</v>
      </c>
      <c r="AD880" s="2">
        <f>878</f>
        <v>878</v>
      </c>
      <c r="AE880" s="2">
        <f>INTERCEPT($AC$3:$AC$1136,$AD$3:$AD$1136)+SLOPE($AC$3:$AC$1136,$AD$3:$AD$1136)*AD880</f>
        <v>65.875464460964352</v>
      </c>
      <c r="AF880" s="2">
        <f t="shared" si="26"/>
        <v>68.527124061367047</v>
      </c>
      <c r="AG880" s="2">
        <f t="shared" si="27"/>
        <v>63.223804860561657</v>
      </c>
      <c r="AH880" s="22">
        <f>AC880-AE880</f>
        <v>-2.6854644609643543</v>
      </c>
    </row>
    <row r="881" spans="1:34" x14ac:dyDescent="0.25">
      <c r="A881" s="1">
        <f>DATEVALUE(Sheet1!A880)</f>
        <v>45848</v>
      </c>
      <c r="B881" s="2">
        <f>VALUE(Sheet1!B880)</f>
        <v>62.98</v>
      </c>
      <c r="C881" s="9">
        <f>(B881-B880)/B880</f>
        <v>-3.3233106504193836E-3</v>
      </c>
      <c r="D881" s="2">
        <f>MAX(D880,B881)</f>
        <v>103.9</v>
      </c>
      <c r="E881" s="9">
        <f>(B881-D881)/D881</f>
        <v>-0.39384023099133791</v>
      </c>
      <c r="AB881" s="1">
        <f>A881</f>
        <v>45848</v>
      </c>
      <c r="AC881" s="2">
        <f>B881</f>
        <v>62.98</v>
      </c>
      <c r="AD881" s="2">
        <f>879</f>
        <v>879</v>
      </c>
      <c r="AE881" s="2">
        <f>INTERCEPT($AC$3:$AC$1136,$AD$3:$AD$1136)+SLOPE($AC$3:$AC$1136,$AD$3:$AD$1136)*AD881</f>
        <v>65.856752497551895</v>
      </c>
      <c r="AF881" s="2">
        <f t="shared" si="26"/>
        <v>68.50841209795459</v>
      </c>
      <c r="AG881" s="2">
        <f t="shared" si="27"/>
        <v>63.2050928971492</v>
      </c>
      <c r="AH881" s="22">
        <f>AC881-AE881</f>
        <v>-2.8767524975518981</v>
      </c>
    </row>
    <row r="882" spans="1:34" x14ac:dyDescent="0.25">
      <c r="A882" s="1">
        <f>DATEVALUE(Sheet1!A881)</f>
        <v>45849</v>
      </c>
      <c r="B882" s="2">
        <f>VALUE(Sheet1!B881)</f>
        <v>62.91</v>
      </c>
      <c r="C882" s="9">
        <f>(B882-B881)/B881</f>
        <v>-1.1114639568116909E-3</v>
      </c>
      <c r="D882" s="2">
        <f>MAX(D881,B882)</f>
        <v>103.9</v>
      </c>
      <c r="E882" s="9">
        <f>(B882-D882)/D882</f>
        <v>-0.39451395572666031</v>
      </c>
      <c r="AB882" s="1">
        <f>A882</f>
        <v>45849</v>
      </c>
      <c r="AC882" s="2">
        <f>B882</f>
        <v>62.91</v>
      </c>
      <c r="AD882" s="2">
        <f>880</f>
        <v>880</v>
      </c>
      <c r="AE882" s="2">
        <f>INTERCEPT($AC$3:$AC$1136,$AD$3:$AD$1136)+SLOPE($AC$3:$AC$1136,$AD$3:$AD$1136)*AD882</f>
        <v>65.838040534139452</v>
      </c>
      <c r="AF882" s="2">
        <f t="shared" si="26"/>
        <v>68.489700134542147</v>
      </c>
      <c r="AG882" s="2">
        <f t="shared" si="27"/>
        <v>63.186380933736757</v>
      </c>
      <c r="AH882" s="22">
        <f>AC882-AE882</f>
        <v>-2.9280405341394555</v>
      </c>
    </row>
    <row r="883" spans="1:34" x14ac:dyDescent="0.25">
      <c r="A883" s="1">
        <f>DATEVALUE(Sheet1!A882)</f>
        <v>45852</v>
      </c>
      <c r="B883" s="2">
        <f>VALUE(Sheet1!B882)</f>
        <v>62.73</v>
      </c>
      <c r="C883" s="9">
        <f>(B883-B882)/B882</f>
        <v>-2.8612303290414835E-3</v>
      </c>
      <c r="D883" s="2">
        <f>MAX(D882,B883)</f>
        <v>103.9</v>
      </c>
      <c r="E883" s="9">
        <f>(B883-D883)/D883</f>
        <v>-0.39624639076034657</v>
      </c>
      <c r="AB883" s="1">
        <f>A883</f>
        <v>45852</v>
      </c>
      <c r="AC883" s="2">
        <f>B883</f>
        <v>62.73</v>
      </c>
      <c r="AD883" s="2">
        <f>881</f>
        <v>881</v>
      </c>
      <c r="AE883" s="2">
        <f>INTERCEPT($AC$3:$AC$1136,$AD$3:$AD$1136)+SLOPE($AC$3:$AC$1136,$AD$3:$AD$1136)*AD883</f>
        <v>65.819328570727009</v>
      </c>
      <c r="AF883" s="2">
        <f t="shared" si="26"/>
        <v>68.470988171129704</v>
      </c>
      <c r="AG883" s="2">
        <f t="shared" si="27"/>
        <v>63.167668970324314</v>
      </c>
      <c r="AH883" s="22">
        <f>AC883-AE883</f>
        <v>-3.0893285707270124</v>
      </c>
    </row>
    <row r="884" spans="1:34" x14ac:dyDescent="0.25">
      <c r="A884" s="1">
        <f>DATEVALUE(Sheet1!A883)</f>
        <v>45853</v>
      </c>
      <c r="B884" s="2">
        <f>VALUE(Sheet1!B883)</f>
        <v>62.78</v>
      </c>
      <c r="C884" s="9">
        <f>(B884-B883)/B883</f>
        <v>7.9706679419742172E-4</v>
      </c>
      <c r="D884" s="2">
        <f>MAX(D883,B884)</f>
        <v>103.9</v>
      </c>
      <c r="E884" s="9">
        <f>(B884-D884)/D884</f>
        <v>-0.39576515880654478</v>
      </c>
      <c r="AB884" s="1">
        <f>A884</f>
        <v>45853</v>
      </c>
      <c r="AC884" s="2">
        <f>B884</f>
        <v>62.78</v>
      </c>
      <c r="AD884" s="2">
        <f>882</f>
        <v>882</v>
      </c>
      <c r="AE884" s="2">
        <f>INTERCEPT($AC$3:$AC$1136,$AD$3:$AD$1136)+SLOPE($AC$3:$AC$1136,$AD$3:$AD$1136)*AD884</f>
        <v>65.800616607314566</v>
      </c>
      <c r="AF884" s="2">
        <f t="shared" si="26"/>
        <v>68.452276207717262</v>
      </c>
      <c r="AG884" s="2">
        <f t="shared" si="27"/>
        <v>63.148957006911871</v>
      </c>
      <c r="AH884" s="22">
        <f>AC884-AE884</f>
        <v>-3.0206166073145653</v>
      </c>
    </row>
    <row r="885" spans="1:34" x14ac:dyDescent="0.25">
      <c r="A885" s="1">
        <f>DATEVALUE(Sheet1!A884)</f>
        <v>45854</v>
      </c>
      <c r="B885" s="2">
        <f>VALUE(Sheet1!B884)</f>
        <v>62.84</v>
      </c>
      <c r="C885" s="9">
        <f>(B885-B884)/B884</f>
        <v>9.5571838165024324E-4</v>
      </c>
      <c r="D885" s="2">
        <f>MAX(D884,B885)</f>
        <v>103.9</v>
      </c>
      <c r="E885" s="9">
        <f>(B885-D885)/D885</f>
        <v>-0.39518768046198266</v>
      </c>
      <c r="AB885" s="1">
        <f>A885</f>
        <v>45854</v>
      </c>
      <c r="AC885" s="2">
        <f>B885</f>
        <v>62.84</v>
      </c>
      <c r="AD885" s="2">
        <f>883</f>
        <v>883</v>
      </c>
      <c r="AE885" s="2">
        <f>INTERCEPT($AC$3:$AC$1136,$AD$3:$AD$1136)+SLOPE($AC$3:$AC$1136,$AD$3:$AD$1136)*AD885</f>
        <v>65.781904643902109</v>
      </c>
      <c r="AF885" s="2">
        <f t="shared" si="26"/>
        <v>68.433564244304804</v>
      </c>
      <c r="AG885" s="2">
        <f t="shared" si="27"/>
        <v>63.130245043499414</v>
      </c>
      <c r="AH885" s="22">
        <f>AC885-AE885</f>
        <v>-2.9419046439021059</v>
      </c>
    </row>
    <row r="886" spans="1:34" x14ac:dyDescent="0.25">
      <c r="A886" s="1">
        <f>DATEVALUE(Sheet1!A885)</f>
        <v>45855</v>
      </c>
      <c r="B886" s="2">
        <f>VALUE(Sheet1!B885)</f>
        <v>62.93</v>
      </c>
      <c r="C886" s="9">
        <f>(B886-B885)/B885</f>
        <v>1.4322087842138177E-3</v>
      </c>
      <c r="D886" s="2">
        <f>MAX(D885,B886)</f>
        <v>103.9</v>
      </c>
      <c r="E886" s="9">
        <f>(B886-D886)/D886</f>
        <v>-0.39432146294513959</v>
      </c>
      <c r="AB886" s="1">
        <f>A886</f>
        <v>45855</v>
      </c>
      <c r="AC886" s="2">
        <f>B886</f>
        <v>62.93</v>
      </c>
      <c r="AD886" s="2">
        <f>884</f>
        <v>884</v>
      </c>
      <c r="AE886" s="2">
        <f>INTERCEPT($AC$3:$AC$1136,$AD$3:$AD$1136)+SLOPE($AC$3:$AC$1136,$AD$3:$AD$1136)*AD886</f>
        <v>65.763192680489666</v>
      </c>
      <c r="AF886" s="2">
        <f t="shared" si="26"/>
        <v>68.414852280892362</v>
      </c>
      <c r="AG886" s="2">
        <f t="shared" si="27"/>
        <v>63.111533080086971</v>
      </c>
      <c r="AH886" s="22">
        <f>AC886-AE886</f>
        <v>-2.8331926804896668</v>
      </c>
    </row>
    <row r="887" spans="1:34" x14ac:dyDescent="0.25">
      <c r="A887" s="1">
        <f>DATEVALUE(Sheet1!A886)</f>
        <v>45856</v>
      </c>
      <c r="B887" s="2">
        <f>VALUE(Sheet1!B886)</f>
        <v>63.39</v>
      </c>
      <c r="C887" s="9">
        <f>(B887-B886)/B886</f>
        <v>7.3097092006992031E-3</v>
      </c>
      <c r="D887" s="2">
        <f>MAX(D886,B887)</f>
        <v>103.9</v>
      </c>
      <c r="E887" s="9">
        <f>(B887-D887)/D887</f>
        <v>-0.38989412897016362</v>
      </c>
      <c r="AB887" s="1">
        <f>A887</f>
        <v>45856</v>
      </c>
      <c r="AC887" s="2">
        <f>B887</f>
        <v>63.39</v>
      </c>
      <c r="AD887" s="2">
        <f>885</f>
        <v>885</v>
      </c>
      <c r="AE887" s="2">
        <f>INTERCEPT($AC$3:$AC$1136,$AD$3:$AD$1136)+SLOPE($AC$3:$AC$1136,$AD$3:$AD$1136)*AD887</f>
        <v>65.744480717077224</v>
      </c>
      <c r="AF887" s="2">
        <f t="shared" si="26"/>
        <v>68.396140317479919</v>
      </c>
      <c r="AG887" s="2">
        <f t="shared" si="27"/>
        <v>63.092821116674529</v>
      </c>
      <c r="AH887" s="22">
        <f>AC887-AE887</f>
        <v>-2.3544807170772231</v>
      </c>
    </row>
    <row r="888" spans="1:34" x14ac:dyDescent="0.25">
      <c r="A888" s="1">
        <f>DATEVALUE(Sheet1!A887)</f>
        <v>45859</v>
      </c>
      <c r="B888" s="2">
        <f>VALUE(Sheet1!B887)</f>
        <v>63.56</v>
      </c>
      <c r="C888" s="9">
        <f>(B888-B887)/B887</f>
        <v>2.6818110112005315E-3</v>
      </c>
      <c r="D888" s="2">
        <f>MAX(D887,B888)</f>
        <v>103.9</v>
      </c>
      <c r="E888" s="9">
        <f>(B888-D888)/D888</f>
        <v>-0.38825794032723776</v>
      </c>
      <c r="AB888" s="1">
        <f>A888</f>
        <v>45859</v>
      </c>
      <c r="AC888" s="2">
        <f>B888</f>
        <v>63.56</v>
      </c>
      <c r="AD888" s="2">
        <f>886</f>
        <v>886</v>
      </c>
      <c r="AE888" s="2">
        <f>INTERCEPT($AC$3:$AC$1136,$AD$3:$AD$1136)+SLOPE($AC$3:$AC$1136,$AD$3:$AD$1136)*AD888</f>
        <v>65.725768753664767</v>
      </c>
      <c r="AF888" s="2">
        <f t="shared" si="26"/>
        <v>68.377428354067462</v>
      </c>
      <c r="AG888" s="2">
        <f t="shared" si="27"/>
        <v>63.074109153262071</v>
      </c>
      <c r="AH888" s="22">
        <f>AC888-AE888</f>
        <v>-2.1657687536647643</v>
      </c>
    </row>
    <row r="889" spans="1:34" x14ac:dyDescent="0.25">
      <c r="A889" s="1">
        <f>DATEVALUE(Sheet1!A888)</f>
        <v>45860</v>
      </c>
      <c r="B889" s="2">
        <f>VALUE(Sheet1!B888)</f>
        <v>64.02</v>
      </c>
      <c r="C889" s="9">
        <f>(B889-B888)/B888</f>
        <v>7.2372561359344513E-3</v>
      </c>
      <c r="D889" s="2">
        <f>MAX(D888,B889)</f>
        <v>103.9</v>
      </c>
      <c r="E889" s="9">
        <f>(B889-D889)/D889</f>
        <v>-0.38383060635226185</v>
      </c>
      <c r="AB889" s="1">
        <f>A889</f>
        <v>45860</v>
      </c>
      <c r="AC889" s="2">
        <f>B889</f>
        <v>64.02</v>
      </c>
      <c r="AD889" s="2">
        <f>887</f>
        <v>887</v>
      </c>
      <c r="AE889" s="2">
        <f>INTERCEPT($AC$3:$AC$1136,$AD$3:$AD$1136)+SLOPE($AC$3:$AC$1136,$AD$3:$AD$1136)*AD889</f>
        <v>65.707056790252324</v>
      </c>
      <c r="AF889" s="2">
        <f t="shared" si="26"/>
        <v>68.358716390655019</v>
      </c>
      <c r="AG889" s="2">
        <f t="shared" si="27"/>
        <v>63.055397189849629</v>
      </c>
      <c r="AH889" s="22">
        <f>AC889-AE889</f>
        <v>-1.6870567902523277</v>
      </c>
    </row>
    <row r="890" spans="1:34" x14ac:dyDescent="0.25">
      <c r="A890" s="1">
        <f>DATEVALUE(Sheet1!A889)</f>
        <v>45861</v>
      </c>
      <c r="B890" s="2">
        <f>VALUE(Sheet1!B889)</f>
        <v>64</v>
      </c>
      <c r="C890" s="9">
        <f>(B890-B889)/B889</f>
        <v>-3.1240237425798223E-4</v>
      </c>
      <c r="D890" s="2">
        <f>MAX(D889,B890)</f>
        <v>103.9</v>
      </c>
      <c r="E890" s="9">
        <f>(B890-D890)/D890</f>
        <v>-0.38402309913378252</v>
      </c>
      <c r="AB890" s="1">
        <f>A890</f>
        <v>45861</v>
      </c>
      <c r="AC890" s="2">
        <f>B890</f>
        <v>64</v>
      </c>
      <c r="AD890" s="2">
        <f>888</f>
        <v>888</v>
      </c>
      <c r="AE890" s="2">
        <f>INTERCEPT($AC$3:$AC$1136,$AD$3:$AD$1136)+SLOPE($AC$3:$AC$1136,$AD$3:$AD$1136)*AD890</f>
        <v>65.688344826839881</v>
      </c>
      <c r="AF890" s="2">
        <f t="shared" si="26"/>
        <v>68.340004427242576</v>
      </c>
      <c r="AG890" s="2">
        <f t="shared" si="27"/>
        <v>63.036685226437186</v>
      </c>
      <c r="AH890" s="22">
        <f>AC890-AE890</f>
        <v>-1.6883448268398809</v>
      </c>
    </row>
    <row r="891" spans="1:34" x14ac:dyDescent="0.25">
      <c r="A891" s="1">
        <f>DATEVALUE(Sheet1!A890)</f>
        <v>45862</v>
      </c>
      <c r="B891" s="2">
        <f>VALUE(Sheet1!B890)</f>
        <v>64.11</v>
      </c>
      <c r="C891" s="9">
        <f>(B891-B890)/B890</f>
        <v>1.7187499999999911E-3</v>
      </c>
      <c r="D891" s="2">
        <f>MAX(D890,B891)</f>
        <v>103.9</v>
      </c>
      <c r="E891" s="9">
        <f>(B891-D891)/D891</f>
        <v>-0.38296438883541872</v>
      </c>
      <c r="AB891" s="1">
        <f>A891</f>
        <v>45862</v>
      </c>
      <c r="AC891" s="2">
        <f>B891</f>
        <v>64.11</v>
      </c>
      <c r="AD891" s="2">
        <f>889</f>
        <v>889</v>
      </c>
      <c r="AE891" s="2">
        <f>INTERCEPT($AC$3:$AC$1136,$AD$3:$AD$1136)+SLOPE($AC$3:$AC$1136,$AD$3:$AD$1136)*AD891</f>
        <v>65.669632863427438</v>
      </c>
      <c r="AF891" s="2">
        <f t="shared" si="26"/>
        <v>68.321292463830133</v>
      </c>
      <c r="AG891" s="2">
        <f t="shared" si="27"/>
        <v>63.017973263024743</v>
      </c>
      <c r="AH891" s="22">
        <f>AC891-AE891</f>
        <v>-1.5596328634274386</v>
      </c>
    </row>
    <row r="892" spans="1:34" x14ac:dyDescent="0.25">
      <c r="A892" s="1">
        <f>DATEVALUE(Sheet1!A891)</f>
        <v>45863</v>
      </c>
      <c r="B892" s="2">
        <f>VALUE(Sheet1!B891)</f>
        <v>63.74</v>
      </c>
      <c r="C892" s="9">
        <f>(B892-B891)/B891</f>
        <v>-5.7713305256589841E-3</v>
      </c>
      <c r="D892" s="2">
        <f>MAX(D891,B892)</f>
        <v>103.9</v>
      </c>
      <c r="E892" s="9">
        <f>(B892-D892)/D892</f>
        <v>-0.38652550529355151</v>
      </c>
      <c r="AB892" s="1">
        <f>A892</f>
        <v>45863</v>
      </c>
      <c r="AC892" s="2">
        <f>B892</f>
        <v>63.74</v>
      </c>
      <c r="AD892" s="2">
        <f>890</f>
        <v>890</v>
      </c>
      <c r="AE892" s="2">
        <f>INTERCEPT($AC$3:$AC$1136,$AD$3:$AD$1136)+SLOPE($AC$3:$AC$1136,$AD$3:$AD$1136)*AD892</f>
        <v>65.650920900014995</v>
      </c>
      <c r="AF892" s="2">
        <f t="shared" si="26"/>
        <v>68.30258050041769</v>
      </c>
      <c r="AG892" s="2">
        <f t="shared" si="27"/>
        <v>62.9992612996123</v>
      </c>
      <c r="AH892" s="22">
        <f>AC892-AE892</f>
        <v>-1.9109209000149932</v>
      </c>
    </row>
    <row r="893" spans="1:34" x14ac:dyDescent="0.25">
      <c r="A893" s="1">
        <f>DATEVALUE(Sheet1!A892)</f>
        <v>45866</v>
      </c>
      <c r="B893" s="2">
        <f>VALUE(Sheet1!B892)</f>
        <v>63.7</v>
      </c>
      <c r="C893" s="9">
        <f>(B893-B892)/B892</f>
        <v>-6.2754941951677357E-4</v>
      </c>
      <c r="D893" s="2">
        <f>MAX(D892,B893)</f>
        <v>103.9</v>
      </c>
      <c r="E893" s="9">
        <f>(B893-D893)/D893</f>
        <v>-0.3869104908565929</v>
      </c>
      <c r="AB893" s="1">
        <f>A893</f>
        <v>45866</v>
      </c>
      <c r="AC893" s="2">
        <f>B893</f>
        <v>63.7</v>
      </c>
      <c r="AD893" s="2">
        <f>891</f>
        <v>891</v>
      </c>
      <c r="AE893" s="2">
        <f>INTERCEPT($AC$3:$AC$1136,$AD$3:$AD$1136)+SLOPE($AC$3:$AC$1136,$AD$3:$AD$1136)*AD893</f>
        <v>65.632208936602538</v>
      </c>
      <c r="AF893" s="2">
        <f t="shared" si="26"/>
        <v>68.283868537005233</v>
      </c>
      <c r="AG893" s="2">
        <f t="shared" si="27"/>
        <v>62.980549336199843</v>
      </c>
      <c r="AH893" s="22">
        <f>AC893-AE893</f>
        <v>-1.9322089366025352</v>
      </c>
    </row>
    <row r="894" spans="1:34" x14ac:dyDescent="0.25">
      <c r="A894" s="1">
        <f>DATEVALUE(Sheet1!A893)</f>
        <v>45867</v>
      </c>
      <c r="B894" s="2">
        <f>VALUE(Sheet1!B893)</f>
        <v>63.64</v>
      </c>
      <c r="C894" s="9">
        <f>(B894-B893)/B893</f>
        <v>-9.4191522762954898E-4</v>
      </c>
      <c r="D894" s="2">
        <f>MAX(D893,B894)</f>
        <v>103.9</v>
      </c>
      <c r="E894" s="9">
        <f>(B894-D894)/D894</f>
        <v>-0.38748796920115497</v>
      </c>
      <c r="AB894" s="1">
        <f>A894</f>
        <v>45867</v>
      </c>
      <c r="AC894" s="2">
        <f>B894</f>
        <v>63.64</v>
      </c>
      <c r="AD894" s="2">
        <f>892</f>
        <v>892</v>
      </c>
      <c r="AE894" s="2">
        <f>INTERCEPT($AC$3:$AC$1136,$AD$3:$AD$1136)+SLOPE($AC$3:$AC$1136,$AD$3:$AD$1136)*AD894</f>
        <v>65.613496973190095</v>
      </c>
      <c r="AF894" s="2">
        <f t="shared" si="26"/>
        <v>68.26515657359279</v>
      </c>
      <c r="AG894" s="2">
        <f t="shared" si="27"/>
        <v>62.9618373727874</v>
      </c>
      <c r="AH894" s="22">
        <f>AC894-AE894</f>
        <v>-1.9734969731900946</v>
      </c>
    </row>
    <row r="895" spans="1:34" x14ac:dyDescent="0.25">
      <c r="A895" s="1">
        <f>DATEVALUE(Sheet1!A894)</f>
        <v>45868</v>
      </c>
      <c r="B895" s="2">
        <f>VALUE(Sheet1!B894)</f>
        <v>63.51</v>
      </c>
      <c r="C895" s="9">
        <f>(B895-B894)/B894</f>
        <v>-2.0427404148334783E-3</v>
      </c>
      <c r="D895" s="2">
        <f>MAX(D894,B895)</f>
        <v>103.9</v>
      </c>
      <c r="E895" s="9">
        <f>(B895-D895)/D895</f>
        <v>-0.38873917228103949</v>
      </c>
      <c r="AB895" s="1">
        <f>A895</f>
        <v>45868</v>
      </c>
      <c r="AC895" s="2">
        <f>B895</f>
        <v>63.51</v>
      </c>
      <c r="AD895" s="2">
        <f>893</f>
        <v>893</v>
      </c>
      <c r="AE895" s="2">
        <f>INTERCEPT($AC$3:$AC$1136,$AD$3:$AD$1136)+SLOPE($AC$3:$AC$1136,$AD$3:$AD$1136)*AD895</f>
        <v>65.594785009777638</v>
      </c>
      <c r="AF895" s="2">
        <f t="shared" si="26"/>
        <v>68.246444610180333</v>
      </c>
      <c r="AG895" s="2">
        <f t="shared" si="27"/>
        <v>62.943125409374943</v>
      </c>
      <c r="AH895" s="22">
        <f>AC895-AE895</f>
        <v>-2.0847850097776401</v>
      </c>
    </row>
    <row r="896" spans="1:34" x14ac:dyDescent="0.25">
      <c r="A896" s="1">
        <f>DATEVALUE(Sheet1!A895)</f>
        <v>45869</v>
      </c>
      <c r="B896" s="2">
        <f>VALUE(Sheet1!B895)</f>
        <v>63.54</v>
      </c>
      <c r="C896" s="9">
        <f>(B896-B895)/B895</f>
        <v>4.7236655644782141E-4</v>
      </c>
      <c r="D896" s="2">
        <f>MAX(D895,B896)</f>
        <v>103.9</v>
      </c>
      <c r="E896" s="9">
        <f>(B896-D896)/D896</f>
        <v>-0.38845043310875849</v>
      </c>
      <c r="AB896" s="1">
        <f>A896</f>
        <v>45869</v>
      </c>
      <c r="AC896" s="2">
        <f>B896</f>
        <v>63.54</v>
      </c>
      <c r="AD896" s="2">
        <f>894</f>
        <v>894</v>
      </c>
      <c r="AE896" s="2">
        <f>INTERCEPT($AC$3:$AC$1136,$AD$3:$AD$1136)+SLOPE($AC$3:$AC$1136,$AD$3:$AD$1136)*AD896</f>
        <v>65.576073046365195</v>
      </c>
      <c r="AF896" s="2">
        <f t="shared" si="26"/>
        <v>68.22773264676789</v>
      </c>
      <c r="AG896" s="2">
        <f t="shared" si="27"/>
        <v>62.9244134459625</v>
      </c>
      <c r="AH896" s="22">
        <f>AC896-AE896</f>
        <v>-2.0360730463651961</v>
      </c>
    </row>
    <row r="897" spans="1:34" x14ac:dyDescent="0.25">
      <c r="A897" s="1">
        <f>DATEVALUE(Sheet1!A896)</f>
        <v>45870</v>
      </c>
      <c r="B897" s="2">
        <f>VALUE(Sheet1!B896)</f>
        <v>63.71</v>
      </c>
      <c r="C897" s="9">
        <f>(B897-B896)/B896</f>
        <v>2.6754800125905211E-3</v>
      </c>
      <c r="D897" s="2">
        <f>MAX(D896,B897)</f>
        <v>103.9</v>
      </c>
      <c r="E897" s="9">
        <f>(B897-D897)/D897</f>
        <v>-0.38681424446583257</v>
      </c>
      <c r="AB897" s="1">
        <f>A897</f>
        <v>45870</v>
      </c>
      <c r="AC897" s="2">
        <f>B897</f>
        <v>63.71</v>
      </c>
      <c r="AD897" s="2">
        <f>895</f>
        <v>895</v>
      </c>
      <c r="AE897" s="2">
        <f>INTERCEPT($AC$3:$AC$1136,$AD$3:$AD$1136)+SLOPE($AC$3:$AC$1136,$AD$3:$AD$1136)*AD897</f>
        <v>65.557361082952752</v>
      </c>
      <c r="AF897" s="2">
        <f t="shared" si="26"/>
        <v>68.209020683355448</v>
      </c>
      <c r="AG897" s="2">
        <f t="shared" si="27"/>
        <v>62.905701482550057</v>
      </c>
      <c r="AH897" s="22">
        <f>AC897-AE897</f>
        <v>-1.8473610829527516</v>
      </c>
    </row>
    <row r="898" spans="1:34" x14ac:dyDescent="0.25">
      <c r="A898" s="1">
        <f>DATEVALUE(Sheet1!A897)</f>
        <v>45873</v>
      </c>
      <c r="B898" s="2">
        <f>VALUE(Sheet1!B897)</f>
        <v>64</v>
      </c>
      <c r="C898" s="9">
        <f>(B898-B897)/B897</f>
        <v>4.55187568670537E-3</v>
      </c>
      <c r="D898" s="2">
        <f>MAX(D897,B898)</f>
        <v>103.9</v>
      </c>
      <c r="E898" s="9">
        <f>(B898-D898)/D898</f>
        <v>-0.38402309913378252</v>
      </c>
      <c r="AB898" s="1">
        <f>A898</f>
        <v>45873</v>
      </c>
      <c r="AC898" s="2">
        <f>B898</f>
        <v>64</v>
      </c>
      <c r="AD898" s="2">
        <f>896</f>
        <v>896</v>
      </c>
      <c r="AE898" s="2">
        <f>INTERCEPT($AC$3:$AC$1136,$AD$3:$AD$1136)+SLOPE($AC$3:$AC$1136,$AD$3:$AD$1136)*AD898</f>
        <v>65.53864911954031</v>
      </c>
      <c r="AF898" s="2">
        <f t="shared" si="26"/>
        <v>68.190308719943005</v>
      </c>
      <c r="AG898" s="2">
        <f t="shared" si="27"/>
        <v>62.886989519137614</v>
      </c>
      <c r="AH898" s="22">
        <f>AC898-AE898</f>
        <v>-1.5386491195403096</v>
      </c>
    </row>
    <row r="899" spans="1:34" x14ac:dyDescent="0.25">
      <c r="A899" s="1">
        <f>DATEVALUE(Sheet1!A898)</f>
        <v>45874</v>
      </c>
      <c r="B899" s="2">
        <f>VALUE(Sheet1!B898)</f>
        <v>64.010000000000005</v>
      </c>
      <c r="C899" s="9">
        <f>(B899-B898)/B898</f>
        <v>1.5625000000007994E-4</v>
      </c>
      <c r="D899" s="2">
        <f>MAX(D898,B899)</f>
        <v>103.9</v>
      </c>
      <c r="E899" s="9">
        <f>(B899-D899)/D899</f>
        <v>-0.38392685274302213</v>
      </c>
      <c r="AB899" s="1">
        <f>A899</f>
        <v>45874</v>
      </c>
      <c r="AC899" s="2">
        <f>B899</f>
        <v>64.010000000000005</v>
      </c>
      <c r="AD899" s="2">
        <f>897</f>
        <v>897</v>
      </c>
      <c r="AE899" s="2">
        <f>INTERCEPT($AC$3:$AC$1136,$AD$3:$AD$1136)+SLOPE($AC$3:$AC$1136,$AD$3:$AD$1136)*AD899</f>
        <v>65.519937156127867</v>
      </c>
      <c r="AF899" s="2">
        <f t="shared" si="26"/>
        <v>68.171596756530562</v>
      </c>
      <c r="AG899" s="2">
        <f t="shared" si="27"/>
        <v>62.868277555725172</v>
      </c>
      <c r="AH899" s="22">
        <f>AC899-AE899</f>
        <v>-1.5099371561278616</v>
      </c>
    </row>
    <row r="900" spans="1:34" x14ac:dyDescent="0.25">
      <c r="A900" s="1">
        <f>DATEVALUE(Sheet1!A899)</f>
        <v>45875</v>
      </c>
      <c r="B900" s="2">
        <f>VALUE(Sheet1!B899)</f>
        <v>63.67</v>
      </c>
      <c r="C900" s="9">
        <f>(B900-B899)/B899</f>
        <v>-5.3116700515544978E-3</v>
      </c>
      <c r="D900" s="2">
        <f>MAX(D899,B900)</f>
        <v>103.9</v>
      </c>
      <c r="E900" s="9">
        <f>(B900-D900)/D900</f>
        <v>-0.38719923002887391</v>
      </c>
      <c r="AB900" s="1">
        <f>A900</f>
        <v>45875</v>
      </c>
      <c r="AC900" s="2">
        <f>B900</f>
        <v>63.67</v>
      </c>
      <c r="AD900" s="2">
        <f>898</f>
        <v>898</v>
      </c>
      <c r="AE900" s="2">
        <f>INTERCEPT($AC$3:$AC$1136,$AD$3:$AD$1136)+SLOPE($AC$3:$AC$1136,$AD$3:$AD$1136)*AD900</f>
        <v>65.50122519271541</v>
      </c>
      <c r="AF900" s="2">
        <f t="shared" ref="AF900:AF963" si="28">AE900+$AJ$5*$AJ$4</f>
        <v>68.152884793118105</v>
      </c>
      <c r="AG900" s="2">
        <f t="shared" ref="AG900:AG963" si="29">AE900-$AJ$5*$AJ$4</f>
        <v>62.849565592312715</v>
      </c>
      <c r="AH900" s="22">
        <f>AC900-AE900</f>
        <v>-1.831225192715408</v>
      </c>
    </row>
    <row r="901" spans="1:34" x14ac:dyDescent="0.25">
      <c r="A901" s="1">
        <f>DATEVALUE(Sheet1!A900)</f>
        <v>45876</v>
      </c>
      <c r="B901" s="2">
        <f>VALUE(Sheet1!B900)</f>
        <v>63.58</v>
      </c>
      <c r="C901" s="9">
        <f>(B901-B900)/B900</f>
        <v>-1.4135385581907241E-3</v>
      </c>
      <c r="D901" s="2">
        <f>MAX(D900,B901)</f>
        <v>103.9</v>
      </c>
      <c r="E901" s="9">
        <f>(B901-D901)/D901</f>
        <v>-0.38806544754571709</v>
      </c>
      <c r="AB901" s="1">
        <f>A901</f>
        <v>45876</v>
      </c>
      <c r="AC901" s="2">
        <f>B901</f>
        <v>63.58</v>
      </c>
      <c r="AD901" s="2">
        <f>899</f>
        <v>899</v>
      </c>
      <c r="AE901" s="2">
        <f>INTERCEPT($AC$3:$AC$1136,$AD$3:$AD$1136)+SLOPE($AC$3:$AC$1136,$AD$3:$AD$1136)*AD901</f>
        <v>65.482513229302967</v>
      </c>
      <c r="AF901" s="2">
        <f t="shared" si="28"/>
        <v>68.134172829705662</v>
      </c>
      <c r="AG901" s="2">
        <f t="shared" si="29"/>
        <v>62.830853628900272</v>
      </c>
      <c r="AH901" s="22">
        <f>AC901-AE901</f>
        <v>-1.9025132293029685</v>
      </c>
    </row>
    <row r="902" spans="1:34" x14ac:dyDescent="0.25">
      <c r="A902" s="1">
        <f>DATEVALUE(Sheet1!A901)</f>
        <v>45877</v>
      </c>
      <c r="B902" s="2">
        <f>VALUE(Sheet1!B901)</f>
        <v>63.61</v>
      </c>
      <c r="C902" s="9">
        <f>(B902-B901)/B901</f>
        <v>4.7184649260775618E-4</v>
      </c>
      <c r="D902" s="2">
        <f>MAX(D901,B902)</f>
        <v>103.9</v>
      </c>
      <c r="E902" s="9">
        <f>(B902-D902)/D902</f>
        <v>-0.38777670837343603</v>
      </c>
      <c r="AB902" s="1">
        <f>A902</f>
        <v>45877</v>
      </c>
      <c r="AC902" s="2">
        <f>B902</f>
        <v>63.61</v>
      </c>
      <c r="AD902" s="2">
        <f>900</f>
        <v>900</v>
      </c>
      <c r="AE902" s="2">
        <f>INTERCEPT($AC$3:$AC$1136,$AD$3:$AD$1136)+SLOPE($AC$3:$AC$1136,$AD$3:$AD$1136)*AD902</f>
        <v>65.463801265890524</v>
      </c>
      <c r="AF902" s="2">
        <f t="shared" si="28"/>
        <v>68.115460866293219</v>
      </c>
      <c r="AG902" s="2">
        <f t="shared" si="29"/>
        <v>62.812141665487829</v>
      </c>
      <c r="AH902" s="22">
        <f>AC902-AE902</f>
        <v>-1.8538012658905245</v>
      </c>
    </row>
    <row r="903" spans="1:34" x14ac:dyDescent="0.25">
      <c r="A903" s="1">
        <f>DATEVALUE(Sheet1!A902)</f>
        <v>45880</v>
      </c>
      <c r="B903" s="2">
        <f>VALUE(Sheet1!B902)</f>
        <v>63.65</v>
      </c>
      <c r="C903" s="9">
        <f>(B903-B902)/B902</f>
        <v>6.2883194466277546E-4</v>
      </c>
      <c r="D903" s="2">
        <f>MAX(D902,B903)</f>
        <v>103.9</v>
      </c>
      <c r="E903" s="9">
        <f>(B903-D903)/D903</f>
        <v>-0.38739172281039463</v>
      </c>
      <c r="AB903" s="1">
        <f>A903</f>
        <v>45880</v>
      </c>
      <c r="AC903" s="2">
        <f>B903</f>
        <v>63.65</v>
      </c>
      <c r="AD903" s="2">
        <f>901</f>
        <v>901</v>
      </c>
      <c r="AE903" s="2">
        <f>INTERCEPT($AC$3:$AC$1136,$AD$3:$AD$1136)+SLOPE($AC$3:$AC$1136,$AD$3:$AD$1136)*AD903</f>
        <v>65.445089302478067</v>
      </c>
      <c r="AF903" s="2">
        <f t="shared" si="28"/>
        <v>68.096748902880762</v>
      </c>
      <c r="AG903" s="2">
        <f t="shared" si="29"/>
        <v>62.793429702075372</v>
      </c>
      <c r="AH903" s="22">
        <f>AC903-AE903</f>
        <v>-1.7950893024780683</v>
      </c>
    </row>
    <row r="904" spans="1:34" x14ac:dyDescent="0.25">
      <c r="A904" s="1">
        <f>DATEVALUE(Sheet1!A903)</f>
        <v>45881</v>
      </c>
      <c r="B904" s="2">
        <f>VALUE(Sheet1!B903)</f>
        <v>63.89</v>
      </c>
      <c r="C904" s="9">
        <f>(B904-B903)/B903</f>
        <v>3.7706205813040376E-3</v>
      </c>
      <c r="D904" s="2">
        <f>MAX(D903,B904)</f>
        <v>103.9</v>
      </c>
      <c r="E904" s="9">
        <f>(B904-D904)/D904</f>
        <v>-0.38508180943214632</v>
      </c>
      <c r="AB904" s="1">
        <f>A904</f>
        <v>45881</v>
      </c>
      <c r="AC904" s="2">
        <f>B904</f>
        <v>63.89</v>
      </c>
      <c r="AD904" s="2">
        <f>902</f>
        <v>902</v>
      </c>
      <c r="AE904" s="2">
        <f>INTERCEPT($AC$3:$AC$1136,$AD$3:$AD$1136)+SLOPE($AC$3:$AC$1136,$AD$3:$AD$1136)*AD904</f>
        <v>65.426377339065624</v>
      </c>
      <c r="AF904" s="2">
        <f t="shared" si="28"/>
        <v>68.078036939468319</v>
      </c>
      <c r="AG904" s="2">
        <f t="shared" si="29"/>
        <v>62.774717738662929</v>
      </c>
      <c r="AH904" s="22">
        <f>AC904-AE904</f>
        <v>-1.5363773390656235</v>
      </c>
    </row>
    <row r="905" spans="1:34" x14ac:dyDescent="0.25">
      <c r="A905" s="1">
        <f>DATEVALUE(Sheet1!A904)</f>
        <v>45882</v>
      </c>
      <c r="B905" s="2">
        <f>VALUE(Sheet1!B904)</f>
        <v>63.7</v>
      </c>
      <c r="C905" s="9">
        <f>(B905-B904)/B904</f>
        <v>-2.9738613241508489E-3</v>
      </c>
      <c r="D905" s="2">
        <f>MAX(D904,B905)</f>
        <v>103.9</v>
      </c>
      <c r="E905" s="9">
        <f>(B905-D905)/D905</f>
        <v>-0.3869104908565929</v>
      </c>
      <c r="AB905" s="1">
        <f>A905</f>
        <v>45882</v>
      </c>
      <c r="AC905" s="2">
        <f>B905</f>
        <v>63.7</v>
      </c>
      <c r="AD905" s="2">
        <f>903</f>
        <v>903</v>
      </c>
      <c r="AE905" s="2">
        <f>INTERCEPT($AC$3:$AC$1136,$AD$3:$AD$1136)+SLOPE($AC$3:$AC$1136,$AD$3:$AD$1136)*AD905</f>
        <v>65.407665375653181</v>
      </c>
      <c r="AF905" s="2">
        <f t="shared" si="28"/>
        <v>68.059324976055876</v>
      </c>
      <c r="AG905" s="2">
        <f t="shared" si="29"/>
        <v>62.756005775250486</v>
      </c>
      <c r="AH905" s="22">
        <f>AC905-AE905</f>
        <v>-1.7076653756531783</v>
      </c>
    </row>
    <row r="906" spans="1:34" x14ac:dyDescent="0.25">
      <c r="A906" s="1">
        <f>DATEVALUE(Sheet1!A905)</f>
        <v>45883</v>
      </c>
      <c r="B906" s="2">
        <f>VALUE(Sheet1!B905)</f>
        <v>63.37</v>
      </c>
      <c r="C906" s="9">
        <f>(B906-B905)/B905</f>
        <v>-5.1805337519624083E-3</v>
      </c>
      <c r="D906" s="2">
        <f>MAX(D905,B906)</f>
        <v>103.9</v>
      </c>
      <c r="E906" s="9">
        <f>(B906-D906)/D906</f>
        <v>-0.39008662175168435</v>
      </c>
      <c r="AB906" s="1">
        <f>A906</f>
        <v>45883</v>
      </c>
      <c r="AC906" s="2">
        <f>B906</f>
        <v>63.37</v>
      </c>
      <c r="AD906" s="2">
        <f>904</f>
        <v>904</v>
      </c>
      <c r="AE906" s="2">
        <f>INTERCEPT($AC$3:$AC$1136,$AD$3:$AD$1136)+SLOPE($AC$3:$AC$1136,$AD$3:$AD$1136)*AD906</f>
        <v>65.388953412240738</v>
      </c>
      <c r="AF906" s="2">
        <f t="shared" si="28"/>
        <v>68.040613012643433</v>
      </c>
      <c r="AG906" s="2">
        <f t="shared" si="29"/>
        <v>62.737293811838043</v>
      </c>
      <c r="AH906" s="22">
        <f>AC906-AE906</f>
        <v>-2.0189534122407409</v>
      </c>
    </row>
    <row r="907" spans="1:34" x14ac:dyDescent="0.25">
      <c r="A907" s="1">
        <f>DATEVALUE(Sheet1!A906)</f>
        <v>45884</v>
      </c>
      <c r="B907" s="2">
        <f>VALUE(Sheet1!B906)</f>
        <v>63.26</v>
      </c>
      <c r="C907" s="9">
        <f>(B907-B906)/B906</f>
        <v>-1.7358371469149351E-3</v>
      </c>
      <c r="D907" s="2">
        <f>MAX(D906,B907)</f>
        <v>103.9</v>
      </c>
      <c r="E907" s="9">
        <f>(B907-D907)/D907</f>
        <v>-0.3911453320500482</v>
      </c>
      <c r="AB907" s="1">
        <f>A907</f>
        <v>45884</v>
      </c>
      <c r="AC907" s="2">
        <f>B907</f>
        <v>63.26</v>
      </c>
      <c r="AD907" s="2">
        <f>905</f>
        <v>905</v>
      </c>
      <c r="AE907" s="2">
        <f>INTERCEPT($AC$3:$AC$1136,$AD$3:$AD$1136)+SLOPE($AC$3:$AC$1136,$AD$3:$AD$1136)*AD907</f>
        <v>65.370241448828281</v>
      </c>
      <c r="AF907" s="2">
        <f t="shared" si="28"/>
        <v>68.021901049230976</v>
      </c>
      <c r="AG907" s="2">
        <f t="shared" si="29"/>
        <v>62.718581848425586</v>
      </c>
      <c r="AH907" s="22">
        <f>AC907-AE907</f>
        <v>-2.1102414488282832</v>
      </c>
    </row>
    <row r="908" spans="1:34" x14ac:dyDescent="0.25">
      <c r="A908" s="1">
        <f>DATEVALUE(Sheet1!A907)</f>
        <v>45887</v>
      </c>
      <c r="B908" s="2">
        <f>VALUE(Sheet1!B907)</f>
        <v>63.33</v>
      </c>
      <c r="C908" s="9">
        <f>(B908-B907)/B907</f>
        <v>1.1065444198545729E-3</v>
      </c>
      <c r="D908" s="2">
        <f>MAX(D907,B908)</f>
        <v>103.9</v>
      </c>
      <c r="E908" s="9">
        <f>(B908-D908)/D908</f>
        <v>-0.39047160731472574</v>
      </c>
      <c r="AB908" s="1">
        <f>A908</f>
        <v>45887</v>
      </c>
      <c r="AC908" s="2">
        <f>B908</f>
        <v>63.33</v>
      </c>
      <c r="AD908" s="2">
        <f>906</f>
        <v>906</v>
      </c>
      <c r="AE908" s="2">
        <f>INTERCEPT($AC$3:$AC$1136,$AD$3:$AD$1136)+SLOPE($AC$3:$AC$1136,$AD$3:$AD$1136)*AD908</f>
        <v>65.351529485415838</v>
      </c>
      <c r="AF908" s="2">
        <f t="shared" si="28"/>
        <v>68.003189085818533</v>
      </c>
      <c r="AG908" s="2">
        <f t="shared" si="29"/>
        <v>62.699869885013143</v>
      </c>
      <c r="AH908" s="22">
        <f>AC908-AE908</f>
        <v>-2.0215294854158401</v>
      </c>
    </row>
    <row r="909" spans="1:34" x14ac:dyDescent="0.25">
      <c r="A909" s="1">
        <f>DATEVALUE(Sheet1!A908)</f>
        <v>45888</v>
      </c>
      <c r="B909" s="2">
        <f>VALUE(Sheet1!B908)</f>
        <v>63.83</v>
      </c>
      <c r="C909" s="9">
        <f>(B909-B908)/B908</f>
        <v>7.8951523764408654E-3</v>
      </c>
      <c r="D909" s="2">
        <f>MAX(D908,B909)</f>
        <v>103.9</v>
      </c>
      <c r="E909" s="9">
        <f>(B909-D909)/D909</f>
        <v>-0.38565928777670844</v>
      </c>
      <c r="AB909" s="1">
        <f>A909</f>
        <v>45888</v>
      </c>
      <c r="AC909" s="2">
        <f>B909</f>
        <v>63.83</v>
      </c>
      <c r="AD909" s="2">
        <f>907</f>
        <v>907</v>
      </c>
      <c r="AE909" s="2">
        <f>INTERCEPT($AC$3:$AC$1136,$AD$3:$AD$1136)+SLOPE($AC$3:$AC$1136,$AD$3:$AD$1136)*AD909</f>
        <v>65.332817522003396</v>
      </c>
      <c r="AF909" s="2">
        <f t="shared" si="28"/>
        <v>67.984477122406091</v>
      </c>
      <c r="AG909" s="2">
        <f t="shared" si="29"/>
        <v>62.6811579216007</v>
      </c>
      <c r="AH909" s="22">
        <f>AC909-AE909</f>
        <v>-1.5028175220033972</v>
      </c>
    </row>
    <row r="910" spans="1:34" x14ac:dyDescent="0.25">
      <c r="A910" s="1">
        <f>DATEVALUE(Sheet1!A909)</f>
        <v>45889</v>
      </c>
      <c r="B910" s="2">
        <f>VALUE(Sheet1!B909)</f>
        <v>63.87</v>
      </c>
      <c r="C910" s="9">
        <f>(B910-B909)/B909</f>
        <v>6.2666457778472737E-4</v>
      </c>
      <c r="D910" s="2">
        <f>MAX(D909,B910)</f>
        <v>103.9</v>
      </c>
      <c r="E910" s="9">
        <f>(B910-D910)/D910</f>
        <v>-0.38527430221366704</v>
      </c>
      <c r="AB910" s="1">
        <f>A910</f>
        <v>45889</v>
      </c>
      <c r="AC910" s="2">
        <f>B910</f>
        <v>63.87</v>
      </c>
      <c r="AD910" s="2">
        <f>908</f>
        <v>908</v>
      </c>
      <c r="AE910" s="2">
        <f>INTERCEPT($AC$3:$AC$1136,$AD$3:$AD$1136)+SLOPE($AC$3:$AC$1136,$AD$3:$AD$1136)*AD910</f>
        <v>65.314105558590938</v>
      </c>
      <c r="AF910" s="2">
        <f t="shared" si="28"/>
        <v>67.965765158993634</v>
      </c>
      <c r="AG910" s="2">
        <f t="shared" si="29"/>
        <v>62.662445958188243</v>
      </c>
      <c r="AH910" s="22">
        <f>AC910-AE910</f>
        <v>-1.444105558590941</v>
      </c>
    </row>
    <row r="911" spans="1:34" x14ac:dyDescent="0.25">
      <c r="A911" s="1">
        <f>DATEVALUE(Sheet1!A910)</f>
        <v>45890</v>
      </c>
      <c r="B911" s="2">
        <f>VALUE(Sheet1!B910)</f>
        <v>64.03</v>
      </c>
      <c r="C911" s="9">
        <f>(B911-B910)/B910</f>
        <v>2.5050884609363346E-3</v>
      </c>
      <c r="D911" s="2">
        <f>MAX(D910,B911)</f>
        <v>103.9</v>
      </c>
      <c r="E911" s="9">
        <f>(B911-D911)/D911</f>
        <v>-0.38373435996150146</v>
      </c>
      <c r="AB911" s="1">
        <f>A911</f>
        <v>45890</v>
      </c>
      <c r="AC911" s="2">
        <f>B911</f>
        <v>64.03</v>
      </c>
      <c r="AD911" s="2">
        <f>909</f>
        <v>909</v>
      </c>
      <c r="AE911" s="2">
        <f>INTERCEPT($AC$3:$AC$1136,$AD$3:$AD$1136)+SLOPE($AC$3:$AC$1136,$AD$3:$AD$1136)*AD911</f>
        <v>65.295393595178496</v>
      </c>
      <c r="AF911" s="2">
        <f t="shared" si="28"/>
        <v>67.947053195581191</v>
      </c>
      <c r="AG911" s="2">
        <f t="shared" si="29"/>
        <v>62.643733994775801</v>
      </c>
      <c r="AH911" s="22">
        <f>AC911-AE911</f>
        <v>-1.2653935951784945</v>
      </c>
    </row>
    <row r="912" spans="1:34" x14ac:dyDescent="0.25">
      <c r="A912" s="1">
        <f>DATEVALUE(Sheet1!A911)</f>
        <v>45891</v>
      </c>
      <c r="B912" s="2">
        <f>VALUE(Sheet1!B911)</f>
        <v>64.05</v>
      </c>
      <c r="C912" s="9">
        <f>(B912-B911)/B911</f>
        <v>3.1235358425731719E-4</v>
      </c>
      <c r="D912" s="2">
        <f>MAX(D911,B912)</f>
        <v>103.9</v>
      </c>
      <c r="E912" s="9">
        <f>(B912-D912)/D912</f>
        <v>-0.38354186717998079</v>
      </c>
      <c r="AB912" s="1">
        <f>A912</f>
        <v>45891</v>
      </c>
      <c r="AC912" s="2">
        <f>B912</f>
        <v>64.05</v>
      </c>
      <c r="AD912" s="2">
        <f>910</f>
        <v>910</v>
      </c>
      <c r="AE912" s="2">
        <f>INTERCEPT($AC$3:$AC$1136,$AD$3:$AD$1136)+SLOPE($AC$3:$AC$1136,$AD$3:$AD$1136)*AD912</f>
        <v>65.276681631766053</v>
      </c>
      <c r="AF912" s="2">
        <f t="shared" si="28"/>
        <v>67.928341232168748</v>
      </c>
      <c r="AG912" s="2">
        <f t="shared" si="29"/>
        <v>62.625022031363358</v>
      </c>
      <c r="AH912" s="22">
        <f>AC912-AE912</f>
        <v>-1.2266816317660556</v>
      </c>
    </row>
    <row r="913" spans="1:34" x14ac:dyDescent="0.25">
      <c r="A913" s="1">
        <f>DATEVALUE(Sheet1!A912)</f>
        <v>45894</v>
      </c>
      <c r="B913" s="2">
        <f>VALUE(Sheet1!B912)</f>
        <v>64.319999999999993</v>
      </c>
      <c r="C913" s="9">
        <f>(B913-B912)/B912</f>
        <v>4.2154566744730063E-3</v>
      </c>
      <c r="D913" s="2">
        <f>MAX(D912,B913)</f>
        <v>103.9</v>
      </c>
      <c r="E913" s="9">
        <f>(B913-D913)/D913</f>
        <v>-0.38094321462945152</v>
      </c>
      <c r="AB913" s="1">
        <f>A913</f>
        <v>45894</v>
      </c>
      <c r="AC913" s="2">
        <f>B913</f>
        <v>64.319999999999993</v>
      </c>
      <c r="AD913" s="2">
        <f>911</f>
        <v>911</v>
      </c>
      <c r="AE913" s="2">
        <f>INTERCEPT($AC$3:$AC$1136,$AD$3:$AD$1136)+SLOPE($AC$3:$AC$1136,$AD$3:$AD$1136)*AD913</f>
        <v>65.25796966835361</v>
      </c>
      <c r="AF913" s="2">
        <f t="shared" si="28"/>
        <v>67.909629268756305</v>
      </c>
      <c r="AG913" s="2">
        <f t="shared" si="29"/>
        <v>62.606310067950915</v>
      </c>
      <c r="AH913" s="22">
        <f>AC913-AE913</f>
        <v>-0.93796966835361673</v>
      </c>
    </row>
    <row r="914" spans="1:34" x14ac:dyDescent="0.25">
      <c r="A914" s="1">
        <f>DATEVALUE(Sheet1!A913)</f>
        <v>45895</v>
      </c>
      <c r="B914" s="2">
        <f>VALUE(Sheet1!B913)</f>
        <v>64.34</v>
      </c>
      <c r="C914" s="9">
        <f>(B914-B913)/B913</f>
        <v>3.109452736319999E-4</v>
      </c>
      <c r="D914" s="2">
        <f>MAX(D913,B914)</f>
        <v>103.9</v>
      </c>
      <c r="E914" s="9">
        <f>(B914-D914)/D914</f>
        <v>-0.38075072184793068</v>
      </c>
      <c r="AB914" s="1">
        <f>A914</f>
        <v>45895</v>
      </c>
      <c r="AC914" s="2">
        <f>B914</f>
        <v>64.34</v>
      </c>
      <c r="AD914" s="2">
        <f>912</f>
        <v>912</v>
      </c>
      <c r="AE914" s="2">
        <f>INTERCEPT($AC$3:$AC$1136,$AD$3:$AD$1136)+SLOPE($AC$3:$AC$1136,$AD$3:$AD$1136)*AD914</f>
        <v>65.239257704941167</v>
      </c>
      <c r="AF914" s="2">
        <f t="shared" si="28"/>
        <v>67.890917305343862</v>
      </c>
      <c r="AG914" s="2">
        <f t="shared" si="29"/>
        <v>62.587598104538472</v>
      </c>
      <c r="AH914" s="22">
        <f>AC914-AE914</f>
        <v>-0.89925770494116364</v>
      </c>
    </row>
    <row r="915" spans="1:34" x14ac:dyDescent="0.25">
      <c r="A915" s="1">
        <f>DATEVALUE(Sheet1!A914)</f>
        <v>45896</v>
      </c>
      <c r="B915" s="2">
        <f>VALUE(Sheet1!B914)</f>
        <v>64.489999999999995</v>
      </c>
      <c r="C915" s="9">
        <f>(B915-B914)/B914</f>
        <v>2.331364625427284E-3</v>
      </c>
      <c r="D915" s="2">
        <f>MAX(D914,B915)</f>
        <v>103.9</v>
      </c>
      <c r="E915" s="9">
        <f>(B915-D915)/D915</f>
        <v>-0.3793070259865256</v>
      </c>
      <c r="AB915" s="1">
        <f>A915</f>
        <v>45896</v>
      </c>
      <c r="AC915" s="2">
        <f>B915</f>
        <v>64.489999999999995</v>
      </c>
      <c r="AD915" s="2">
        <f>913</f>
        <v>913</v>
      </c>
      <c r="AE915" s="2">
        <f>INTERCEPT($AC$3:$AC$1136,$AD$3:$AD$1136)+SLOPE($AC$3:$AC$1136,$AD$3:$AD$1136)*AD915</f>
        <v>65.22054574152871</v>
      </c>
      <c r="AF915" s="2">
        <f t="shared" si="28"/>
        <v>67.872205341931405</v>
      </c>
      <c r="AG915" s="2">
        <f t="shared" si="29"/>
        <v>62.568886141126015</v>
      </c>
      <c r="AH915" s="22">
        <f>AC915-AE915</f>
        <v>-0.7305457415287151</v>
      </c>
    </row>
    <row r="916" spans="1:34" x14ac:dyDescent="0.25">
      <c r="A916" s="1">
        <f>DATEVALUE(Sheet1!A915)</f>
        <v>45897</v>
      </c>
      <c r="B916" s="2">
        <f>VALUE(Sheet1!B915)</f>
        <v>64.260000000000005</v>
      </c>
      <c r="C916" s="9">
        <f>(B916-B915)/B915</f>
        <v>-3.5664444099858862E-3</v>
      </c>
      <c r="D916" s="2">
        <f>MAX(D915,B916)</f>
        <v>103.9</v>
      </c>
      <c r="E916" s="9">
        <f>(B916-D916)/D916</f>
        <v>-0.38152069297401348</v>
      </c>
      <c r="AB916" s="1">
        <f>A916</f>
        <v>45897</v>
      </c>
      <c r="AC916" s="2">
        <f>B916</f>
        <v>64.260000000000005</v>
      </c>
      <c r="AD916" s="2">
        <f>914</f>
        <v>914</v>
      </c>
      <c r="AE916" s="2">
        <f>INTERCEPT($AC$3:$AC$1136,$AD$3:$AD$1136)+SLOPE($AC$3:$AC$1136,$AD$3:$AD$1136)*AD916</f>
        <v>65.201833778116267</v>
      </c>
      <c r="AF916" s="2">
        <f t="shared" si="28"/>
        <v>67.853493378518962</v>
      </c>
      <c r="AG916" s="2">
        <f t="shared" si="29"/>
        <v>62.550174177713572</v>
      </c>
      <c r="AH916" s="22">
        <f>AC916-AE916</f>
        <v>-0.94183377811626201</v>
      </c>
    </row>
    <row r="917" spans="1:34" x14ac:dyDescent="0.25">
      <c r="A917" s="1">
        <f>DATEVALUE(Sheet1!A916)</f>
        <v>45898</v>
      </c>
      <c r="B917" s="2">
        <f>VALUE(Sheet1!B916)</f>
        <v>64.290000000000006</v>
      </c>
      <c r="C917" s="9">
        <f>(B917-B916)/B916</f>
        <v>4.6685340802989626E-4</v>
      </c>
      <c r="D917" s="2">
        <f>MAX(D916,B917)</f>
        <v>103.9</v>
      </c>
      <c r="E917" s="9">
        <f>(B917-D917)/D917</f>
        <v>-0.38123195380173241</v>
      </c>
      <c r="AB917" s="1">
        <f>A917</f>
        <v>45898</v>
      </c>
      <c r="AC917" s="2">
        <f>B917</f>
        <v>64.290000000000006</v>
      </c>
      <c r="AD917" s="2">
        <f>915</f>
        <v>915</v>
      </c>
      <c r="AE917" s="2">
        <f>INTERCEPT($AC$3:$AC$1136,$AD$3:$AD$1136)+SLOPE($AC$3:$AC$1136,$AD$3:$AD$1136)*AD917</f>
        <v>65.18312181470381</v>
      </c>
      <c r="AF917" s="2">
        <f t="shared" si="28"/>
        <v>67.834781415106505</v>
      </c>
      <c r="AG917" s="2">
        <f t="shared" si="29"/>
        <v>62.531462214301115</v>
      </c>
      <c r="AH917" s="22">
        <f>AC917-AE917</f>
        <v>-0.89312181470380381</v>
      </c>
    </row>
    <row r="918" spans="1:34" x14ac:dyDescent="0.25">
      <c r="A918" s="1">
        <f>DATEVALUE(Sheet1!A917)</f>
        <v>45901</v>
      </c>
      <c r="B918" s="2">
        <f>VALUE(Sheet1!B917)</f>
        <v>64.34</v>
      </c>
      <c r="C918" s="9">
        <f>(B918-B917)/B917</f>
        <v>7.7772592938244128E-4</v>
      </c>
      <c r="D918" s="2">
        <f>MAX(D917,B918)</f>
        <v>103.9</v>
      </c>
      <c r="E918" s="9">
        <f>(B918-D918)/D918</f>
        <v>-0.38075072184793068</v>
      </c>
      <c r="AB918" s="1">
        <f>A918</f>
        <v>45901</v>
      </c>
      <c r="AC918" s="2">
        <f>B918</f>
        <v>64.34</v>
      </c>
      <c r="AD918" s="2">
        <f>916</f>
        <v>916</v>
      </c>
      <c r="AE918" s="2">
        <f>INTERCEPT($AC$3:$AC$1136,$AD$3:$AD$1136)+SLOPE($AC$3:$AC$1136,$AD$3:$AD$1136)*AD918</f>
        <v>65.164409851291367</v>
      </c>
      <c r="AF918" s="2">
        <f t="shared" si="28"/>
        <v>67.816069451694062</v>
      </c>
      <c r="AG918" s="2">
        <f t="shared" si="29"/>
        <v>62.512750250888672</v>
      </c>
      <c r="AH918" s="22">
        <f>AC918-AE918</f>
        <v>-0.82440985129136379</v>
      </c>
    </row>
    <row r="919" spans="1:34" x14ac:dyDescent="0.25">
      <c r="A919" s="1">
        <f>DATEVALUE(Sheet1!A918)</f>
        <v>45902</v>
      </c>
      <c r="B919" s="2">
        <f>VALUE(Sheet1!B918)</f>
        <v>64.53</v>
      </c>
      <c r="C919" s="9">
        <f>(B919-B918)/B918</f>
        <v>2.9530618588746926E-3</v>
      </c>
      <c r="D919" s="2">
        <f>MAX(D918,B919)</f>
        <v>103.9</v>
      </c>
      <c r="E919" s="9">
        <f>(B919-D919)/D919</f>
        <v>-0.37892204042348415</v>
      </c>
      <c r="AB919" s="1">
        <f>A919</f>
        <v>45902</v>
      </c>
      <c r="AC919" s="2">
        <f>B919</f>
        <v>64.53</v>
      </c>
      <c r="AD919" s="2">
        <f>917</f>
        <v>917</v>
      </c>
      <c r="AE919" s="2">
        <f>INTERCEPT($AC$3:$AC$1136,$AD$3:$AD$1136)+SLOPE($AC$3:$AC$1136,$AD$3:$AD$1136)*AD919</f>
        <v>65.145697887878924</v>
      </c>
      <c r="AF919" s="2">
        <f t="shared" si="28"/>
        <v>67.797357488281619</v>
      </c>
      <c r="AG919" s="2">
        <f t="shared" si="29"/>
        <v>62.494038287476229</v>
      </c>
      <c r="AH919" s="22">
        <f>AC919-AE919</f>
        <v>-0.61569788787892321</v>
      </c>
    </row>
    <row r="920" spans="1:34" x14ac:dyDescent="0.25">
      <c r="A920" s="1">
        <f>DATEVALUE(Sheet1!A919)</f>
        <v>45903</v>
      </c>
      <c r="B920" s="2">
        <f>VALUE(Sheet1!B919)</f>
        <v>64.58</v>
      </c>
      <c r="C920" s="9">
        <f>(B920-B919)/B919</f>
        <v>7.7483341081663033E-4</v>
      </c>
      <c r="D920" s="2">
        <f>MAX(D919,B920)</f>
        <v>103.9</v>
      </c>
      <c r="E920" s="9">
        <f>(B920-D920)/D920</f>
        <v>-0.37844080846968242</v>
      </c>
      <c r="AB920" s="1">
        <f>A920</f>
        <v>45903</v>
      </c>
      <c r="AC920" s="2">
        <f>B920</f>
        <v>64.58</v>
      </c>
      <c r="AD920" s="2">
        <f>918</f>
        <v>918</v>
      </c>
      <c r="AE920" s="2">
        <f>INTERCEPT($AC$3:$AC$1136,$AD$3:$AD$1136)+SLOPE($AC$3:$AC$1136,$AD$3:$AD$1136)*AD920</f>
        <v>65.126985924466481</v>
      </c>
      <c r="AF920" s="2">
        <f t="shared" si="28"/>
        <v>67.778645524869177</v>
      </c>
      <c r="AG920" s="2">
        <f t="shared" si="29"/>
        <v>62.475326324063786</v>
      </c>
      <c r="AH920" s="22">
        <f>AC920-AE920</f>
        <v>-0.5469859244664832</v>
      </c>
    </row>
    <row r="921" spans="1:34" x14ac:dyDescent="0.25">
      <c r="A921" s="1">
        <f>DATEVALUE(Sheet1!A920)</f>
        <v>45904</v>
      </c>
      <c r="B921" s="2">
        <f>VALUE(Sheet1!B920)</f>
        <v>64.7</v>
      </c>
      <c r="C921" s="9">
        <f>(B921-B920)/B920</f>
        <v>1.8581604211830992E-3</v>
      </c>
      <c r="D921" s="2">
        <f>MAX(D920,B921)</f>
        <v>103.9</v>
      </c>
      <c r="E921" s="9">
        <f>(B921-D921)/D921</f>
        <v>-0.37728585178055823</v>
      </c>
      <c r="AB921" s="1">
        <f>A921</f>
        <v>45904</v>
      </c>
      <c r="AC921" s="2">
        <f>B921</f>
        <v>64.7</v>
      </c>
      <c r="AD921" s="2">
        <f>919</f>
        <v>919</v>
      </c>
      <c r="AE921" s="2">
        <f>INTERCEPT($AC$3:$AC$1136,$AD$3:$AD$1136)+SLOPE($AC$3:$AC$1136,$AD$3:$AD$1136)*AD921</f>
        <v>65.108273961054039</v>
      </c>
      <c r="AF921" s="2">
        <f t="shared" si="28"/>
        <v>67.759933561456734</v>
      </c>
      <c r="AG921" s="2">
        <f t="shared" si="29"/>
        <v>62.456614360651344</v>
      </c>
      <c r="AH921" s="22">
        <f>AC921-AE921</f>
        <v>-0.40827396105403579</v>
      </c>
    </row>
    <row r="922" spans="1:34" x14ac:dyDescent="0.25">
      <c r="A922" s="1">
        <f>DATEVALUE(Sheet1!A921)</f>
        <v>45905</v>
      </c>
      <c r="B922" s="2">
        <f>VALUE(Sheet1!B921)</f>
        <v>64.78</v>
      </c>
      <c r="C922" s="9">
        <f>(B922-B921)/B921</f>
        <v>1.2364760432766351E-3</v>
      </c>
      <c r="D922" s="2">
        <f>MAX(D921,B922)</f>
        <v>103.9</v>
      </c>
      <c r="E922" s="9">
        <f>(B922-D922)/D922</f>
        <v>-0.3765158806544755</v>
      </c>
      <c r="AB922" s="1">
        <f>A922</f>
        <v>45905</v>
      </c>
      <c r="AC922" s="2">
        <f>B922</f>
        <v>64.78</v>
      </c>
      <c r="AD922" s="2">
        <f>920</f>
        <v>920</v>
      </c>
      <c r="AE922" s="2">
        <f>INTERCEPT($AC$3:$AC$1136,$AD$3:$AD$1136)+SLOPE($AC$3:$AC$1136,$AD$3:$AD$1136)*AD922</f>
        <v>65.089561997641582</v>
      </c>
      <c r="AF922" s="2">
        <f t="shared" si="28"/>
        <v>67.741221598044277</v>
      </c>
      <c r="AG922" s="2">
        <f t="shared" si="29"/>
        <v>62.437902397238886</v>
      </c>
      <c r="AH922" s="22">
        <f>AC922-AE922</f>
        <v>-0.30956199764158043</v>
      </c>
    </row>
    <row r="923" spans="1:34" x14ac:dyDescent="0.25">
      <c r="A923" s="1">
        <f>DATEVALUE(Sheet1!A922)</f>
        <v>45908</v>
      </c>
      <c r="B923" s="2">
        <f>VALUE(Sheet1!B922)</f>
        <v>64.819999999999993</v>
      </c>
      <c r="C923" s="9">
        <f>(B923-B922)/B922</f>
        <v>6.1747452917554867E-4</v>
      </c>
      <c r="D923" s="2">
        <f>MAX(D922,B923)</f>
        <v>103.9</v>
      </c>
      <c r="E923" s="9">
        <f>(B923-D923)/D923</f>
        <v>-0.37613089509143416</v>
      </c>
      <c r="AB923" s="1">
        <f>A923</f>
        <v>45908</v>
      </c>
      <c r="AC923" s="2">
        <f>B923</f>
        <v>64.819999999999993</v>
      </c>
      <c r="AD923" s="2">
        <f>921</f>
        <v>921</v>
      </c>
      <c r="AE923" s="2">
        <f>INTERCEPT($AC$3:$AC$1136,$AD$3:$AD$1136)+SLOPE($AC$3:$AC$1136,$AD$3:$AD$1136)*AD923</f>
        <v>65.070850034229139</v>
      </c>
      <c r="AF923" s="2">
        <f t="shared" si="28"/>
        <v>67.722509634631834</v>
      </c>
      <c r="AG923" s="2">
        <f t="shared" si="29"/>
        <v>62.419190433826444</v>
      </c>
      <c r="AH923" s="22">
        <f>AC923-AE923</f>
        <v>-0.25085003422914554</v>
      </c>
    </row>
    <row r="924" spans="1:34" x14ac:dyDescent="0.25">
      <c r="A924" s="1">
        <f>DATEVALUE(Sheet1!A923)</f>
        <v>45909</v>
      </c>
      <c r="B924" s="2">
        <f>VALUE(Sheet1!B923)</f>
        <v>65.150000000000006</v>
      </c>
      <c r="C924" s="9">
        <f>(B924-B923)/B923</f>
        <v>5.0910212897255867E-3</v>
      </c>
      <c r="D924" s="2">
        <f>MAX(D923,B924)</f>
        <v>103.9</v>
      </c>
      <c r="E924" s="9">
        <f>(B924-D924)/D924</f>
        <v>-0.3729547641963426</v>
      </c>
      <c r="AB924" s="1">
        <f>A924</f>
        <v>45909</v>
      </c>
      <c r="AC924" s="2">
        <f>B924</f>
        <v>65.150000000000006</v>
      </c>
      <c r="AD924" s="2">
        <f>922</f>
        <v>922</v>
      </c>
      <c r="AE924" s="2">
        <f>INTERCEPT($AC$3:$AC$1136,$AD$3:$AD$1136)+SLOPE($AC$3:$AC$1136,$AD$3:$AD$1136)*AD924</f>
        <v>65.052138070816696</v>
      </c>
      <c r="AF924" s="2">
        <f t="shared" si="28"/>
        <v>67.703797671219391</v>
      </c>
      <c r="AG924" s="2">
        <f t="shared" si="29"/>
        <v>62.400478470414001</v>
      </c>
      <c r="AH924" s="22">
        <f>AC924-AE924</f>
        <v>9.7861929183309826E-2</v>
      </c>
    </row>
    <row r="925" spans="1:34" x14ac:dyDescent="0.25">
      <c r="A925" s="1">
        <f>DATEVALUE(Sheet1!A924)</f>
        <v>45910</v>
      </c>
      <c r="B925" s="2">
        <f>VALUE(Sheet1!B924)</f>
        <v>65.069999999999993</v>
      </c>
      <c r="C925" s="9">
        <f>(B925-B924)/B924</f>
        <v>-1.2279355333846892E-3</v>
      </c>
      <c r="D925" s="2">
        <f>MAX(D924,B925)</f>
        <v>103.9</v>
      </c>
      <c r="E925" s="9">
        <f>(B925-D925)/D925</f>
        <v>-0.37372473532242551</v>
      </c>
      <c r="AB925" s="1">
        <f>A925</f>
        <v>45910</v>
      </c>
      <c r="AC925" s="2">
        <f>B925</f>
        <v>65.069999999999993</v>
      </c>
      <c r="AD925" s="2">
        <f>923</f>
        <v>923</v>
      </c>
      <c r="AE925" s="2">
        <f>INTERCEPT($AC$3:$AC$1136,$AD$3:$AD$1136)+SLOPE($AC$3:$AC$1136,$AD$3:$AD$1136)*AD925</f>
        <v>65.033426107404239</v>
      </c>
      <c r="AF925" s="2">
        <f t="shared" si="28"/>
        <v>67.685085707806934</v>
      </c>
      <c r="AG925" s="2">
        <f t="shared" si="29"/>
        <v>62.381766507001544</v>
      </c>
      <c r="AH925" s="22">
        <f>AC925-AE925</f>
        <v>3.6573892595754387E-2</v>
      </c>
    </row>
    <row r="926" spans="1:34" x14ac:dyDescent="0.25">
      <c r="A926" s="1">
        <f>DATEVALUE(Sheet1!A925)</f>
        <v>45911</v>
      </c>
      <c r="B926" s="2">
        <f>VALUE(Sheet1!B925)</f>
        <v>64.97</v>
      </c>
      <c r="C926" s="9">
        <f>(B926-B925)/B925</f>
        <v>-1.536806516059541E-3</v>
      </c>
      <c r="D926" s="2">
        <f>MAX(D925,B926)</f>
        <v>103.9</v>
      </c>
      <c r="E926" s="9">
        <f>(B926-D926)/D926</f>
        <v>-0.37468719923002891</v>
      </c>
      <c r="AB926" s="1">
        <f>A926</f>
        <v>45911</v>
      </c>
      <c r="AC926" s="2">
        <f>B926</f>
        <v>64.97</v>
      </c>
      <c r="AD926" s="2">
        <f>924</f>
        <v>924</v>
      </c>
      <c r="AE926" s="2">
        <f>INTERCEPT($AC$3:$AC$1136,$AD$3:$AD$1136)+SLOPE($AC$3:$AC$1136,$AD$3:$AD$1136)*AD926</f>
        <v>65.014714143991796</v>
      </c>
      <c r="AF926" s="2">
        <f t="shared" si="28"/>
        <v>67.666373744394491</v>
      </c>
      <c r="AG926" s="2">
        <f t="shared" si="29"/>
        <v>62.363054543589101</v>
      </c>
      <c r="AH926" s="22">
        <f>AC926-AE926</f>
        <v>-4.4714143991797073E-2</v>
      </c>
    </row>
    <row r="927" spans="1:34" x14ac:dyDescent="0.25">
      <c r="A927" s="1">
        <f>DATEVALUE(Sheet1!A926)</f>
        <v>45912</v>
      </c>
      <c r="B927" s="2">
        <f>VALUE(Sheet1!B926)</f>
        <v>65.03</v>
      </c>
      <c r="C927" s="9">
        <f>(B927-B926)/B926</f>
        <v>9.2350315530248224E-4</v>
      </c>
      <c r="D927" s="2">
        <f>MAX(D926,B927)</f>
        <v>103.9</v>
      </c>
      <c r="E927" s="9">
        <f>(B927-D927)/D927</f>
        <v>-0.37410972088546685</v>
      </c>
      <c r="AB927" s="1">
        <f>A927</f>
        <v>45912</v>
      </c>
      <c r="AC927" s="2">
        <f>B927</f>
        <v>65.03</v>
      </c>
      <c r="AD927" s="2">
        <f>925</f>
        <v>925</v>
      </c>
      <c r="AE927" s="2">
        <f>INTERCEPT($AC$3:$AC$1136,$AD$3:$AD$1136)+SLOPE($AC$3:$AC$1136,$AD$3:$AD$1136)*AD927</f>
        <v>64.996002180579353</v>
      </c>
      <c r="AF927" s="2">
        <f t="shared" si="28"/>
        <v>67.647661780982048</v>
      </c>
      <c r="AG927" s="2">
        <f t="shared" si="29"/>
        <v>62.344342580176658</v>
      </c>
      <c r="AH927" s="22">
        <f>AC927-AE927</f>
        <v>3.3997819420648057E-2</v>
      </c>
    </row>
    <row r="928" spans="1:34" x14ac:dyDescent="0.25">
      <c r="A928" s="1">
        <f>DATEVALUE(Sheet1!A927)</f>
        <v>45915</v>
      </c>
      <c r="B928" s="2">
        <f>VALUE(Sheet1!B927)</f>
        <v>65.08</v>
      </c>
      <c r="C928" s="9">
        <f>(B928-B927)/B927</f>
        <v>7.6887590342914283E-4</v>
      </c>
      <c r="D928" s="2">
        <f>MAX(D927,B928)</f>
        <v>103.9</v>
      </c>
      <c r="E928" s="9">
        <f>(B928-D928)/D928</f>
        <v>-0.37362848893166511</v>
      </c>
      <c r="AB928" s="1">
        <f>A928</f>
        <v>45915</v>
      </c>
      <c r="AC928" s="2">
        <f>B928</f>
        <v>65.08</v>
      </c>
      <c r="AD928" s="2">
        <f>926</f>
        <v>926</v>
      </c>
      <c r="AE928" s="2">
        <f>INTERCEPT($AC$3:$AC$1136,$AD$3:$AD$1136)+SLOPE($AC$3:$AC$1136,$AD$3:$AD$1136)*AD928</f>
        <v>64.97729021716691</v>
      </c>
      <c r="AF928" s="2">
        <f t="shared" si="28"/>
        <v>67.628949817569605</v>
      </c>
      <c r="AG928" s="2">
        <f t="shared" si="29"/>
        <v>62.325630616764215</v>
      </c>
      <c r="AH928" s="22">
        <f>AC928-AE928</f>
        <v>0.10270978283308807</v>
      </c>
    </row>
    <row r="929" spans="1:34" x14ac:dyDescent="0.25">
      <c r="A929" s="1">
        <f>DATEVALUE(Sheet1!A928)</f>
        <v>45916</v>
      </c>
      <c r="B929" s="2">
        <f>VALUE(Sheet1!B928)</f>
        <v>65.19</v>
      </c>
      <c r="C929" s="9">
        <f>(B929-B928)/B928</f>
        <v>1.6902274124154799E-3</v>
      </c>
      <c r="D929" s="2">
        <f>MAX(D928,B929)</f>
        <v>103.9</v>
      </c>
      <c r="E929" s="9">
        <f>(B929-D929)/D929</f>
        <v>-0.37256977863330132</v>
      </c>
      <c r="AB929" s="1">
        <f>A929</f>
        <v>45916</v>
      </c>
      <c r="AC929" s="2">
        <f>B929</f>
        <v>65.19</v>
      </c>
      <c r="AD929" s="2">
        <f>927</f>
        <v>927</v>
      </c>
      <c r="AE929" s="2">
        <f>INTERCEPT($AC$3:$AC$1136,$AD$3:$AD$1136)+SLOPE($AC$3:$AC$1136,$AD$3:$AD$1136)*AD929</f>
        <v>64.958578253754453</v>
      </c>
      <c r="AF929" s="2">
        <f t="shared" si="28"/>
        <v>67.610237854157148</v>
      </c>
      <c r="AG929" s="2">
        <f t="shared" si="29"/>
        <v>62.306918653351758</v>
      </c>
      <c r="AH929" s="22">
        <f>AC929-AE929</f>
        <v>0.23142174624554457</v>
      </c>
    </row>
    <row r="930" spans="1:34" x14ac:dyDescent="0.25">
      <c r="A930" s="1">
        <f>DATEVALUE(Sheet1!A929)</f>
        <v>45917</v>
      </c>
      <c r="B930" s="2">
        <f>VALUE(Sheet1!B929)</f>
        <v>65.36</v>
      </c>
      <c r="C930" s="9">
        <f>(B930-B929)/B929</f>
        <v>2.6077619266758967E-3</v>
      </c>
      <c r="D930" s="2">
        <f>MAX(D929,B930)</f>
        <v>103.9</v>
      </c>
      <c r="E930" s="9">
        <f>(B930-D930)/D930</f>
        <v>-0.3709335899903754</v>
      </c>
      <c r="AB930" s="1">
        <f>A930</f>
        <v>45917</v>
      </c>
      <c r="AC930" s="2">
        <f>B930</f>
        <v>65.36</v>
      </c>
      <c r="AD930" s="2">
        <f>928</f>
        <v>928</v>
      </c>
      <c r="AE930" s="2">
        <f>INTERCEPT($AC$3:$AC$1136,$AD$3:$AD$1136)+SLOPE($AC$3:$AC$1136,$AD$3:$AD$1136)*AD930</f>
        <v>64.93986629034201</v>
      </c>
      <c r="AF930" s="2">
        <f t="shared" si="28"/>
        <v>67.591525890744705</v>
      </c>
      <c r="AG930" s="2">
        <f t="shared" si="29"/>
        <v>62.288206689939315</v>
      </c>
      <c r="AH930" s="22">
        <f>AC930-AE930</f>
        <v>0.42013370965798913</v>
      </c>
    </row>
    <row r="931" spans="1:34" x14ac:dyDescent="0.25">
      <c r="A931" s="1">
        <f>DATEVALUE(Sheet1!A930)</f>
        <v>45918</v>
      </c>
      <c r="B931" s="2">
        <f>VALUE(Sheet1!B930)</f>
        <v>65.33</v>
      </c>
      <c r="C931" s="9">
        <f>(B931-B930)/B930</f>
        <v>-4.5899632802939318E-4</v>
      </c>
      <c r="D931" s="2">
        <f>MAX(D930,B931)</f>
        <v>103.9</v>
      </c>
      <c r="E931" s="9">
        <f>(B931-D931)/D931</f>
        <v>-0.37122232916265646</v>
      </c>
      <c r="AB931" s="1">
        <f>A931</f>
        <v>45918</v>
      </c>
      <c r="AC931" s="2">
        <f>B931</f>
        <v>65.33</v>
      </c>
      <c r="AD931" s="2">
        <f>929</f>
        <v>929</v>
      </c>
      <c r="AE931" s="2">
        <f>INTERCEPT($AC$3:$AC$1136,$AD$3:$AD$1136)+SLOPE($AC$3:$AC$1136,$AD$3:$AD$1136)*AD931</f>
        <v>64.921154326929567</v>
      </c>
      <c r="AF931" s="2">
        <f t="shared" si="28"/>
        <v>67.572813927332263</v>
      </c>
      <c r="AG931" s="2">
        <f t="shared" si="29"/>
        <v>62.269494726526872</v>
      </c>
      <c r="AH931" s="22">
        <f>AC931-AE931</f>
        <v>0.40884567307043085</v>
      </c>
    </row>
    <row r="932" spans="1:34" x14ac:dyDescent="0.25">
      <c r="A932" s="1">
        <f>DATEVALUE(Sheet1!A931)</f>
        <v>45919</v>
      </c>
      <c r="B932" s="2">
        <f>VALUE(Sheet1!B931)</f>
        <v>65.319999999999993</v>
      </c>
      <c r="C932" s="9">
        <f>(B932-B931)/B931</f>
        <v>-1.5306903413447293E-4</v>
      </c>
      <c r="D932" s="2">
        <f>MAX(D931,B932)</f>
        <v>103.9</v>
      </c>
      <c r="E932" s="9">
        <f>(B932-D932)/D932</f>
        <v>-0.37131857555341685</v>
      </c>
      <c r="AB932" s="1">
        <f>A932</f>
        <v>45919</v>
      </c>
      <c r="AC932" s="2">
        <f>B932</f>
        <v>65.319999999999993</v>
      </c>
      <c r="AD932" s="2">
        <f>930</f>
        <v>930</v>
      </c>
      <c r="AE932" s="2">
        <f>INTERCEPT($AC$3:$AC$1136,$AD$3:$AD$1136)+SLOPE($AC$3:$AC$1136,$AD$3:$AD$1136)*AD932</f>
        <v>64.90244236351711</v>
      </c>
      <c r="AF932" s="2">
        <f t="shared" si="28"/>
        <v>67.554101963919805</v>
      </c>
      <c r="AG932" s="2">
        <f t="shared" si="29"/>
        <v>62.250782763114415</v>
      </c>
      <c r="AH932" s="22">
        <f>AC932-AE932</f>
        <v>0.4175576364828828</v>
      </c>
    </row>
    <row r="933" spans="1:34" x14ac:dyDescent="0.25">
      <c r="A933" s="1">
        <f>DATEVALUE(Sheet1!A932)</f>
        <v>45922</v>
      </c>
      <c r="B933" s="2">
        <f>VALUE(Sheet1!B932)</f>
        <v>64.75</v>
      </c>
      <c r="C933" s="9">
        <f>(B933-B932)/B932</f>
        <v>-8.7262706674830562E-3</v>
      </c>
      <c r="D933" s="2">
        <f>MAX(D932,B933)</f>
        <v>103.9</v>
      </c>
      <c r="E933" s="9">
        <f>(B933-D933)/D933</f>
        <v>-0.3768046198267565</v>
      </c>
      <c r="AB933" s="1">
        <f>A933</f>
        <v>45922</v>
      </c>
      <c r="AC933" s="2">
        <f>B933</f>
        <v>64.75</v>
      </c>
      <c r="AD933" s="2">
        <f>931</f>
        <v>931</v>
      </c>
      <c r="AE933" s="2">
        <f>INTERCEPT($AC$3:$AC$1136,$AD$3:$AD$1136)+SLOPE($AC$3:$AC$1136,$AD$3:$AD$1136)*AD933</f>
        <v>64.883730400104668</v>
      </c>
      <c r="AF933" s="2">
        <f t="shared" si="28"/>
        <v>67.535390000507363</v>
      </c>
      <c r="AG933" s="2">
        <f t="shared" si="29"/>
        <v>62.232070799701972</v>
      </c>
      <c r="AH933" s="22">
        <f>AC933-AE933</f>
        <v>-0.13373040010466752</v>
      </c>
    </row>
    <row r="934" spans="1:34" x14ac:dyDescent="0.25">
      <c r="A934" s="1">
        <f>DATEVALUE(Sheet1!A933)</f>
        <v>45923</v>
      </c>
      <c r="B934" s="2">
        <f>VALUE(Sheet1!B933)</f>
        <v>64.319999999999993</v>
      </c>
      <c r="C934" s="9">
        <f>(B934-B933)/B933</f>
        <v>-6.6409266409267467E-3</v>
      </c>
      <c r="D934" s="2">
        <f>MAX(D933,B934)</f>
        <v>103.9</v>
      </c>
      <c r="E934" s="9">
        <f>(B934-D934)/D934</f>
        <v>-0.38094321462945152</v>
      </c>
      <c r="AB934" s="1">
        <f>A934</f>
        <v>45923</v>
      </c>
      <c r="AC934" s="2">
        <f>B934</f>
        <v>64.319999999999993</v>
      </c>
      <c r="AD934" s="2">
        <f>932</f>
        <v>932</v>
      </c>
      <c r="AE934" s="2">
        <f>INTERCEPT($AC$3:$AC$1136,$AD$3:$AD$1136)+SLOPE($AC$3:$AC$1136,$AD$3:$AD$1136)*AD934</f>
        <v>64.865018436692225</v>
      </c>
      <c r="AF934" s="2">
        <f t="shared" si="28"/>
        <v>67.51667803709492</v>
      </c>
      <c r="AG934" s="2">
        <f t="shared" si="29"/>
        <v>62.21335883628953</v>
      </c>
      <c r="AH934" s="22">
        <f>AC934-AE934</f>
        <v>-0.54501843669223149</v>
      </c>
    </row>
    <row r="935" spans="1:34" x14ac:dyDescent="0.25">
      <c r="A935" s="1">
        <f>DATEVALUE(Sheet1!A934)</f>
        <v>45924</v>
      </c>
      <c r="B935" s="2">
        <f>VALUE(Sheet1!B934)</f>
        <v>64.33</v>
      </c>
      <c r="C935" s="9">
        <f>(B935-B934)/B934</f>
        <v>1.5547263681599995E-4</v>
      </c>
      <c r="D935" s="2">
        <f>MAX(D934,B935)</f>
        <v>103.9</v>
      </c>
      <c r="E935" s="9">
        <f>(B935-D935)/D935</f>
        <v>-0.38084696823869107</v>
      </c>
      <c r="AB935" s="1">
        <f>A935</f>
        <v>45924</v>
      </c>
      <c r="AC935" s="2">
        <f>B935</f>
        <v>64.33</v>
      </c>
      <c r="AD935" s="2">
        <f>933</f>
        <v>933</v>
      </c>
      <c r="AE935" s="2">
        <f>INTERCEPT($AC$3:$AC$1136,$AD$3:$AD$1136)+SLOPE($AC$3:$AC$1136,$AD$3:$AD$1136)*AD935</f>
        <v>64.846306473279782</v>
      </c>
      <c r="AF935" s="2">
        <f t="shared" si="28"/>
        <v>67.497966073682477</v>
      </c>
      <c r="AG935" s="2">
        <f t="shared" si="29"/>
        <v>62.194646872877087</v>
      </c>
      <c r="AH935" s="22">
        <f>AC935-AE935</f>
        <v>-0.51630647327978352</v>
      </c>
    </row>
    <row r="936" spans="1:34" x14ac:dyDescent="0.25">
      <c r="A936" s="1">
        <f>DATEVALUE(Sheet1!A935)</f>
        <v>45925</v>
      </c>
      <c r="B936" s="2">
        <f>VALUE(Sheet1!B935)</f>
        <v>64.36</v>
      </c>
      <c r="C936" s="9">
        <f>(B936-B935)/B935</f>
        <v>4.6634540649776368E-4</v>
      </c>
      <c r="D936" s="2">
        <f>MAX(D935,B936)</f>
        <v>103.9</v>
      </c>
      <c r="E936" s="9">
        <f>(B936-D936)/D936</f>
        <v>-0.38055822906641007</v>
      </c>
      <c r="AB936" s="1">
        <f>A936</f>
        <v>45925</v>
      </c>
      <c r="AC936" s="2">
        <f>B936</f>
        <v>64.36</v>
      </c>
      <c r="AD936" s="2">
        <f>934</f>
        <v>934</v>
      </c>
      <c r="AE936" s="2">
        <f>INTERCEPT($AC$3:$AC$1136,$AD$3:$AD$1136)+SLOPE($AC$3:$AC$1136,$AD$3:$AD$1136)*AD936</f>
        <v>64.827594509867339</v>
      </c>
      <c r="AF936" s="2">
        <f t="shared" si="28"/>
        <v>67.479254110270034</v>
      </c>
      <c r="AG936" s="2">
        <f t="shared" si="29"/>
        <v>62.175934909464644</v>
      </c>
      <c r="AH936" s="22">
        <f>AC936-AE936</f>
        <v>-0.46759450986733953</v>
      </c>
    </row>
    <row r="937" spans="1:34" x14ac:dyDescent="0.25">
      <c r="A937" s="1">
        <f>DATEVALUE(Sheet1!A936)</f>
        <v>45926</v>
      </c>
      <c r="B937" s="2">
        <f>VALUE(Sheet1!B936)</f>
        <v>64.34</v>
      </c>
      <c r="C937" s="9">
        <f>(B937-B936)/B936</f>
        <v>-3.1075201988806745E-4</v>
      </c>
      <c r="D937" s="2">
        <f>MAX(D936,B937)</f>
        <v>103.9</v>
      </c>
      <c r="E937" s="9">
        <f>(B937-D937)/D937</f>
        <v>-0.38075072184793068</v>
      </c>
      <c r="AB937" s="1">
        <f>A937</f>
        <v>45926</v>
      </c>
      <c r="AC937" s="2">
        <f>B937</f>
        <v>64.34</v>
      </c>
      <c r="AD937" s="2">
        <f>935</f>
        <v>935</v>
      </c>
      <c r="AE937" s="2">
        <f>INTERCEPT($AC$3:$AC$1136,$AD$3:$AD$1136)+SLOPE($AC$3:$AC$1136,$AD$3:$AD$1136)*AD937</f>
        <v>64.808882546454882</v>
      </c>
      <c r="AF937" s="2">
        <f t="shared" si="28"/>
        <v>67.460542146857577</v>
      </c>
      <c r="AG937" s="2">
        <f t="shared" si="29"/>
        <v>62.157222946052187</v>
      </c>
      <c r="AH937" s="22">
        <f>AC937-AE937</f>
        <v>-0.46888254645487848</v>
      </c>
    </row>
    <row r="938" spans="1:34" x14ac:dyDescent="0.25">
      <c r="A938" s="1">
        <f>DATEVALUE(Sheet1!A937)</f>
        <v>45929</v>
      </c>
      <c r="B938" s="2">
        <f>VALUE(Sheet1!B937)</f>
        <v>64.36</v>
      </c>
      <c r="C938" s="9">
        <f>(B938-B937)/B937</f>
        <v>3.1084861672359371E-4</v>
      </c>
      <c r="D938" s="2">
        <f>MAX(D937,B938)</f>
        <v>103.9</v>
      </c>
      <c r="E938" s="9">
        <f>(B938-D938)/D938</f>
        <v>-0.38055822906641007</v>
      </c>
      <c r="AB938" s="1">
        <f>A938</f>
        <v>45929</v>
      </c>
      <c r="AC938" s="2">
        <f>B938</f>
        <v>64.36</v>
      </c>
      <c r="AD938" s="2">
        <f>936</f>
        <v>936</v>
      </c>
      <c r="AE938" s="2">
        <f>INTERCEPT($AC$3:$AC$1136,$AD$3:$AD$1136)+SLOPE($AC$3:$AC$1136,$AD$3:$AD$1136)*AD938</f>
        <v>64.790170583042439</v>
      </c>
      <c r="AF938" s="2">
        <f t="shared" si="28"/>
        <v>67.441830183445134</v>
      </c>
      <c r="AG938" s="2">
        <f t="shared" si="29"/>
        <v>62.138510982639744</v>
      </c>
      <c r="AH938" s="22">
        <f>AC938-AE938</f>
        <v>-0.4301705830424396</v>
      </c>
    </row>
    <row r="939" spans="1:34" x14ac:dyDescent="0.25">
      <c r="A939" s="1">
        <f>DATEVALUE(Sheet1!A938)</f>
        <v>45930</v>
      </c>
      <c r="B939" s="2">
        <f>VALUE(Sheet1!B938)</f>
        <v>64.260000000000005</v>
      </c>
      <c r="C939" s="9">
        <f>(B939-B938)/B938</f>
        <v>-1.553760099440558E-3</v>
      </c>
      <c r="D939" s="2">
        <f>MAX(D938,B939)</f>
        <v>103.9</v>
      </c>
      <c r="E939" s="9">
        <f>(B939-D939)/D939</f>
        <v>-0.38152069297401348</v>
      </c>
      <c r="AB939" s="1">
        <f>A939</f>
        <v>45930</v>
      </c>
      <c r="AC939" s="2">
        <f>B939</f>
        <v>64.260000000000005</v>
      </c>
      <c r="AD939" s="2">
        <f>937</f>
        <v>937</v>
      </c>
      <c r="AE939" s="2">
        <f>INTERCEPT($AC$3:$AC$1136,$AD$3:$AD$1136)+SLOPE($AC$3:$AC$1136,$AD$3:$AD$1136)*AD939</f>
        <v>64.771458619629982</v>
      </c>
      <c r="AF939" s="2">
        <f t="shared" si="28"/>
        <v>67.423118220032677</v>
      </c>
      <c r="AG939" s="2">
        <f t="shared" si="29"/>
        <v>62.119799019227287</v>
      </c>
      <c r="AH939" s="22">
        <f>AC939-AE939</f>
        <v>-0.51145861962997685</v>
      </c>
    </row>
    <row r="940" spans="1:34" x14ac:dyDescent="0.25">
      <c r="A940" s="1">
        <f>DATEVALUE(Sheet1!A939)</f>
        <v>45931</v>
      </c>
      <c r="B940" s="2">
        <f>VALUE(Sheet1!B939)</f>
        <v>64.31</v>
      </c>
      <c r="C940" s="9">
        <f>(B940-B939)/B939</f>
        <v>7.7808901338308678E-4</v>
      </c>
      <c r="D940" s="2">
        <f>MAX(D939,B940)</f>
        <v>103.9</v>
      </c>
      <c r="E940" s="9">
        <f>(B940-D940)/D940</f>
        <v>-0.38103946102021174</v>
      </c>
      <c r="AB940" s="1">
        <f>A940</f>
        <v>45931</v>
      </c>
      <c r="AC940" s="2">
        <f>B940</f>
        <v>64.31</v>
      </c>
      <c r="AD940" s="2">
        <f>938</f>
        <v>938</v>
      </c>
      <c r="AE940" s="2">
        <f>INTERCEPT($AC$3:$AC$1136,$AD$3:$AD$1136)+SLOPE($AC$3:$AC$1136,$AD$3:$AD$1136)*AD940</f>
        <v>64.752746656217539</v>
      </c>
      <c r="AF940" s="2">
        <f t="shared" si="28"/>
        <v>67.404406256620234</v>
      </c>
      <c r="AG940" s="2">
        <f t="shared" si="29"/>
        <v>62.101087055814844</v>
      </c>
      <c r="AH940" s="22">
        <f>AC940-AE940</f>
        <v>-0.44274665621753684</v>
      </c>
    </row>
    <row r="941" spans="1:34" x14ac:dyDescent="0.25">
      <c r="A941" s="1">
        <f>DATEVALUE(Sheet1!A940)</f>
        <v>45932</v>
      </c>
      <c r="B941" s="2">
        <f>VALUE(Sheet1!B940)</f>
        <v>64.569999999999993</v>
      </c>
      <c r="C941" s="9">
        <f>(B941-B940)/B940</f>
        <v>4.0429171201988943E-3</v>
      </c>
      <c r="D941" s="2">
        <f>MAX(D940,B941)</f>
        <v>103.9</v>
      </c>
      <c r="E941" s="9">
        <f>(B941-D941)/D941</f>
        <v>-0.37853705486044281</v>
      </c>
      <c r="AB941" s="1">
        <f>A941</f>
        <v>45932</v>
      </c>
      <c r="AC941" s="2">
        <f>B941</f>
        <v>64.569999999999993</v>
      </c>
      <c r="AD941" s="2">
        <f>939</f>
        <v>939</v>
      </c>
      <c r="AE941" s="2">
        <f>INTERCEPT($AC$3:$AC$1136,$AD$3:$AD$1136)+SLOPE($AC$3:$AC$1136,$AD$3:$AD$1136)*AD941</f>
        <v>64.734034692805096</v>
      </c>
      <c r="AF941" s="2">
        <f t="shared" si="28"/>
        <v>67.385694293207791</v>
      </c>
      <c r="AG941" s="2">
        <f t="shared" si="29"/>
        <v>62.082375092402401</v>
      </c>
      <c r="AH941" s="22">
        <f>AC941-AE941</f>
        <v>-0.16403469280510308</v>
      </c>
    </row>
    <row r="942" spans="1:34" x14ac:dyDescent="0.25">
      <c r="A942" s="1">
        <f>DATEVALUE(Sheet1!A941)</f>
        <v>45933</v>
      </c>
      <c r="B942" s="2">
        <f>VALUE(Sheet1!B941)</f>
        <v>64.77</v>
      </c>
      <c r="C942" s="9">
        <f>(B942-B941)/B941</f>
        <v>3.0974136595942831E-3</v>
      </c>
      <c r="D942" s="2">
        <f>MAX(D941,B942)</f>
        <v>103.9</v>
      </c>
      <c r="E942" s="9">
        <f>(B942-D942)/D942</f>
        <v>-0.37661212704523589</v>
      </c>
      <c r="AB942" s="1">
        <f>A942</f>
        <v>45933</v>
      </c>
      <c r="AC942" s="2">
        <f>B942</f>
        <v>64.77</v>
      </c>
      <c r="AD942" s="2">
        <f>940</f>
        <v>940</v>
      </c>
      <c r="AE942" s="2">
        <f>INTERCEPT($AC$3:$AC$1136,$AD$3:$AD$1136)+SLOPE($AC$3:$AC$1136,$AD$3:$AD$1136)*AD942</f>
        <v>64.715322729392653</v>
      </c>
      <c r="AF942" s="2">
        <f t="shared" si="28"/>
        <v>67.366982329795349</v>
      </c>
      <c r="AG942" s="2">
        <f t="shared" si="29"/>
        <v>62.063663128989958</v>
      </c>
      <c r="AH942" s="22">
        <f>AC942-AE942</f>
        <v>5.4677270607342621E-2</v>
      </c>
    </row>
    <row r="943" spans="1:34" x14ac:dyDescent="0.25">
      <c r="A943" s="1">
        <f>DATEVALUE(Sheet1!A942)</f>
        <v>45936</v>
      </c>
      <c r="B943" s="2">
        <f>VALUE(Sheet1!B942)</f>
        <v>64.930000000000007</v>
      </c>
      <c r="C943" s="9">
        <f>(B943-B942)/B942</f>
        <v>2.4702794503629892E-3</v>
      </c>
      <c r="D943" s="2">
        <f>MAX(D942,B943)</f>
        <v>103.9</v>
      </c>
      <c r="E943" s="9">
        <f>(B943-D943)/D943</f>
        <v>-0.37507218479307025</v>
      </c>
      <c r="AB943" s="1">
        <f>A943</f>
        <v>45936</v>
      </c>
      <c r="AC943" s="2">
        <f>B943</f>
        <v>64.930000000000007</v>
      </c>
      <c r="AD943" s="2">
        <f>941</f>
        <v>941</v>
      </c>
      <c r="AE943" s="2">
        <f>INTERCEPT($AC$3:$AC$1136,$AD$3:$AD$1136)+SLOPE($AC$3:$AC$1136,$AD$3:$AD$1136)*AD943</f>
        <v>64.696610765980211</v>
      </c>
      <c r="AF943" s="2">
        <f t="shared" si="28"/>
        <v>67.348270366382906</v>
      </c>
      <c r="AG943" s="2">
        <f t="shared" si="29"/>
        <v>62.044951165577515</v>
      </c>
      <c r="AH943" s="22">
        <f>AC943-AE943</f>
        <v>0.23338923401979628</v>
      </c>
    </row>
    <row r="944" spans="1:34" x14ac:dyDescent="0.25">
      <c r="A944" s="1">
        <f>DATEVALUE(Sheet1!A943)</f>
        <v>45937</v>
      </c>
      <c r="B944" s="2">
        <f>VALUE(Sheet1!B943)</f>
        <v>65.09</v>
      </c>
      <c r="C944" s="9">
        <f>(B944-B943)/B943</f>
        <v>2.4641922069920928E-3</v>
      </c>
      <c r="D944" s="2">
        <f>MAX(D943,B944)</f>
        <v>103.9</v>
      </c>
      <c r="E944" s="9">
        <f>(B944-D944)/D944</f>
        <v>-0.37353224254090472</v>
      </c>
      <c r="AB944" s="1">
        <f>A944</f>
        <v>45937</v>
      </c>
      <c r="AC944" s="2">
        <f>B944</f>
        <v>65.09</v>
      </c>
      <c r="AD944" s="2">
        <f>942</f>
        <v>942</v>
      </c>
      <c r="AE944" s="2">
        <f>INTERCEPT($AC$3:$AC$1136,$AD$3:$AD$1136)+SLOPE($AC$3:$AC$1136,$AD$3:$AD$1136)*AD944</f>
        <v>64.677898802567753</v>
      </c>
      <c r="AF944" s="2">
        <f t="shared" si="28"/>
        <v>67.329558402970449</v>
      </c>
      <c r="AG944" s="2">
        <f t="shared" si="29"/>
        <v>62.026239202165058</v>
      </c>
      <c r="AH944" s="22">
        <f>AC944-AE944</f>
        <v>0.41210119743224993</v>
      </c>
    </row>
    <row r="945" spans="1:34" x14ac:dyDescent="0.25">
      <c r="A945" s="1">
        <f>DATEVALUE(Sheet1!A944)</f>
        <v>45938</v>
      </c>
      <c r="B945" s="2">
        <f>VALUE(Sheet1!B944)</f>
        <v>65.3</v>
      </c>
      <c r="C945" s="9">
        <f>(B945-B944)/B944</f>
        <v>3.2263020433245314E-3</v>
      </c>
      <c r="D945" s="2">
        <f>MAX(D944,B945)</f>
        <v>103.9</v>
      </c>
      <c r="E945" s="9">
        <f>(B945-D945)/D945</f>
        <v>-0.37151106833493752</v>
      </c>
      <c r="AB945" s="1">
        <f>A945</f>
        <v>45938</v>
      </c>
      <c r="AC945" s="2">
        <f>B945</f>
        <v>65.3</v>
      </c>
      <c r="AD945" s="2">
        <f>943</f>
        <v>943</v>
      </c>
      <c r="AE945" s="2">
        <f>INTERCEPT($AC$3:$AC$1136,$AD$3:$AD$1136)+SLOPE($AC$3:$AC$1136,$AD$3:$AD$1136)*AD945</f>
        <v>64.659186839155311</v>
      </c>
      <c r="AF945" s="2">
        <f t="shared" si="28"/>
        <v>67.310846439558006</v>
      </c>
      <c r="AG945" s="2">
        <f t="shared" si="29"/>
        <v>62.007527238752616</v>
      </c>
      <c r="AH945" s="22">
        <f>AC945-AE945</f>
        <v>0.64081316084468654</v>
      </c>
    </row>
    <row r="946" spans="1:34" x14ac:dyDescent="0.25">
      <c r="A946" s="1">
        <f>DATEVALUE(Sheet1!A945)</f>
        <v>45939</v>
      </c>
      <c r="B946" s="2">
        <f>VALUE(Sheet1!B945)</f>
        <v>65.19</v>
      </c>
      <c r="C946" s="9">
        <f>(B946-B945)/B945</f>
        <v>-1.6845329249617065E-3</v>
      </c>
      <c r="D946" s="2">
        <f>MAX(D945,B946)</f>
        <v>103.9</v>
      </c>
      <c r="E946" s="9">
        <f>(B946-D946)/D946</f>
        <v>-0.37256977863330132</v>
      </c>
      <c r="AB946" s="1">
        <f>A946</f>
        <v>45939</v>
      </c>
      <c r="AC946" s="2">
        <f>B946</f>
        <v>65.19</v>
      </c>
      <c r="AD946" s="2">
        <f>944</f>
        <v>944</v>
      </c>
      <c r="AE946" s="2">
        <f>INTERCEPT($AC$3:$AC$1136,$AD$3:$AD$1136)+SLOPE($AC$3:$AC$1136,$AD$3:$AD$1136)*AD946</f>
        <v>64.640474875742868</v>
      </c>
      <c r="AF946" s="2">
        <f t="shared" si="28"/>
        <v>67.292134476145563</v>
      </c>
      <c r="AG946" s="2">
        <f t="shared" si="29"/>
        <v>61.988815275340173</v>
      </c>
      <c r="AH946" s="22">
        <f>AC946-AE946</f>
        <v>0.54952512425712996</v>
      </c>
    </row>
    <row r="947" spans="1:34" x14ac:dyDescent="0.25">
      <c r="A947" s="1">
        <f>DATEVALUE(Sheet1!A946)</f>
        <v>45940</v>
      </c>
      <c r="B947" s="2">
        <f>VALUE(Sheet1!B946)</f>
        <v>65.209999999999994</v>
      </c>
      <c r="C947" s="9">
        <f>(B947-B946)/B946</f>
        <v>3.0679552078533549E-4</v>
      </c>
      <c r="D947" s="2">
        <f>MAX(D946,B947)</f>
        <v>103.9</v>
      </c>
      <c r="E947" s="9">
        <f>(B947-D947)/D947</f>
        <v>-0.37237728585178065</v>
      </c>
      <c r="AB947" s="1">
        <f>A947</f>
        <v>45940</v>
      </c>
      <c r="AC947" s="2">
        <f>B947</f>
        <v>65.209999999999994</v>
      </c>
      <c r="AD947" s="2">
        <f>945</f>
        <v>945</v>
      </c>
      <c r="AE947" s="2">
        <f>INTERCEPT($AC$3:$AC$1136,$AD$3:$AD$1136)+SLOPE($AC$3:$AC$1136,$AD$3:$AD$1136)*AD947</f>
        <v>64.621762912330411</v>
      </c>
      <c r="AF947" s="2">
        <f t="shared" si="28"/>
        <v>67.273422512733106</v>
      </c>
      <c r="AG947" s="2">
        <f t="shared" si="29"/>
        <v>61.970103311927716</v>
      </c>
      <c r="AH947" s="22">
        <f>AC947-AE947</f>
        <v>0.58823708766958305</v>
      </c>
    </row>
    <row r="948" spans="1:34" x14ac:dyDescent="0.25">
      <c r="A948" s="1">
        <f>DATEVALUE(Sheet1!A947)</f>
        <v>45943</v>
      </c>
      <c r="B948" s="2">
        <f>VALUE(Sheet1!B947)</f>
        <v>65.150000000000006</v>
      </c>
      <c r="C948" s="9">
        <f>(B948-B947)/B947</f>
        <v>-9.20104278484712E-4</v>
      </c>
      <c r="D948" s="2">
        <f>MAX(D947,B948)</f>
        <v>103.9</v>
      </c>
      <c r="E948" s="9">
        <f>(B948-D948)/D948</f>
        <v>-0.3729547641963426</v>
      </c>
      <c r="AB948" s="1">
        <f>A948</f>
        <v>45943</v>
      </c>
      <c r="AC948" s="2">
        <f>B948</f>
        <v>65.150000000000006</v>
      </c>
      <c r="AD948" s="2">
        <f>946</f>
        <v>946</v>
      </c>
      <c r="AE948" s="2">
        <f>INTERCEPT($AC$3:$AC$1136,$AD$3:$AD$1136)+SLOPE($AC$3:$AC$1136,$AD$3:$AD$1136)*AD948</f>
        <v>64.603050948917968</v>
      </c>
      <c r="AF948" s="2">
        <f t="shared" si="28"/>
        <v>67.254710549320663</v>
      </c>
      <c r="AG948" s="2">
        <f t="shared" si="29"/>
        <v>61.951391348515273</v>
      </c>
      <c r="AH948" s="22">
        <f>AC948-AE948</f>
        <v>0.54694905108203784</v>
      </c>
    </row>
    <row r="949" spans="1:34" x14ac:dyDescent="0.25">
      <c r="A949" s="1">
        <f>DATEVALUE(Sheet1!A948)</f>
        <v>45944</v>
      </c>
      <c r="B949" s="2">
        <f>VALUE(Sheet1!B948)</f>
        <v>64.98</v>
      </c>
      <c r="C949" s="9">
        <f>(B949-B948)/B948</f>
        <v>-2.6093630084420829E-3</v>
      </c>
      <c r="D949" s="2">
        <f>MAX(D948,B949)</f>
        <v>103.9</v>
      </c>
      <c r="E949" s="9">
        <f>(B949-D949)/D949</f>
        <v>-0.37459095283926852</v>
      </c>
      <c r="AB949" s="1">
        <f>A949</f>
        <v>45944</v>
      </c>
      <c r="AC949" s="2">
        <f>B949</f>
        <v>64.98</v>
      </c>
      <c r="AD949" s="2">
        <f>947</f>
        <v>947</v>
      </c>
      <c r="AE949" s="2">
        <f>INTERCEPT($AC$3:$AC$1136,$AD$3:$AD$1136)+SLOPE($AC$3:$AC$1136,$AD$3:$AD$1136)*AD949</f>
        <v>64.584338985505525</v>
      </c>
      <c r="AF949" s="2">
        <f t="shared" si="28"/>
        <v>67.23599858590822</v>
      </c>
      <c r="AG949" s="2">
        <f t="shared" si="29"/>
        <v>61.93267938510283</v>
      </c>
      <c r="AH949" s="22">
        <f>AC949-AE949</f>
        <v>0.39566101449447899</v>
      </c>
    </row>
    <row r="950" spans="1:34" x14ac:dyDescent="0.25">
      <c r="A950" s="1">
        <f>DATEVALUE(Sheet1!A949)</f>
        <v>45945</v>
      </c>
      <c r="B950" s="2">
        <f>VALUE(Sheet1!B949)</f>
        <v>64.959999999999994</v>
      </c>
      <c r="C950" s="9">
        <f>(B950-B949)/B949</f>
        <v>-3.0778701138827689E-4</v>
      </c>
      <c r="D950" s="2">
        <f>MAX(D949,B950)</f>
        <v>103.9</v>
      </c>
      <c r="E950" s="9">
        <f>(B950-D950)/D950</f>
        <v>-0.3747834456207893</v>
      </c>
      <c r="AB950" s="1">
        <f>A950</f>
        <v>45945</v>
      </c>
      <c r="AC950" s="2">
        <f>B950</f>
        <v>64.959999999999994</v>
      </c>
      <c r="AD950" s="2">
        <f>948</f>
        <v>948</v>
      </c>
      <c r="AE950" s="2">
        <f>INTERCEPT($AC$3:$AC$1136,$AD$3:$AD$1136)+SLOPE($AC$3:$AC$1136,$AD$3:$AD$1136)*AD950</f>
        <v>64.565627022093082</v>
      </c>
      <c r="AF950" s="2">
        <f t="shared" si="28"/>
        <v>67.217286622495777</v>
      </c>
      <c r="AG950" s="2">
        <f t="shared" si="29"/>
        <v>61.913967421690387</v>
      </c>
      <c r="AH950" s="22">
        <f>AC950-AE950</f>
        <v>0.39437297790691161</v>
      </c>
    </row>
    <row r="951" spans="1:34" x14ac:dyDescent="0.25">
      <c r="A951" s="1">
        <f>DATEVALUE(Sheet1!A950)</f>
        <v>45946</v>
      </c>
      <c r="B951" s="2">
        <f>VALUE(Sheet1!B950)</f>
        <v>65.12</v>
      </c>
      <c r="C951" s="9">
        <f>(B951-B950)/B950</f>
        <v>2.4630541871922848E-3</v>
      </c>
      <c r="D951" s="2">
        <f>MAX(D950,B951)</f>
        <v>103.9</v>
      </c>
      <c r="E951" s="9">
        <f>(B951-D951)/D951</f>
        <v>-0.37324350336862366</v>
      </c>
      <c r="AB951" s="1">
        <f>A951</f>
        <v>45946</v>
      </c>
      <c r="AC951" s="2">
        <f>B951</f>
        <v>65.12</v>
      </c>
      <c r="AD951" s="2">
        <f>949</f>
        <v>949</v>
      </c>
      <c r="AE951" s="2">
        <f>INTERCEPT($AC$3:$AC$1136,$AD$3:$AD$1136)+SLOPE($AC$3:$AC$1136,$AD$3:$AD$1136)*AD951</f>
        <v>64.546915058680625</v>
      </c>
      <c r="AF951" s="2">
        <f t="shared" si="28"/>
        <v>67.19857465908332</v>
      </c>
      <c r="AG951" s="2">
        <f t="shared" si="29"/>
        <v>61.89525545827793</v>
      </c>
      <c r="AH951" s="22">
        <f>AC951-AE951</f>
        <v>0.57308494131937948</v>
      </c>
    </row>
    <row r="952" spans="1:34" x14ac:dyDescent="0.25">
      <c r="A952" s="1">
        <f>DATEVALUE(Sheet1!A951)</f>
        <v>45947</v>
      </c>
      <c r="B952" s="2">
        <f>VALUE(Sheet1!B951)</f>
        <v>65.53</v>
      </c>
      <c r="C952" s="9">
        <f>(B952-B951)/B951</f>
        <v>6.2960687960687432E-3</v>
      </c>
      <c r="D952" s="2">
        <f>MAX(D951,B952)</f>
        <v>103.9</v>
      </c>
      <c r="E952" s="9">
        <f>(B952-D952)/D952</f>
        <v>-0.36929740134744948</v>
      </c>
      <c r="AB952" s="1">
        <f>A952</f>
        <v>45947</v>
      </c>
      <c r="AC952" s="2">
        <f>B952</f>
        <v>65.53</v>
      </c>
      <c r="AD952" s="2">
        <f>950</f>
        <v>950</v>
      </c>
      <c r="AE952" s="2">
        <f>INTERCEPT($AC$3:$AC$1136,$AD$3:$AD$1136)+SLOPE($AC$3:$AC$1136,$AD$3:$AD$1136)*AD952</f>
        <v>64.528203095268182</v>
      </c>
      <c r="AF952" s="2">
        <f t="shared" si="28"/>
        <v>67.179862695670877</v>
      </c>
      <c r="AG952" s="2">
        <f t="shared" si="29"/>
        <v>61.876543494865487</v>
      </c>
      <c r="AH952" s="22">
        <f>AC952-AE952</f>
        <v>1.0017969047318189</v>
      </c>
    </row>
    <row r="953" spans="1:34" x14ac:dyDescent="0.25">
      <c r="A953" s="1">
        <f>DATEVALUE(Sheet1!A952)</f>
        <v>45950</v>
      </c>
      <c r="B953" s="2">
        <f>VALUE(Sheet1!B952)</f>
        <v>65.489999999999995</v>
      </c>
      <c r="C953" s="9">
        <f>(B953-B952)/B952</f>
        <v>-6.1040744697094841E-4</v>
      </c>
      <c r="D953" s="2">
        <f>MAX(D952,B953)</f>
        <v>103.9</v>
      </c>
      <c r="E953" s="9">
        <f>(B953-D953)/D953</f>
        <v>-0.36968238691049093</v>
      </c>
      <c r="AB953" s="1">
        <f>A953</f>
        <v>45950</v>
      </c>
      <c r="AC953" s="2">
        <f>B953</f>
        <v>65.489999999999995</v>
      </c>
      <c r="AD953" s="2">
        <f>951</f>
        <v>951</v>
      </c>
      <c r="AE953" s="2">
        <f>INTERCEPT($AC$3:$AC$1136,$AD$3:$AD$1136)+SLOPE($AC$3:$AC$1136,$AD$3:$AD$1136)*AD953</f>
        <v>64.509491131855739</v>
      </c>
      <c r="AF953" s="2">
        <f t="shared" si="28"/>
        <v>67.161150732258434</v>
      </c>
      <c r="AG953" s="2">
        <f t="shared" si="29"/>
        <v>61.857831531453044</v>
      </c>
      <c r="AH953" s="22">
        <f>AC953-AE953</f>
        <v>0.98050886814425553</v>
      </c>
    </row>
    <row r="954" spans="1:34" x14ac:dyDescent="0.25">
      <c r="A954" s="1">
        <f>DATEVALUE(Sheet1!A953)</f>
        <v>45951</v>
      </c>
      <c r="B954" s="2">
        <f>VALUE(Sheet1!B953)</f>
        <v>65.61</v>
      </c>
      <c r="C954" s="9">
        <f>(B954-B953)/B953</f>
        <v>1.8323408153917324E-3</v>
      </c>
      <c r="D954" s="2">
        <f>MAX(D953,B954)</f>
        <v>103.9</v>
      </c>
      <c r="E954" s="9">
        <f>(B954-D954)/D954</f>
        <v>-0.36852743022136675</v>
      </c>
      <c r="AB954" s="1">
        <f>A954</f>
        <v>45951</v>
      </c>
      <c r="AC954" s="2">
        <f>B954</f>
        <v>65.61</v>
      </c>
      <c r="AD954" s="2">
        <f>952</f>
        <v>952</v>
      </c>
      <c r="AE954" s="2">
        <f>INTERCEPT($AC$3:$AC$1136,$AD$3:$AD$1136)+SLOPE($AC$3:$AC$1136,$AD$3:$AD$1136)*AD954</f>
        <v>64.490779168443282</v>
      </c>
      <c r="AF954" s="2">
        <f t="shared" si="28"/>
        <v>67.142438768845977</v>
      </c>
      <c r="AG954" s="2">
        <f t="shared" si="29"/>
        <v>61.839119568040587</v>
      </c>
      <c r="AH954" s="22">
        <f>AC954-AE954</f>
        <v>1.1192208315567171</v>
      </c>
    </row>
    <row r="955" spans="1:34" x14ac:dyDescent="0.25">
      <c r="A955" s="1">
        <f>DATEVALUE(Sheet1!A954)</f>
        <v>45952</v>
      </c>
      <c r="B955" s="2">
        <f>VALUE(Sheet1!B954)</f>
        <v>65.47</v>
      </c>
      <c r="C955" s="9">
        <f>(B955-B954)/B954</f>
        <v>-2.1338210638622247E-3</v>
      </c>
      <c r="D955" s="2">
        <f>MAX(D954,B955)</f>
        <v>103.9</v>
      </c>
      <c r="E955" s="9">
        <f>(B955-D955)/D955</f>
        <v>-0.3698748796920116</v>
      </c>
      <c r="AB955" s="1">
        <f>A955</f>
        <v>45952</v>
      </c>
      <c r="AC955" s="2">
        <f>B955</f>
        <v>65.47</v>
      </c>
      <c r="AD955" s="2">
        <f>953</f>
        <v>953</v>
      </c>
      <c r="AE955" s="2">
        <f>INTERCEPT($AC$3:$AC$1136,$AD$3:$AD$1136)+SLOPE($AC$3:$AC$1136,$AD$3:$AD$1136)*AD955</f>
        <v>64.472067205030839</v>
      </c>
      <c r="AF955" s="2">
        <f t="shared" si="28"/>
        <v>67.123726805433535</v>
      </c>
      <c r="AG955" s="2">
        <f t="shared" si="29"/>
        <v>61.820407604628144</v>
      </c>
      <c r="AH955" s="22">
        <f>AC955-AE955</f>
        <v>0.99793279496915943</v>
      </c>
    </row>
    <row r="956" spans="1:34" x14ac:dyDescent="0.25">
      <c r="A956" s="1">
        <f>DATEVALUE(Sheet1!A955)</f>
        <v>45953</v>
      </c>
      <c r="B956" s="2">
        <f>VALUE(Sheet1!B955)</f>
        <v>65.63</v>
      </c>
      <c r="C956" s="9">
        <f>(B956-B955)/B955</f>
        <v>2.4438674201924023E-3</v>
      </c>
      <c r="D956" s="2">
        <f>MAX(D955,B956)</f>
        <v>103.9</v>
      </c>
      <c r="E956" s="9">
        <f>(B956-D956)/D956</f>
        <v>-0.36833493743984608</v>
      </c>
      <c r="AB956" s="1">
        <f>A956</f>
        <v>45953</v>
      </c>
      <c r="AC956" s="2">
        <f>B956</f>
        <v>65.63</v>
      </c>
      <c r="AD956" s="2">
        <f>954</f>
        <v>954</v>
      </c>
      <c r="AE956" s="2">
        <f>INTERCEPT($AC$3:$AC$1136,$AD$3:$AD$1136)+SLOPE($AC$3:$AC$1136,$AD$3:$AD$1136)*AD956</f>
        <v>64.453355241618397</v>
      </c>
      <c r="AF956" s="2">
        <f t="shared" si="28"/>
        <v>67.105014842021092</v>
      </c>
      <c r="AG956" s="2">
        <f t="shared" si="29"/>
        <v>61.801695641215701</v>
      </c>
      <c r="AH956" s="22">
        <f>AC956-AE956</f>
        <v>1.1766447583815989</v>
      </c>
    </row>
    <row r="957" spans="1:34" x14ac:dyDescent="0.25">
      <c r="A957" s="1">
        <f>DATEVALUE(Sheet1!A956)</f>
        <v>45954</v>
      </c>
      <c r="B957" s="2">
        <f>VALUE(Sheet1!B956)</f>
        <v>65.66</v>
      </c>
      <c r="C957" s="9">
        <f>(B957-B956)/B956</f>
        <v>4.5710802986440865E-4</v>
      </c>
      <c r="D957" s="2">
        <f>MAX(D956,B957)</f>
        <v>103.9</v>
      </c>
      <c r="E957" s="9">
        <f>(B957-D957)/D957</f>
        <v>-0.36804619826756502</v>
      </c>
      <c r="AB957" s="1">
        <f>A957</f>
        <v>45954</v>
      </c>
      <c r="AC957" s="2">
        <f>B957</f>
        <v>65.66</v>
      </c>
      <c r="AD957" s="2">
        <f>955</f>
        <v>955</v>
      </c>
      <c r="AE957" s="2">
        <f>INTERCEPT($AC$3:$AC$1136,$AD$3:$AD$1136)+SLOPE($AC$3:$AC$1136,$AD$3:$AD$1136)*AD957</f>
        <v>64.434643278205954</v>
      </c>
      <c r="AF957" s="2">
        <f t="shared" si="28"/>
        <v>67.086302878608649</v>
      </c>
      <c r="AG957" s="2">
        <f t="shared" si="29"/>
        <v>61.782983677803259</v>
      </c>
      <c r="AH957" s="22">
        <f>AC957-AE957</f>
        <v>1.2253567217940429</v>
      </c>
    </row>
    <row r="958" spans="1:34" x14ac:dyDescent="0.25">
      <c r="A958" s="1">
        <f>DATEVALUE(Sheet1!A957)</f>
        <v>45957</v>
      </c>
      <c r="B958" s="2">
        <f>VALUE(Sheet1!B957)</f>
        <v>65.709999999999994</v>
      </c>
      <c r="C958" s="9">
        <f>(B958-B957)/B957</f>
        <v>7.6149862930242397E-4</v>
      </c>
      <c r="D958" s="2">
        <f>MAX(D957,B958)</f>
        <v>103.9</v>
      </c>
      <c r="E958" s="9">
        <f>(B958-D958)/D958</f>
        <v>-0.36756496631376334</v>
      </c>
      <c r="AB958" s="1">
        <f>A958</f>
        <v>45957</v>
      </c>
      <c r="AC958" s="2">
        <f>B958</f>
        <v>65.709999999999994</v>
      </c>
      <c r="AD958" s="2">
        <f>956</f>
        <v>956</v>
      </c>
      <c r="AE958" s="2">
        <f>INTERCEPT($AC$3:$AC$1136,$AD$3:$AD$1136)+SLOPE($AC$3:$AC$1136,$AD$3:$AD$1136)*AD958</f>
        <v>64.415931314793511</v>
      </c>
      <c r="AF958" s="2">
        <f t="shared" si="28"/>
        <v>67.067590915196206</v>
      </c>
      <c r="AG958" s="2">
        <f t="shared" si="29"/>
        <v>61.764271714390816</v>
      </c>
      <c r="AH958" s="22">
        <f>AC958-AE958</f>
        <v>1.2940686852064829</v>
      </c>
    </row>
    <row r="959" spans="1:34" x14ac:dyDescent="0.25">
      <c r="A959" s="1">
        <f>DATEVALUE(Sheet1!A958)</f>
        <v>45958</v>
      </c>
      <c r="B959" s="2">
        <f>VALUE(Sheet1!B958)</f>
        <v>65.84</v>
      </c>
      <c r="C959" s="9">
        <f>(B959-B958)/B958</f>
        <v>1.9783898949932992E-3</v>
      </c>
      <c r="D959" s="2">
        <f>MAX(D958,B959)</f>
        <v>103.9</v>
      </c>
      <c r="E959" s="9">
        <f>(B959-D959)/D959</f>
        <v>-0.36631376323387871</v>
      </c>
      <c r="AB959" s="1">
        <f>A959</f>
        <v>45958</v>
      </c>
      <c r="AC959" s="2">
        <f>B959</f>
        <v>65.84</v>
      </c>
      <c r="AD959" s="2">
        <f>957</f>
        <v>957</v>
      </c>
      <c r="AE959" s="2">
        <f>INTERCEPT($AC$3:$AC$1136,$AD$3:$AD$1136)+SLOPE($AC$3:$AC$1136,$AD$3:$AD$1136)*AD959</f>
        <v>64.397219351381054</v>
      </c>
      <c r="AF959" s="2">
        <f t="shared" si="28"/>
        <v>67.048878951783749</v>
      </c>
      <c r="AG959" s="2">
        <f t="shared" si="29"/>
        <v>61.745559750978359</v>
      </c>
      <c r="AH959" s="22">
        <f>AC959-AE959</f>
        <v>1.4427806486189496</v>
      </c>
    </row>
    <row r="960" spans="1:34" x14ac:dyDescent="0.25">
      <c r="A960" s="1">
        <f>DATEVALUE(Sheet1!A959)</f>
        <v>45959</v>
      </c>
      <c r="B960" s="2">
        <f>VALUE(Sheet1!B959)</f>
        <v>66.03</v>
      </c>
      <c r="C960" s="9">
        <f>(B960-B959)/B959</f>
        <v>2.8857837181044611E-3</v>
      </c>
      <c r="D960" s="2">
        <f>MAX(D959,B960)</f>
        <v>103.9</v>
      </c>
      <c r="E960" s="9">
        <f>(B960-D960)/D960</f>
        <v>-0.36448508180943218</v>
      </c>
      <c r="AB960" s="1">
        <f>A960</f>
        <v>45959</v>
      </c>
      <c r="AC960" s="2">
        <f>B960</f>
        <v>66.03</v>
      </c>
      <c r="AD960" s="2">
        <f>958</f>
        <v>958</v>
      </c>
      <c r="AE960" s="2">
        <f>INTERCEPT($AC$3:$AC$1136,$AD$3:$AD$1136)+SLOPE($AC$3:$AC$1136,$AD$3:$AD$1136)*AD960</f>
        <v>64.378507387968611</v>
      </c>
      <c r="AF960" s="2">
        <f t="shared" si="28"/>
        <v>67.030166988371306</v>
      </c>
      <c r="AG960" s="2">
        <f t="shared" si="29"/>
        <v>61.726847787565916</v>
      </c>
      <c r="AH960" s="22">
        <f>AC960-AE960</f>
        <v>1.6514926120313902</v>
      </c>
    </row>
    <row r="961" spans="1:34" x14ac:dyDescent="0.25">
      <c r="A961" s="1">
        <f>DATEVALUE(Sheet1!A960)</f>
        <v>45960</v>
      </c>
      <c r="B961" s="2">
        <f>VALUE(Sheet1!B960)</f>
        <v>66.239999999999995</v>
      </c>
      <c r="C961" s="9">
        <f>(B961-B960)/B960</f>
        <v>3.1803725579281198E-3</v>
      </c>
      <c r="D961" s="2">
        <f>MAX(D960,B961)</f>
        <v>103.9</v>
      </c>
      <c r="E961" s="9">
        <f>(B961-D961)/D961</f>
        <v>-0.36246390760346497</v>
      </c>
      <c r="AB961" s="1">
        <f>A961</f>
        <v>45960</v>
      </c>
      <c r="AC961" s="2">
        <f>B961</f>
        <v>66.239999999999995</v>
      </c>
      <c r="AD961" s="2">
        <f>959</f>
        <v>959</v>
      </c>
      <c r="AE961" s="2">
        <f>INTERCEPT($AC$3:$AC$1136,$AD$3:$AD$1136)+SLOPE($AC$3:$AC$1136,$AD$3:$AD$1136)*AD961</f>
        <v>64.359795424556168</v>
      </c>
      <c r="AF961" s="2">
        <f t="shared" si="28"/>
        <v>67.011455024958863</v>
      </c>
      <c r="AG961" s="2">
        <f t="shared" si="29"/>
        <v>61.708135824153473</v>
      </c>
      <c r="AH961" s="22">
        <f>AC961-AE961</f>
        <v>1.8802045754438268</v>
      </c>
    </row>
    <row r="962" spans="1:34" x14ac:dyDescent="0.25">
      <c r="A962" s="1">
        <f>DATEVALUE(Sheet1!A961)</f>
        <v>45961</v>
      </c>
      <c r="B962" s="2">
        <f>VALUE(Sheet1!B961)</f>
        <v>66.150000000000006</v>
      </c>
      <c r="C962" s="9">
        <f>(B962-B961)/B961</f>
        <v>-1.3586956521737502E-3</v>
      </c>
      <c r="D962" s="2">
        <f>MAX(D961,B962)</f>
        <v>103.9</v>
      </c>
      <c r="E962" s="9">
        <f>(B962-D962)/D962</f>
        <v>-0.36333012512030799</v>
      </c>
      <c r="AB962" s="1">
        <f>A962</f>
        <v>45961</v>
      </c>
      <c r="AC962" s="2">
        <f>B962</f>
        <v>66.150000000000006</v>
      </c>
      <c r="AD962" s="2">
        <f>960</f>
        <v>960</v>
      </c>
      <c r="AE962" s="2">
        <f>INTERCEPT($AC$3:$AC$1136,$AD$3:$AD$1136)+SLOPE($AC$3:$AC$1136,$AD$3:$AD$1136)*AD962</f>
        <v>64.341083461143711</v>
      </c>
      <c r="AF962" s="2">
        <f t="shared" si="28"/>
        <v>66.992743061546406</v>
      </c>
      <c r="AG962" s="2">
        <f t="shared" si="29"/>
        <v>61.689423860741016</v>
      </c>
      <c r="AH962" s="22">
        <f>AC962-AE962</f>
        <v>1.8089165388562947</v>
      </c>
    </row>
    <row r="963" spans="1:34" x14ac:dyDescent="0.25">
      <c r="A963" s="1">
        <f>DATEVALUE(Sheet1!A962)</f>
        <v>45964</v>
      </c>
      <c r="B963" s="2">
        <f>VALUE(Sheet1!B962)</f>
        <v>66.430000000000007</v>
      </c>
      <c r="C963" s="9">
        <f>(B963-B962)/B962</f>
        <v>4.2328042328042496E-3</v>
      </c>
      <c r="D963" s="2">
        <f>MAX(D962,B963)</f>
        <v>103.9</v>
      </c>
      <c r="E963" s="9">
        <f>(B963-D963)/D963</f>
        <v>-0.36063522617901828</v>
      </c>
      <c r="AB963" s="1">
        <f>A963</f>
        <v>45964</v>
      </c>
      <c r="AC963" s="2">
        <f>B963</f>
        <v>66.430000000000007</v>
      </c>
      <c r="AD963" s="2">
        <f>961</f>
        <v>961</v>
      </c>
      <c r="AE963" s="2">
        <f>INTERCEPT($AC$3:$AC$1136,$AD$3:$AD$1136)+SLOPE($AC$3:$AC$1136,$AD$3:$AD$1136)*AD963</f>
        <v>64.322371497731268</v>
      </c>
      <c r="AF963" s="2">
        <f t="shared" si="28"/>
        <v>66.974031098133963</v>
      </c>
      <c r="AG963" s="2">
        <f t="shared" si="29"/>
        <v>61.670711897328573</v>
      </c>
      <c r="AH963" s="22">
        <f>AC963-AE963</f>
        <v>2.1076285022687387</v>
      </c>
    </row>
    <row r="964" spans="1:34" x14ac:dyDescent="0.25">
      <c r="A964" s="1">
        <f>DATEVALUE(Sheet1!A963)</f>
        <v>45965</v>
      </c>
      <c r="B964" s="2">
        <f>VALUE(Sheet1!B963)</f>
        <v>66.69</v>
      </c>
      <c r="C964" s="9">
        <f>(B964-B963)/B963</f>
        <v>3.9138943248530917E-3</v>
      </c>
      <c r="D964" s="2">
        <f>MAX(D963,B964)</f>
        <v>103.9</v>
      </c>
      <c r="E964" s="9">
        <f>(B964-D964)/D964</f>
        <v>-0.35813282001924934</v>
      </c>
      <c r="AB964" s="1">
        <f>A964</f>
        <v>45965</v>
      </c>
      <c r="AC964" s="2">
        <f>B964</f>
        <v>66.69</v>
      </c>
      <c r="AD964" s="2">
        <f>962</f>
        <v>962</v>
      </c>
      <c r="AE964" s="2">
        <f>INTERCEPT($AC$3:$AC$1136,$AD$3:$AD$1136)+SLOPE($AC$3:$AC$1136,$AD$3:$AD$1136)*AD964</f>
        <v>64.303659534318825</v>
      </c>
      <c r="AF964" s="2">
        <f t="shared" ref="AF964:AF1027" si="30">AE964+$AJ$5*$AJ$4</f>
        <v>66.95531913472152</v>
      </c>
      <c r="AG964" s="2">
        <f t="shared" ref="AG964:AG1027" si="31">AE964-$AJ$5*$AJ$4</f>
        <v>61.65199993391613</v>
      </c>
      <c r="AH964" s="22">
        <f>AC964-AE964</f>
        <v>2.3863404656811724</v>
      </c>
    </row>
    <row r="965" spans="1:34" x14ac:dyDescent="0.25">
      <c r="A965" s="1">
        <f>DATEVALUE(Sheet1!A964)</f>
        <v>45966</v>
      </c>
      <c r="B965" s="2">
        <f>VALUE(Sheet1!B964)</f>
        <v>66.8</v>
      </c>
      <c r="C965" s="9">
        <f>(B965-B964)/B964</f>
        <v>1.6494227020542726E-3</v>
      </c>
      <c r="D965" s="2">
        <f>MAX(D964,B965)</f>
        <v>103.9</v>
      </c>
      <c r="E965" s="9">
        <f>(B965-D965)/D965</f>
        <v>-0.35707410972088555</v>
      </c>
      <c r="AB965" s="1">
        <f>A965</f>
        <v>45966</v>
      </c>
      <c r="AC965" s="2">
        <f>B965</f>
        <v>66.8</v>
      </c>
      <c r="AD965" s="2">
        <f>963</f>
        <v>963</v>
      </c>
      <c r="AE965" s="2">
        <f>INTERCEPT($AC$3:$AC$1136,$AD$3:$AD$1136)+SLOPE($AC$3:$AC$1136,$AD$3:$AD$1136)*AD965</f>
        <v>64.284947570906382</v>
      </c>
      <c r="AF965" s="2">
        <f t="shared" si="30"/>
        <v>66.936607171309078</v>
      </c>
      <c r="AG965" s="2">
        <f t="shared" si="31"/>
        <v>61.633287970503687</v>
      </c>
      <c r="AH965" s="22">
        <f>AC965-AE965</f>
        <v>2.5150524290936147</v>
      </c>
    </row>
    <row r="966" spans="1:34" x14ac:dyDescent="0.25">
      <c r="A966" s="1">
        <f>DATEVALUE(Sheet1!A965)</f>
        <v>45967</v>
      </c>
      <c r="B966" s="2">
        <f>VALUE(Sheet1!B965)</f>
        <v>66.849999999999994</v>
      </c>
      <c r="C966" s="9">
        <f>(B966-B965)/B965</f>
        <v>7.4850299401193348E-4</v>
      </c>
      <c r="D966" s="2">
        <f>MAX(D965,B966)</f>
        <v>103.9</v>
      </c>
      <c r="E966" s="9">
        <f>(B966-D966)/D966</f>
        <v>-0.35659287776708382</v>
      </c>
      <c r="AB966" s="1">
        <f>A966</f>
        <v>45967</v>
      </c>
      <c r="AC966" s="2">
        <f>B966</f>
        <v>66.849999999999994</v>
      </c>
      <c r="AD966" s="2">
        <f>964</f>
        <v>964</v>
      </c>
      <c r="AE966" s="2">
        <f>INTERCEPT($AC$3:$AC$1136,$AD$3:$AD$1136)+SLOPE($AC$3:$AC$1136,$AD$3:$AD$1136)*AD966</f>
        <v>64.266235607493925</v>
      </c>
      <c r="AF966" s="2">
        <f t="shared" si="30"/>
        <v>66.91789520789662</v>
      </c>
      <c r="AG966" s="2">
        <f t="shared" si="31"/>
        <v>61.61457600709123</v>
      </c>
      <c r="AH966" s="22">
        <f>AC966-AE966</f>
        <v>2.5837643925060689</v>
      </c>
    </row>
    <row r="967" spans="1:34" x14ac:dyDescent="0.25">
      <c r="A967" s="1">
        <f>DATEVALUE(Sheet1!A966)</f>
        <v>45968</v>
      </c>
      <c r="B967" s="2">
        <f>VALUE(Sheet1!B966)</f>
        <v>67.08</v>
      </c>
      <c r="C967" s="9">
        <f>(B967-B966)/B966</f>
        <v>3.4405385190726103E-3</v>
      </c>
      <c r="D967" s="2">
        <f>MAX(D966,B967)</f>
        <v>103.9</v>
      </c>
      <c r="E967" s="9">
        <f>(B967-D967)/D967</f>
        <v>-0.35437921077959583</v>
      </c>
      <c r="AB967" s="1">
        <f>A967</f>
        <v>45968</v>
      </c>
      <c r="AC967" s="2">
        <f>B967</f>
        <v>67.08</v>
      </c>
      <c r="AD967" s="2">
        <f>965</f>
        <v>965</v>
      </c>
      <c r="AE967" s="2">
        <f>INTERCEPT($AC$3:$AC$1136,$AD$3:$AD$1136)+SLOPE($AC$3:$AC$1136,$AD$3:$AD$1136)*AD967</f>
        <v>64.247523644081483</v>
      </c>
      <c r="AF967" s="2">
        <f t="shared" si="30"/>
        <v>66.899183244484178</v>
      </c>
      <c r="AG967" s="2">
        <f t="shared" si="31"/>
        <v>61.595864043678787</v>
      </c>
      <c r="AH967" s="22">
        <f>AC967-AE967</f>
        <v>2.8324763559185158</v>
      </c>
    </row>
    <row r="968" spans="1:34" x14ac:dyDescent="0.25">
      <c r="A968" s="1">
        <f>DATEVALUE(Sheet1!A967)</f>
        <v>45971</v>
      </c>
      <c r="B968" s="2">
        <f>VALUE(Sheet1!B967)</f>
        <v>67.31</v>
      </c>
      <c r="C968" s="9">
        <f>(B968-B967)/B967</f>
        <v>3.4287418008348836E-3</v>
      </c>
      <c r="D968" s="2">
        <f>MAX(D967,B968)</f>
        <v>103.9</v>
      </c>
      <c r="E968" s="9">
        <f>(B968-D968)/D968</f>
        <v>-0.35216554379210779</v>
      </c>
      <c r="AB968" s="1">
        <f>A968</f>
        <v>45971</v>
      </c>
      <c r="AC968" s="2">
        <f>B968</f>
        <v>67.31</v>
      </c>
      <c r="AD968" s="2">
        <f>966</f>
        <v>966</v>
      </c>
      <c r="AE968" s="2">
        <f>INTERCEPT($AC$3:$AC$1136,$AD$3:$AD$1136)+SLOPE($AC$3:$AC$1136,$AD$3:$AD$1136)*AD968</f>
        <v>64.22881168066904</v>
      </c>
      <c r="AF968" s="2">
        <f t="shared" si="30"/>
        <v>66.880471281071735</v>
      </c>
      <c r="AG968" s="2">
        <f t="shared" si="31"/>
        <v>61.577152080266345</v>
      </c>
      <c r="AH968" s="22">
        <f>AC968-AE968</f>
        <v>3.0811883193309626</v>
      </c>
    </row>
    <row r="969" spans="1:34" x14ac:dyDescent="0.25">
      <c r="A969" s="1">
        <f>DATEVALUE(Sheet1!A968)</f>
        <v>45972</v>
      </c>
      <c r="B969" s="2">
        <f>VALUE(Sheet1!B968)</f>
        <v>67.34</v>
      </c>
      <c r="C969" s="9">
        <f>(B969-B968)/B968</f>
        <v>4.4569900460557328E-4</v>
      </c>
      <c r="D969" s="2">
        <f>MAX(D968,B969)</f>
        <v>103.9</v>
      </c>
      <c r="E969" s="9">
        <f>(B969-D969)/D969</f>
        <v>-0.35187680461982673</v>
      </c>
      <c r="AB969" s="1">
        <f>A969</f>
        <v>45972</v>
      </c>
      <c r="AC969" s="2">
        <f>B969</f>
        <v>67.34</v>
      </c>
      <c r="AD969" s="2">
        <f>967</f>
        <v>967</v>
      </c>
      <c r="AE969" s="2">
        <f>INTERCEPT($AC$3:$AC$1136,$AD$3:$AD$1136)+SLOPE($AC$3:$AC$1136,$AD$3:$AD$1136)*AD969</f>
        <v>64.210099717256583</v>
      </c>
      <c r="AF969" s="2">
        <f t="shared" si="30"/>
        <v>66.861759317659278</v>
      </c>
      <c r="AG969" s="2">
        <f t="shared" si="31"/>
        <v>61.558440116853888</v>
      </c>
      <c r="AH969" s="22">
        <f>AC969-AE969</f>
        <v>3.1299002827434208</v>
      </c>
    </row>
    <row r="970" spans="1:34" x14ac:dyDescent="0.25">
      <c r="A970" s="1">
        <f>DATEVALUE(Sheet1!A969)</f>
        <v>45973</v>
      </c>
      <c r="B970" s="2">
        <f>VALUE(Sheet1!B969)</f>
        <v>67.36</v>
      </c>
      <c r="C970" s="9">
        <f>(B970-B969)/B969</f>
        <v>2.9700029700023789E-4</v>
      </c>
      <c r="D970" s="2">
        <f>MAX(D969,B970)</f>
        <v>103.9</v>
      </c>
      <c r="E970" s="9">
        <f>(B970-D970)/D970</f>
        <v>-0.35168431183830612</v>
      </c>
      <c r="AB970" s="1">
        <f>A970</f>
        <v>45973</v>
      </c>
      <c r="AC970" s="2">
        <f>B970</f>
        <v>67.36</v>
      </c>
      <c r="AD970" s="2">
        <f>968</f>
        <v>968</v>
      </c>
      <c r="AE970" s="2">
        <f>INTERCEPT($AC$3:$AC$1136,$AD$3:$AD$1136)+SLOPE($AC$3:$AC$1136,$AD$3:$AD$1136)*AD970</f>
        <v>64.19138775384414</v>
      </c>
      <c r="AF970" s="2">
        <f t="shared" si="30"/>
        <v>66.843047354246835</v>
      </c>
      <c r="AG970" s="2">
        <f t="shared" si="31"/>
        <v>61.539728153441445</v>
      </c>
      <c r="AH970" s="22">
        <f>AC970-AE970</f>
        <v>3.1686122461558597</v>
      </c>
    </row>
    <row r="971" spans="1:34" x14ac:dyDescent="0.25">
      <c r="A971" s="1">
        <f>DATEVALUE(Sheet1!A970)</f>
        <v>45974</v>
      </c>
      <c r="B971" s="2">
        <f>VALUE(Sheet1!B970)</f>
        <v>67.459999999999994</v>
      </c>
      <c r="C971" s="9">
        <f>(B971-B970)/B970</f>
        <v>1.4845605700711745E-3</v>
      </c>
      <c r="D971" s="2">
        <f>MAX(D970,B971)</f>
        <v>103.9</v>
      </c>
      <c r="E971" s="9">
        <f>(B971-D971)/D971</f>
        <v>-0.35072184793070271</v>
      </c>
      <c r="AB971" s="1">
        <f>A971</f>
        <v>45974</v>
      </c>
      <c r="AC971" s="2">
        <f>B971</f>
        <v>67.459999999999994</v>
      </c>
      <c r="AD971" s="2">
        <f>969</f>
        <v>969</v>
      </c>
      <c r="AE971" s="2">
        <f>INTERCEPT($AC$3:$AC$1136,$AD$3:$AD$1136)+SLOPE($AC$3:$AC$1136,$AD$3:$AD$1136)*AD971</f>
        <v>64.172675790431697</v>
      </c>
      <c r="AF971" s="2">
        <f t="shared" si="30"/>
        <v>66.824335390834392</v>
      </c>
      <c r="AG971" s="2">
        <f t="shared" si="31"/>
        <v>61.521016190029002</v>
      </c>
      <c r="AH971" s="22">
        <f>AC971-AE971</f>
        <v>3.2873242095682969</v>
      </c>
    </row>
    <row r="972" spans="1:34" x14ac:dyDescent="0.25">
      <c r="A972" s="1">
        <f>DATEVALUE(Sheet1!A971)</f>
        <v>45975</v>
      </c>
      <c r="B972" s="2">
        <f>VALUE(Sheet1!B971)</f>
        <v>67.52</v>
      </c>
      <c r="C972" s="9">
        <f>(B972-B971)/B971</f>
        <v>8.8941595019274052E-4</v>
      </c>
      <c r="D972" s="2">
        <f>MAX(D971,B972)</f>
        <v>103.9</v>
      </c>
      <c r="E972" s="9">
        <f>(B972-D972)/D972</f>
        <v>-0.35014436958614059</v>
      </c>
      <c r="AB972" s="1">
        <f>A972</f>
        <v>45975</v>
      </c>
      <c r="AC972" s="2">
        <f>B972</f>
        <v>67.52</v>
      </c>
      <c r="AD972" s="2">
        <f>970</f>
        <v>970</v>
      </c>
      <c r="AE972" s="2">
        <f>INTERCEPT($AC$3:$AC$1136,$AD$3:$AD$1136)+SLOPE($AC$3:$AC$1136,$AD$3:$AD$1136)*AD972</f>
        <v>64.153963827019254</v>
      </c>
      <c r="AF972" s="2">
        <f t="shared" si="30"/>
        <v>66.805623427421949</v>
      </c>
      <c r="AG972" s="2">
        <f t="shared" si="31"/>
        <v>61.502304226616559</v>
      </c>
      <c r="AH972" s="22">
        <f>AC972-AE972</f>
        <v>3.366036172980742</v>
      </c>
    </row>
    <row r="973" spans="1:34" x14ac:dyDescent="0.25">
      <c r="A973" s="1">
        <f>DATEVALUE(Sheet1!A972)</f>
        <v>45978</v>
      </c>
      <c r="B973" s="2">
        <f>VALUE(Sheet1!B972)</f>
        <v>67.62</v>
      </c>
      <c r="C973" s="9">
        <f>(B973-B972)/B972</f>
        <v>1.4810426540285623E-3</v>
      </c>
      <c r="D973" s="2">
        <f>MAX(D972,B973)</f>
        <v>103.9</v>
      </c>
      <c r="E973" s="9">
        <f>(B973-D973)/D973</f>
        <v>-0.34918190567853702</v>
      </c>
      <c r="AB973" s="1">
        <f>A973</f>
        <v>45978</v>
      </c>
      <c r="AC973" s="2">
        <f>B973</f>
        <v>67.62</v>
      </c>
      <c r="AD973" s="2">
        <f>971</f>
        <v>971</v>
      </c>
      <c r="AE973" s="2">
        <f>INTERCEPT($AC$3:$AC$1136,$AD$3:$AD$1136)+SLOPE($AC$3:$AC$1136,$AD$3:$AD$1136)*AD973</f>
        <v>64.135251863606811</v>
      </c>
      <c r="AF973" s="2">
        <f t="shared" si="30"/>
        <v>66.786911464009506</v>
      </c>
      <c r="AG973" s="2">
        <f t="shared" si="31"/>
        <v>61.483592263204116</v>
      </c>
      <c r="AH973" s="22">
        <f>AC973-AE973</f>
        <v>3.4847481363931934</v>
      </c>
    </row>
    <row r="974" spans="1:34" x14ac:dyDescent="0.25">
      <c r="A974" s="1">
        <f>DATEVALUE(Sheet1!A973)</f>
        <v>45979</v>
      </c>
      <c r="B974" s="2">
        <f>VALUE(Sheet1!B973)</f>
        <v>67.61</v>
      </c>
      <c r="C974" s="9">
        <f>(B974-B973)/B973</f>
        <v>-1.4788524105301855E-4</v>
      </c>
      <c r="D974" s="2">
        <f>MAX(D973,B974)</f>
        <v>103.9</v>
      </c>
      <c r="E974" s="9">
        <f>(B974-D974)/D974</f>
        <v>-0.34927815206929747</v>
      </c>
      <c r="AB974" s="1">
        <f>A974</f>
        <v>45979</v>
      </c>
      <c r="AC974" s="2">
        <f>B974</f>
        <v>67.61</v>
      </c>
      <c r="AD974" s="2">
        <f>972</f>
        <v>972</v>
      </c>
      <c r="AE974" s="2">
        <f>INTERCEPT($AC$3:$AC$1136,$AD$3:$AD$1136)+SLOPE($AC$3:$AC$1136,$AD$3:$AD$1136)*AD974</f>
        <v>64.116539900194354</v>
      </c>
      <c r="AF974" s="2">
        <f t="shared" si="30"/>
        <v>66.768199500597049</v>
      </c>
      <c r="AG974" s="2">
        <f t="shared" si="31"/>
        <v>61.464880299791659</v>
      </c>
      <c r="AH974" s="22">
        <f>AC974-AE974</f>
        <v>3.4934600998056453</v>
      </c>
    </row>
    <row r="975" spans="1:34" x14ac:dyDescent="0.25">
      <c r="A975" s="1">
        <f>DATEVALUE(Sheet1!A974)</f>
        <v>45980</v>
      </c>
      <c r="B975" s="2">
        <f>VALUE(Sheet1!B974)</f>
        <v>67.64</v>
      </c>
      <c r="C975" s="9">
        <f>(B975-B974)/B974</f>
        <v>4.4372134299661495E-4</v>
      </c>
      <c r="D975" s="2">
        <f>MAX(D974,B975)</f>
        <v>103.9</v>
      </c>
      <c r="E975" s="9">
        <f>(B975-D975)/D975</f>
        <v>-0.3489894128970164</v>
      </c>
      <c r="AB975" s="1">
        <f>A975</f>
        <v>45980</v>
      </c>
      <c r="AC975" s="2">
        <f>B975</f>
        <v>67.64</v>
      </c>
      <c r="AD975" s="2">
        <f>973</f>
        <v>973</v>
      </c>
      <c r="AE975" s="2">
        <f>INTERCEPT($AC$3:$AC$1136,$AD$3:$AD$1136)+SLOPE($AC$3:$AC$1136,$AD$3:$AD$1136)*AD975</f>
        <v>64.097827936781911</v>
      </c>
      <c r="AF975" s="2">
        <f t="shared" si="30"/>
        <v>66.749487537184606</v>
      </c>
      <c r="AG975" s="2">
        <f t="shared" si="31"/>
        <v>61.446168336379216</v>
      </c>
      <c r="AH975" s="22">
        <f>AC975-AE975</f>
        <v>3.5421720632180893</v>
      </c>
    </row>
    <row r="976" spans="1:34" x14ac:dyDescent="0.25">
      <c r="A976" s="1">
        <f>DATEVALUE(Sheet1!A975)</f>
        <v>45982</v>
      </c>
      <c r="B976" s="2">
        <f>VALUE(Sheet1!B975)</f>
        <v>67.67</v>
      </c>
      <c r="C976" s="9">
        <f>(B976-B975)/B975</f>
        <v>4.4352454169132373E-4</v>
      </c>
      <c r="D976" s="2">
        <f>MAX(D975,B976)</f>
        <v>103.9</v>
      </c>
      <c r="E976" s="9">
        <f>(B976-D976)/D976</f>
        <v>-0.34870067372473534</v>
      </c>
      <c r="AB976" s="1">
        <f>A976</f>
        <v>45982</v>
      </c>
      <c r="AC976" s="2">
        <f>B976</f>
        <v>67.67</v>
      </c>
      <c r="AD976" s="2">
        <f>974</f>
        <v>974</v>
      </c>
      <c r="AE976" s="2">
        <f>INTERCEPT($AC$3:$AC$1136,$AD$3:$AD$1136)+SLOPE($AC$3:$AC$1136,$AD$3:$AD$1136)*AD976</f>
        <v>64.079115973369454</v>
      </c>
      <c r="AF976" s="2">
        <f t="shared" si="30"/>
        <v>66.730775573772149</v>
      </c>
      <c r="AG976" s="2">
        <f t="shared" si="31"/>
        <v>61.427456372966759</v>
      </c>
      <c r="AH976" s="22">
        <f>AC976-AE976</f>
        <v>3.5908840266305475</v>
      </c>
    </row>
    <row r="977" spans="1:34" x14ac:dyDescent="0.25">
      <c r="A977" s="1">
        <f>DATEVALUE(Sheet1!A976)</f>
        <v>45985</v>
      </c>
      <c r="B977" s="2">
        <f>VALUE(Sheet1!B976)</f>
        <v>67.819999999999993</v>
      </c>
      <c r="C977" s="9">
        <f>(B977-B976)/B976</f>
        <v>2.2166395744050759E-3</v>
      </c>
      <c r="D977" s="2">
        <f>MAX(D976,B977)</f>
        <v>103.9</v>
      </c>
      <c r="E977" s="9">
        <f>(B977-D977)/D977</f>
        <v>-0.34725697786333021</v>
      </c>
      <c r="AB977" s="1">
        <f>A977</f>
        <v>45985</v>
      </c>
      <c r="AC977" s="2">
        <f>B977</f>
        <v>67.819999999999993</v>
      </c>
      <c r="AD977" s="2">
        <f>975</f>
        <v>975</v>
      </c>
      <c r="AE977" s="2">
        <f>INTERCEPT($AC$3:$AC$1136,$AD$3:$AD$1136)+SLOPE($AC$3:$AC$1136,$AD$3:$AD$1136)*AD977</f>
        <v>64.060404009957011</v>
      </c>
      <c r="AF977" s="2">
        <f t="shared" si="30"/>
        <v>66.712063610359706</v>
      </c>
      <c r="AG977" s="2">
        <f t="shared" si="31"/>
        <v>61.408744409554316</v>
      </c>
      <c r="AH977" s="22">
        <f>AC977-AE977</f>
        <v>3.7595959900429818</v>
      </c>
    </row>
    <row r="978" spans="1:34" x14ac:dyDescent="0.25">
      <c r="A978" s="1">
        <f>DATEVALUE(Sheet1!A977)</f>
        <v>45986</v>
      </c>
      <c r="B978" s="2">
        <f>VALUE(Sheet1!B977)</f>
        <v>68.239999999999995</v>
      </c>
      <c r="C978" s="9">
        <f>(B978-B977)/B977</f>
        <v>6.1928634621055993E-3</v>
      </c>
      <c r="D978" s="2">
        <f>MAX(D977,B978)</f>
        <v>103.9</v>
      </c>
      <c r="E978" s="9">
        <f>(B978-D978)/D978</f>
        <v>-0.34321462945139564</v>
      </c>
      <c r="AB978" s="1">
        <f>A978</f>
        <v>45986</v>
      </c>
      <c r="AC978" s="2">
        <f>B978</f>
        <v>68.239999999999995</v>
      </c>
      <c r="AD978" s="2">
        <f>976</f>
        <v>976</v>
      </c>
      <c r="AE978" s="2">
        <f>INTERCEPT($AC$3:$AC$1136,$AD$3:$AD$1136)+SLOPE($AC$3:$AC$1136,$AD$3:$AD$1136)*AD978</f>
        <v>64.041692046544568</v>
      </c>
      <c r="AF978" s="2">
        <f t="shared" si="30"/>
        <v>66.693351646947264</v>
      </c>
      <c r="AG978" s="2">
        <f t="shared" si="31"/>
        <v>61.390032446141873</v>
      </c>
      <c r="AH978" s="22">
        <f>AC978-AE978</f>
        <v>4.1983079534554264</v>
      </c>
    </row>
    <row r="979" spans="1:34" x14ac:dyDescent="0.25">
      <c r="A979" s="1">
        <f>DATEVALUE(Sheet1!A978)</f>
        <v>45987</v>
      </c>
      <c r="B979" s="2">
        <f>VALUE(Sheet1!B978)</f>
        <v>68.400000000000006</v>
      </c>
      <c r="C979" s="9">
        <f>(B979-B978)/B978</f>
        <v>2.3446658851115302E-3</v>
      </c>
      <c r="D979" s="2">
        <f>MAX(D978,B979)</f>
        <v>103.9</v>
      </c>
      <c r="E979" s="9">
        <f>(B979-D979)/D979</f>
        <v>-0.34167468719923</v>
      </c>
      <c r="AB979" s="1">
        <f>A979</f>
        <v>45987</v>
      </c>
      <c r="AC979" s="2">
        <f>B979</f>
        <v>68.400000000000006</v>
      </c>
      <c r="AD979" s="2">
        <f>977</f>
        <v>977</v>
      </c>
      <c r="AE979" s="2">
        <f>INTERCEPT($AC$3:$AC$1136,$AD$3:$AD$1136)+SLOPE($AC$3:$AC$1136,$AD$3:$AD$1136)*AD979</f>
        <v>64.022980083132126</v>
      </c>
      <c r="AF979" s="2">
        <f t="shared" si="30"/>
        <v>66.674639683534821</v>
      </c>
      <c r="AG979" s="2">
        <f t="shared" si="31"/>
        <v>61.371320482729431</v>
      </c>
      <c r="AH979" s="22">
        <f>AC979-AE979</f>
        <v>4.3770199168678801</v>
      </c>
    </row>
    <row r="980" spans="1:34" x14ac:dyDescent="0.25">
      <c r="A980" s="1">
        <f>DATEVALUE(Sheet1!A979)</f>
        <v>45988</v>
      </c>
      <c r="B980" s="2">
        <f>VALUE(Sheet1!B979)</f>
        <v>68.62</v>
      </c>
      <c r="C980" s="9">
        <f>(B980-B979)/B979</f>
        <v>3.2163742690058312E-3</v>
      </c>
      <c r="D980" s="2">
        <f>MAX(D979,B980)</f>
        <v>103.9</v>
      </c>
      <c r="E980" s="9">
        <f>(B980-D980)/D980</f>
        <v>-0.33955726660250241</v>
      </c>
      <c r="AB980" s="1">
        <f>A980</f>
        <v>45988</v>
      </c>
      <c r="AC980" s="2">
        <f>B980</f>
        <v>68.62</v>
      </c>
      <c r="AD980" s="2">
        <f>978</f>
        <v>978</v>
      </c>
      <c r="AE980" s="2">
        <f>INTERCEPT($AC$3:$AC$1136,$AD$3:$AD$1136)+SLOPE($AC$3:$AC$1136,$AD$3:$AD$1136)*AD980</f>
        <v>64.004268119719683</v>
      </c>
      <c r="AF980" s="2">
        <f t="shared" si="30"/>
        <v>66.655927720122378</v>
      </c>
      <c r="AG980" s="2">
        <f t="shared" si="31"/>
        <v>61.352608519316988</v>
      </c>
      <c r="AH980" s="22">
        <f>AC980-AE980</f>
        <v>4.6157318802803218</v>
      </c>
    </row>
    <row r="981" spans="1:34" x14ac:dyDescent="0.25">
      <c r="A981" s="1">
        <f>DATEVALUE(Sheet1!A980)</f>
        <v>45989</v>
      </c>
      <c r="B981" s="2">
        <f>VALUE(Sheet1!B980)</f>
        <v>68.760000000000005</v>
      </c>
      <c r="C981" s="9">
        <f>(B981-B980)/B980</f>
        <v>2.0402215097639256E-3</v>
      </c>
      <c r="D981" s="2">
        <f>MAX(D980,B981)</f>
        <v>103.9</v>
      </c>
      <c r="E981" s="9">
        <f>(B981-D981)/D981</f>
        <v>-0.33820981713185755</v>
      </c>
      <c r="AB981" s="1">
        <f>A981</f>
        <v>45989</v>
      </c>
      <c r="AC981" s="2">
        <f>B981</f>
        <v>68.760000000000005</v>
      </c>
      <c r="AD981" s="2">
        <f>979</f>
        <v>979</v>
      </c>
      <c r="AE981" s="2">
        <f>INTERCEPT($AC$3:$AC$1136,$AD$3:$AD$1136)+SLOPE($AC$3:$AC$1136,$AD$3:$AD$1136)*AD981</f>
        <v>63.985556156307226</v>
      </c>
      <c r="AF981" s="2">
        <f t="shared" si="30"/>
        <v>66.637215756709921</v>
      </c>
      <c r="AG981" s="2">
        <f t="shared" si="31"/>
        <v>61.333896555904531</v>
      </c>
      <c r="AH981" s="22">
        <f>AC981-AE981</f>
        <v>4.7744438436927794</v>
      </c>
    </row>
    <row r="982" spans="1:34" x14ac:dyDescent="0.25">
      <c r="A982" s="1">
        <f>DATEVALUE(Sheet1!A981)</f>
        <v>45992</v>
      </c>
      <c r="B982" s="2">
        <f>VALUE(Sheet1!B981)</f>
        <v>69.040000000000006</v>
      </c>
      <c r="C982" s="9">
        <f>(B982-B981)/B981</f>
        <v>4.0721349621873348E-3</v>
      </c>
      <c r="D982" s="2">
        <f>MAX(D981,B982)</f>
        <v>103.9</v>
      </c>
      <c r="E982" s="9">
        <f>(B982-D982)/D982</f>
        <v>-0.33551491819056783</v>
      </c>
      <c r="AB982" s="1">
        <f>A982</f>
        <v>45992</v>
      </c>
      <c r="AC982" s="2">
        <f>B982</f>
        <v>69.040000000000006</v>
      </c>
      <c r="AD982" s="2">
        <f>980</f>
        <v>980</v>
      </c>
      <c r="AE982" s="2">
        <f>INTERCEPT($AC$3:$AC$1136,$AD$3:$AD$1136)+SLOPE($AC$3:$AC$1136,$AD$3:$AD$1136)*AD982</f>
        <v>63.966844192894783</v>
      </c>
      <c r="AF982" s="2">
        <f t="shared" si="30"/>
        <v>66.618503793297478</v>
      </c>
      <c r="AG982" s="2">
        <f t="shared" si="31"/>
        <v>61.315184592492088</v>
      </c>
      <c r="AH982" s="22">
        <f>AC982-AE982</f>
        <v>5.0731558071052234</v>
      </c>
    </row>
    <row r="983" spans="1:34" x14ac:dyDescent="0.25">
      <c r="A983" s="1">
        <f>DATEVALUE(Sheet1!A982)</f>
        <v>45993</v>
      </c>
      <c r="B983" s="2">
        <f>VALUE(Sheet1!B982)</f>
        <v>69.540000000000006</v>
      </c>
      <c r="C983" s="9">
        <f>(B983-B982)/B982</f>
        <v>7.2421784472769405E-3</v>
      </c>
      <c r="D983" s="2">
        <f>MAX(D982,B983)</f>
        <v>103.9</v>
      </c>
      <c r="E983" s="9">
        <f>(B983-D983)/D983</f>
        <v>-0.33070259865255053</v>
      </c>
      <c r="AB983" s="1">
        <f>A983</f>
        <v>45993</v>
      </c>
      <c r="AC983" s="2">
        <f>B983</f>
        <v>69.540000000000006</v>
      </c>
      <c r="AD983" s="2">
        <f>981</f>
        <v>981</v>
      </c>
      <c r="AE983" s="2">
        <f>INTERCEPT($AC$3:$AC$1136,$AD$3:$AD$1136)+SLOPE($AC$3:$AC$1136,$AD$3:$AD$1136)*AD983</f>
        <v>63.94813222948234</v>
      </c>
      <c r="AF983" s="2">
        <f t="shared" si="30"/>
        <v>66.599791829885035</v>
      </c>
      <c r="AG983" s="2">
        <f t="shared" si="31"/>
        <v>61.296472629079645</v>
      </c>
      <c r="AH983" s="22">
        <f>AC983-AE983</f>
        <v>5.5918677705176663</v>
      </c>
    </row>
    <row r="984" spans="1:34" x14ac:dyDescent="0.25">
      <c r="A984" s="1">
        <f>DATEVALUE(Sheet1!A983)</f>
        <v>45994</v>
      </c>
      <c r="B984" s="2">
        <f>VALUE(Sheet1!B983)</f>
        <v>69.91</v>
      </c>
      <c r="C984" s="9">
        <f>(B984-B983)/B983</f>
        <v>5.3206787460453016E-3</v>
      </c>
      <c r="D984" s="2">
        <f>MAX(D983,B984)</f>
        <v>103.9</v>
      </c>
      <c r="E984" s="9">
        <f>(B984-D984)/D984</f>
        <v>-0.3271414821944178</v>
      </c>
      <c r="AB984" s="1">
        <f>A984</f>
        <v>45994</v>
      </c>
      <c r="AC984" s="2">
        <f>B984</f>
        <v>69.91</v>
      </c>
      <c r="AD984" s="2">
        <f>982</f>
        <v>982</v>
      </c>
      <c r="AE984" s="2">
        <f>INTERCEPT($AC$3:$AC$1136,$AD$3:$AD$1136)+SLOPE($AC$3:$AC$1136,$AD$3:$AD$1136)*AD984</f>
        <v>63.92942026606989</v>
      </c>
      <c r="AF984" s="2">
        <f t="shared" si="30"/>
        <v>66.581079866472592</v>
      </c>
      <c r="AG984" s="2">
        <f t="shared" si="31"/>
        <v>61.277760665667195</v>
      </c>
      <c r="AH984" s="22">
        <f>AC984-AE984</f>
        <v>5.9805797339301066</v>
      </c>
    </row>
    <row r="985" spans="1:34" x14ac:dyDescent="0.25">
      <c r="A985" s="1">
        <f>DATEVALUE(Sheet1!A984)</f>
        <v>45995</v>
      </c>
      <c r="B985" s="2">
        <f>VALUE(Sheet1!B984)</f>
        <v>69.97</v>
      </c>
      <c r="C985" s="9">
        <f>(B985-B984)/B984</f>
        <v>8.5824631669292341E-4</v>
      </c>
      <c r="D985" s="2">
        <f>MAX(D984,B985)</f>
        <v>103.9</v>
      </c>
      <c r="E985" s="9">
        <f>(B985-D985)/D985</f>
        <v>-0.32656400384985568</v>
      </c>
      <c r="AB985" s="1">
        <f>A985</f>
        <v>45995</v>
      </c>
      <c r="AC985" s="2">
        <f>B985</f>
        <v>69.97</v>
      </c>
      <c r="AD985" s="2">
        <f>983</f>
        <v>983</v>
      </c>
      <c r="AE985" s="2">
        <f>INTERCEPT($AC$3:$AC$1136,$AD$3:$AD$1136)+SLOPE($AC$3:$AC$1136,$AD$3:$AD$1136)*AD985</f>
        <v>63.91070830265744</v>
      </c>
      <c r="AF985" s="2">
        <f t="shared" si="30"/>
        <v>66.562367903060135</v>
      </c>
      <c r="AG985" s="2">
        <f t="shared" si="31"/>
        <v>61.259048702254745</v>
      </c>
      <c r="AH985" s="22">
        <f>AC985-AE985</f>
        <v>6.0592916973425588</v>
      </c>
    </row>
    <row r="986" spans="1:34" x14ac:dyDescent="0.25">
      <c r="A986" s="1">
        <f>DATEVALUE(Sheet1!A985)</f>
        <v>45996</v>
      </c>
      <c r="B986" s="2">
        <f>VALUE(Sheet1!B985)</f>
        <v>70.3</v>
      </c>
      <c r="C986" s="9">
        <f>(B986-B985)/B985</f>
        <v>4.7163069887094225E-3</v>
      </c>
      <c r="D986" s="2">
        <f>MAX(D985,B986)</f>
        <v>103.9</v>
      </c>
      <c r="E986" s="9">
        <f>(B986-D986)/D986</f>
        <v>-0.32338787295476429</v>
      </c>
      <c r="AB986" s="1">
        <f>A986</f>
        <v>45996</v>
      </c>
      <c r="AC986" s="2">
        <f>B986</f>
        <v>70.3</v>
      </c>
      <c r="AD986" s="2">
        <f>984</f>
        <v>984</v>
      </c>
      <c r="AE986" s="2">
        <f>INTERCEPT($AC$3:$AC$1136,$AD$3:$AD$1136)+SLOPE($AC$3:$AC$1136,$AD$3:$AD$1136)*AD986</f>
        <v>63.891996339244997</v>
      </c>
      <c r="AF986" s="2">
        <f t="shared" si="30"/>
        <v>66.543655939647692</v>
      </c>
      <c r="AG986" s="2">
        <f t="shared" si="31"/>
        <v>61.240336738842302</v>
      </c>
      <c r="AH986" s="22">
        <f>AC986-AE986</f>
        <v>6.4080036607549999</v>
      </c>
    </row>
    <row r="987" spans="1:34" x14ac:dyDescent="0.25">
      <c r="A987" s="1">
        <f>DATEVALUE(Sheet1!A986)</f>
        <v>45999</v>
      </c>
      <c r="B987" s="2">
        <f>VALUE(Sheet1!B986)</f>
        <v>70.150000000000006</v>
      </c>
      <c r="C987" s="9">
        <f>(B987-B986)/B986</f>
        <v>-2.1337126600283283E-3</v>
      </c>
      <c r="D987" s="2">
        <f>MAX(D986,B987)</f>
        <v>103.9</v>
      </c>
      <c r="E987" s="9">
        <f>(B987-D987)/D987</f>
        <v>-0.32483156881616937</v>
      </c>
      <c r="AB987" s="1">
        <f>A987</f>
        <v>45999</v>
      </c>
      <c r="AC987" s="2">
        <f>B987</f>
        <v>70.150000000000006</v>
      </c>
      <c r="AD987" s="2">
        <f>985</f>
        <v>985</v>
      </c>
      <c r="AE987" s="2">
        <f>INTERCEPT($AC$3:$AC$1136,$AD$3:$AD$1136)+SLOPE($AC$3:$AC$1136,$AD$3:$AD$1136)*AD987</f>
        <v>63.873284375832547</v>
      </c>
      <c r="AF987" s="2">
        <f t="shared" si="30"/>
        <v>66.524943976235249</v>
      </c>
      <c r="AG987" s="2">
        <f t="shared" si="31"/>
        <v>61.221624775429852</v>
      </c>
      <c r="AH987" s="22">
        <f>AC987-AE987</f>
        <v>6.2767156241674584</v>
      </c>
    </row>
    <row r="988" spans="1:34" x14ac:dyDescent="0.25">
      <c r="A988" s="1">
        <f>DATEVALUE(Sheet1!A987)</f>
        <v>46000</v>
      </c>
      <c r="B988" s="2">
        <f>VALUE(Sheet1!B987)</f>
        <v>69.989999999999995</v>
      </c>
      <c r="C988" s="9">
        <f>(B988-B987)/B987</f>
        <v>-2.2808267997150504E-3</v>
      </c>
      <c r="D988" s="2">
        <f>MAX(D987,B988)</f>
        <v>103.9</v>
      </c>
      <c r="E988" s="9">
        <f>(B988-D988)/D988</f>
        <v>-0.32637151106833501</v>
      </c>
      <c r="AB988" s="1">
        <f>A988</f>
        <v>46000</v>
      </c>
      <c r="AC988" s="2">
        <f>B988</f>
        <v>69.989999999999995</v>
      </c>
      <c r="AD988" s="2">
        <f>986</f>
        <v>986</v>
      </c>
      <c r="AE988" s="2">
        <f>INTERCEPT($AC$3:$AC$1136,$AD$3:$AD$1136)+SLOPE($AC$3:$AC$1136,$AD$3:$AD$1136)*AD988</f>
        <v>63.854572412420097</v>
      </c>
      <c r="AF988" s="2">
        <f t="shared" si="30"/>
        <v>66.506232012822792</v>
      </c>
      <c r="AG988" s="2">
        <f t="shared" si="31"/>
        <v>61.202912812017402</v>
      </c>
      <c r="AH988" s="22">
        <f>AC988-AE988</f>
        <v>6.1354275875798976</v>
      </c>
    </row>
    <row r="989" spans="1:34" x14ac:dyDescent="0.25">
      <c r="A989" s="1">
        <f>DATEVALUE(Sheet1!A988)</f>
        <v>46001</v>
      </c>
      <c r="B989" s="2">
        <f>VALUE(Sheet1!B988)</f>
        <v>69.760000000000005</v>
      </c>
      <c r="C989" s="9">
        <f>(B989-B988)/B988</f>
        <v>-3.2861837405342162E-3</v>
      </c>
      <c r="D989" s="2">
        <f>MAX(D988,B989)</f>
        <v>103.9</v>
      </c>
      <c r="E989" s="9">
        <f>(B989-D989)/D989</f>
        <v>-0.32858517805582288</v>
      </c>
      <c r="AB989" s="1">
        <f>A989</f>
        <v>46001</v>
      </c>
      <c r="AC989" s="2">
        <f>B989</f>
        <v>69.760000000000005</v>
      </c>
      <c r="AD989" s="2">
        <f>987</f>
        <v>987</v>
      </c>
      <c r="AE989" s="2">
        <f>INTERCEPT($AC$3:$AC$1136,$AD$3:$AD$1136)+SLOPE($AC$3:$AC$1136,$AD$3:$AD$1136)*AD989</f>
        <v>63.835860449007654</v>
      </c>
      <c r="AF989" s="2">
        <f t="shared" si="30"/>
        <v>66.48752004941035</v>
      </c>
      <c r="AG989" s="2">
        <f t="shared" si="31"/>
        <v>61.184200848604959</v>
      </c>
      <c r="AH989" s="22">
        <f>AC989-AE989</f>
        <v>5.9241395509923507</v>
      </c>
    </row>
    <row r="990" spans="1:34" x14ac:dyDescent="0.25">
      <c r="A990" s="1">
        <f>DATEVALUE(Sheet1!A989)</f>
        <v>46002</v>
      </c>
      <c r="B990" s="2">
        <f>VALUE(Sheet1!B989)</f>
        <v>69.62</v>
      </c>
      <c r="C990" s="9">
        <f>(B990-B989)/B989</f>
        <v>-2.006880733944962E-3</v>
      </c>
      <c r="D990" s="2">
        <f>MAX(D989,B990)</f>
        <v>103.9</v>
      </c>
      <c r="E990" s="9">
        <f>(B990-D990)/D990</f>
        <v>-0.32993262752646774</v>
      </c>
      <c r="AB990" s="1">
        <f>A990</f>
        <v>46002</v>
      </c>
      <c r="AC990" s="2">
        <f>B990</f>
        <v>69.62</v>
      </c>
      <c r="AD990" s="2">
        <f>988</f>
        <v>988</v>
      </c>
      <c r="AE990" s="2">
        <f>INTERCEPT($AC$3:$AC$1136,$AD$3:$AD$1136)+SLOPE($AC$3:$AC$1136,$AD$3:$AD$1136)*AD990</f>
        <v>63.817148485595212</v>
      </c>
      <c r="AF990" s="2">
        <f t="shared" si="30"/>
        <v>66.468808085997907</v>
      </c>
      <c r="AG990" s="2">
        <f t="shared" si="31"/>
        <v>61.165488885192516</v>
      </c>
      <c r="AH990" s="22">
        <f>AC990-AE990</f>
        <v>5.802851514404793</v>
      </c>
    </row>
    <row r="991" spans="1:34" x14ac:dyDescent="0.25">
      <c r="A991" s="1">
        <f>DATEVALUE(Sheet1!A990)</f>
        <v>46003</v>
      </c>
      <c r="B991" s="2">
        <f>VALUE(Sheet1!B990)</f>
        <v>69.459999999999994</v>
      </c>
      <c r="C991" s="9">
        <f>(B991-B990)/B990</f>
        <v>-2.2981901752371558E-3</v>
      </c>
      <c r="D991" s="2">
        <f>MAX(D990,B991)</f>
        <v>103.9</v>
      </c>
      <c r="E991" s="9">
        <f>(B991-D991)/D991</f>
        <v>-0.33147256977863337</v>
      </c>
      <c r="AB991" s="1">
        <f>A991</f>
        <v>46003</v>
      </c>
      <c r="AC991" s="2">
        <f>B991</f>
        <v>69.459999999999994</v>
      </c>
      <c r="AD991" s="2">
        <f>989</f>
        <v>989</v>
      </c>
      <c r="AE991" s="2">
        <f>INTERCEPT($AC$3:$AC$1136,$AD$3:$AD$1136)+SLOPE($AC$3:$AC$1136,$AD$3:$AD$1136)*AD991</f>
        <v>63.798436522182762</v>
      </c>
      <c r="AF991" s="2">
        <f t="shared" si="30"/>
        <v>66.450096122585464</v>
      </c>
      <c r="AG991" s="2">
        <f t="shared" si="31"/>
        <v>61.146776921780067</v>
      </c>
      <c r="AH991" s="22">
        <f>AC991-AE991</f>
        <v>5.6615634778172321</v>
      </c>
    </row>
    <row r="992" spans="1:34" x14ac:dyDescent="0.25">
      <c r="A992" s="1">
        <f>DATEVALUE(Sheet1!A991)</f>
        <v>46006</v>
      </c>
      <c r="B992" s="2">
        <f>VALUE(Sheet1!B991)</f>
        <v>69.709999999999994</v>
      </c>
      <c r="C992" s="9">
        <f>(B992-B991)/B991</f>
        <v>3.5991937805931475E-3</v>
      </c>
      <c r="D992" s="2">
        <f>MAX(D991,B992)</f>
        <v>103.9</v>
      </c>
      <c r="E992" s="9">
        <f>(B992-D992)/D992</f>
        <v>-0.32906641000962472</v>
      </c>
      <c r="AB992" s="1">
        <f>A992</f>
        <v>46006</v>
      </c>
      <c r="AC992" s="2">
        <f>B992</f>
        <v>69.709999999999994</v>
      </c>
      <c r="AD992" s="2">
        <f>990</f>
        <v>990</v>
      </c>
      <c r="AE992" s="2">
        <f>INTERCEPT($AC$3:$AC$1136,$AD$3:$AD$1136)+SLOPE($AC$3:$AC$1136,$AD$3:$AD$1136)*AD992</f>
        <v>63.779724558770312</v>
      </c>
      <c r="AF992" s="2">
        <f t="shared" si="30"/>
        <v>66.431384159173007</v>
      </c>
      <c r="AG992" s="2">
        <f t="shared" si="31"/>
        <v>61.128064958367617</v>
      </c>
      <c r="AH992" s="22">
        <f>AC992-AE992</f>
        <v>5.9302754412296821</v>
      </c>
    </row>
    <row r="993" spans="1:34" x14ac:dyDescent="0.25">
      <c r="A993" s="1">
        <f>DATEVALUE(Sheet1!A992)</f>
        <v>46007</v>
      </c>
      <c r="B993" s="2">
        <f>VALUE(Sheet1!B992)</f>
        <v>69.56</v>
      </c>
      <c r="C993" s="9">
        <f>(B993-B992)/B992</f>
        <v>-2.1517716253047123E-3</v>
      </c>
      <c r="D993" s="2">
        <f>MAX(D992,B993)</f>
        <v>103.9</v>
      </c>
      <c r="E993" s="9">
        <f>(B993-D993)/D993</f>
        <v>-0.33051010587102986</v>
      </c>
      <c r="AB993" s="1">
        <f>A993</f>
        <v>46007</v>
      </c>
      <c r="AC993" s="2">
        <f>B993</f>
        <v>69.56</v>
      </c>
      <c r="AD993" s="2">
        <f>991</f>
        <v>991</v>
      </c>
      <c r="AE993" s="2">
        <f>INTERCEPT($AC$3:$AC$1136,$AD$3:$AD$1136)+SLOPE($AC$3:$AC$1136,$AD$3:$AD$1136)*AD993</f>
        <v>63.761012595357869</v>
      </c>
      <c r="AF993" s="2">
        <f t="shared" si="30"/>
        <v>66.412672195760564</v>
      </c>
      <c r="AG993" s="2">
        <f t="shared" si="31"/>
        <v>61.109352994955174</v>
      </c>
      <c r="AH993" s="22">
        <f>AC993-AE993</f>
        <v>5.7989874046421335</v>
      </c>
    </row>
    <row r="994" spans="1:34" x14ac:dyDescent="0.25">
      <c r="A994" s="1">
        <f>DATEVALUE(Sheet1!A993)</f>
        <v>46008</v>
      </c>
      <c r="B994" s="2">
        <f>VALUE(Sheet1!B993)</f>
        <v>69.19</v>
      </c>
      <c r="C994" s="9">
        <f>(B994-B993)/B993</f>
        <v>-5.3191489361702777E-3</v>
      </c>
      <c r="D994" s="2">
        <f>MAX(D993,B994)</f>
        <v>103.9</v>
      </c>
      <c r="E994" s="9">
        <f>(B994-D994)/D994</f>
        <v>-0.3340712223291627</v>
      </c>
      <c r="AB994" s="1">
        <f>A994</f>
        <v>46008</v>
      </c>
      <c r="AC994" s="2">
        <f>B994</f>
        <v>69.19</v>
      </c>
      <c r="AD994" s="2">
        <f>992</f>
        <v>992</v>
      </c>
      <c r="AE994" s="2">
        <f>INTERCEPT($AC$3:$AC$1136,$AD$3:$AD$1136)+SLOPE($AC$3:$AC$1136,$AD$3:$AD$1136)*AD994</f>
        <v>63.742300631945426</v>
      </c>
      <c r="AF994" s="2">
        <f t="shared" si="30"/>
        <v>66.393960232348121</v>
      </c>
      <c r="AG994" s="2">
        <f t="shared" si="31"/>
        <v>61.090641031542731</v>
      </c>
      <c r="AH994" s="22">
        <f>AC994-AE994</f>
        <v>5.4476993680545718</v>
      </c>
    </row>
    <row r="995" spans="1:34" x14ac:dyDescent="0.25">
      <c r="A995" s="1">
        <f>DATEVALUE(Sheet1!A994)</f>
        <v>46009</v>
      </c>
      <c r="B995" s="2">
        <f>VALUE(Sheet1!B994)</f>
        <v>69.27</v>
      </c>
      <c r="C995" s="9">
        <f>(B995-B994)/B994</f>
        <v>1.1562364503540728E-3</v>
      </c>
      <c r="D995" s="2">
        <f>MAX(D994,B995)</f>
        <v>103.9</v>
      </c>
      <c r="E995" s="9">
        <f>(B995-D995)/D995</f>
        <v>-0.33330125120307996</v>
      </c>
      <c r="AB995" s="1">
        <f>A995</f>
        <v>46009</v>
      </c>
      <c r="AC995" s="2">
        <f>B995</f>
        <v>69.27</v>
      </c>
      <c r="AD995" s="2">
        <f>993</f>
        <v>993</v>
      </c>
      <c r="AE995" s="2">
        <f>INTERCEPT($AC$3:$AC$1136,$AD$3:$AD$1136)+SLOPE($AC$3:$AC$1136,$AD$3:$AD$1136)*AD995</f>
        <v>63.723588668532976</v>
      </c>
      <c r="AF995" s="2">
        <f t="shared" si="30"/>
        <v>66.375248268935678</v>
      </c>
      <c r="AG995" s="2">
        <f t="shared" si="31"/>
        <v>61.071929068130281</v>
      </c>
      <c r="AH995" s="22">
        <f>AC995-AE995</f>
        <v>5.54641133146702</v>
      </c>
    </row>
    <row r="996" spans="1:34" x14ac:dyDescent="0.25">
      <c r="A996" s="1">
        <f>DATEVALUE(Sheet1!A995)</f>
        <v>46010</v>
      </c>
      <c r="B996" s="2">
        <f>VALUE(Sheet1!B995)</f>
        <v>69.42</v>
      </c>
      <c r="C996" s="9">
        <f>(B996-B995)/B995</f>
        <v>2.1654395842356819E-3</v>
      </c>
      <c r="D996" s="2">
        <f>MAX(D995,B996)</f>
        <v>103.9</v>
      </c>
      <c r="E996" s="9">
        <f>(B996-D996)/D996</f>
        <v>-0.33185755534167471</v>
      </c>
      <c r="AB996" s="1">
        <f>A996</f>
        <v>46010</v>
      </c>
      <c r="AC996" s="2">
        <f>B996</f>
        <v>69.42</v>
      </c>
      <c r="AD996" s="2">
        <f>994</f>
        <v>994</v>
      </c>
      <c r="AE996" s="2">
        <f>INTERCEPT($AC$3:$AC$1136,$AD$3:$AD$1136)+SLOPE($AC$3:$AC$1136,$AD$3:$AD$1136)*AD996</f>
        <v>63.704876705120526</v>
      </c>
      <c r="AF996" s="2">
        <f t="shared" si="30"/>
        <v>66.356536305523221</v>
      </c>
      <c r="AG996" s="2">
        <f t="shared" si="31"/>
        <v>61.053217104717831</v>
      </c>
      <c r="AH996" s="22">
        <f>AC996-AE996</f>
        <v>5.7151232948794757</v>
      </c>
    </row>
    <row r="997" spans="1:34" x14ac:dyDescent="0.25">
      <c r="A997" s="1">
        <f>DATEVALUE(Sheet1!A996)</f>
        <v>46013</v>
      </c>
      <c r="B997" s="2">
        <f>VALUE(Sheet1!B996)</f>
        <v>69.47</v>
      </c>
      <c r="C997" s="9">
        <f>(B997-B996)/B996</f>
        <v>7.2025352924225236E-4</v>
      </c>
      <c r="D997" s="2">
        <f>MAX(D996,B997)</f>
        <v>103.9</v>
      </c>
      <c r="E997" s="9">
        <f>(B997-D997)/D997</f>
        <v>-0.33137632338787298</v>
      </c>
      <c r="AB997" s="1">
        <f>A997</f>
        <v>46013</v>
      </c>
      <c r="AC997" s="2">
        <f>B997</f>
        <v>69.47</v>
      </c>
      <c r="AD997" s="2">
        <f>995</f>
        <v>995</v>
      </c>
      <c r="AE997" s="2">
        <f>INTERCEPT($AC$3:$AC$1136,$AD$3:$AD$1136)+SLOPE($AC$3:$AC$1136,$AD$3:$AD$1136)*AD997</f>
        <v>63.686164741708083</v>
      </c>
      <c r="AF997" s="2">
        <f t="shared" si="30"/>
        <v>66.337824342110778</v>
      </c>
      <c r="AG997" s="2">
        <f t="shared" si="31"/>
        <v>61.034505141305388</v>
      </c>
      <c r="AH997" s="22">
        <f>AC997-AE997</f>
        <v>5.7838352582919157</v>
      </c>
    </row>
    <row r="998" spans="1:34" x14ac:dyDescent="0.25">
      <c r="A998" s="1">
        <f>DATEVALUE(Sheet1!A997)</f>
        <v>46014</v>
      </c>
      <c r="B998" s="2">
        <f>VALUE(Sheet1!B997)</f>
        <v>69.5</v>
      </c>
      <c r="C998" s="9">
        <f>(B998-B997)/B997</f>
        <v>4.3184108248166313E-4</v>
      </c>
      <c r="D998" s="2">
        <f>MAX(D997,B998)</f>
        <v>103.9</v>
      </c>
      <c r="E998" s="9">
        <f>(B998-D998)/D998</f>
        <v>-0.33108758421559198</v>
      </c>
      <c r="AB998" s="1">
        <f>A998</f>
        <v>46014</v>
      </c>
      <c r="AC998" s="2">
        <f>B998</f>
        <v>69.5</v>
      </c>
      <c r="AD998" s="2">
        <f>996</f>
        <v>996</v>
      </c>
      <c r="AE998" s="2">
        <f>INTERCEPT($AC$3:$AC$1136,$AD$3:$AD$1136)+SLOPE($AC$3:$AC$1136,$AD$3:$AD$1136)*AD998</f>
        <v>63.667452778295633</v>
      </c>
      <c r="AF998" s="2">
        <f t="shared" si="30"/>
        <v>66.319112378698335</v>
      </c>
      <c r="AG998" s="2">
        <f t="shared" si="31"/>
        <v>61.015793177892938</v>
      </c>
      <c r="AH998" s="22">
        <f>AC998-AE998</f>
        <v>5.8325472217043668</v>
      </c>
    </row>
    <row r="999" spans="1:34" x14ac:dyDescent="0.25">
      <c r="A999" s="1">
        <f>DATEVALUE(Sheet1!A998)</f>
        <v>46017</v>
      </c>
      <c r="B999" s="2">
        <f>VALUE(Sheet1!B998)</f>
        <v>69.48</v>
      </c>
      <c r="C999" s="9">
        <f>(B999-B998)/B998</f>
        <v>-2.8776978417260462E-4</v>
      </c>
      <c r="D999" s="2">
        <f>MAX(D998,B999)</f>
        <v>103.9</v>
      </c>
      <c r="E999" s="9">
        <f>(B999-D999)/D999</f>
        <v>-0.33128007699711259</v>
      </c>
      <c r="AB999" s="1">
        <f>A999</f>
        <v>46017</v>
      </c>
      <c r="AC999" s="2">
        <f>B999</f>
        <v>69.48</v>
      </c>
      <c r="AD999" s="2">
        <f>997</f>
        <v>997</v>
      </c>
      <c r="AE999" s="2">
        <f>INTERCEPT($AC$3:$AC$1136,$AD$3:$AD$1136)+SLOPE($AC$3:$AC$1136,$AD$3:$AD$1136)*AD999</f>
        <v>63.648740814883183</v>
      </c>
      <c r="AF999" s="2">
        <f t="shared" si="30"/>
        <v>66.300400415285878</v>
      </c>
      <c r="AG999" s="2">
        <f t="shared" si="31"/>
        <v>60.997081214480488</v>
      </c>
      <c r="AH999" s="22">
        <f>AC999-AE999</f>
        <v>5.8312591851168207</v>
      </c>
    </row>
    <row r="1000" spans="1:34" x14ac:dyDescent="0.25">
      <c r="A1000" s="1">
        <f>DATEVALUE(Sheet1!A999)</f>
        <v>46020</v>
      </c>
      <c r="B1000" s="2">
        <f>VALUE(Sheet1!B999)</f>
        <v>69.459999999999994</v>
      </c>
      <c r="C1000" s="9">
        <f>(B1000-B999)/B999</f>
        <v>-2.8785261945898433E-4</v>
      </c>
      <c r="D1000" s="2">
        <f>MAX(D999,B1000)</f>
        <v>103.9</v>
      </c>
      <c r="E1000" s="9">
        <f>(B1000-D1000)/D1000</f>
        <v>-0.33147256977863337</v>
      </c>
      <c r="AB1000" s="1">
        <f>A1000</f>
        <v>46020</v>
      </c>
      <c r="AC1000" s="2">
        <f>B1000</f>
        <v>69.459999999999994</v>
      </c>
      <c r="AD1000" s="2">
        <f>998</f>
        <v>998</v>
      </c>
      <c r="AE1000" s="2">
        <f>INTERCEPT($AC$3:$AC$1136,$AD$3:$AD$1136)+SLOPE($AC$3:$AC$1136,$AD$3:$AD$1136)*AD1000</f>
        <v>63.63002885147074</v>
      </c>
      <c r="AF1000" s="2">
        <f t="shared" si="30"/>
        <v>66.281688451873435</v>
      </c>
      <c r="AG1000" s="2">
        <f t="shared" si="31"/>
        <v>60.978369251068045</v>
      </c>
      <c r="AH1000" s="22">
        <f>AC1000-AE1000</f>
        <v>5.8299711485292534</v>
      </c>
    </row>
    <row r="1001" spans="1:34" x14ac:dyDescent="0.25">
      <c r="A1001" s="1">
        <f>DATEVALUE(Sheet1!A1000)</f>
        <v>46021</v>
      </c>
      <c r="B1001" s="2">
        <f>VALUE(Sheet1!B1000)</f>
        <v>69.5</v>
      </c>
      <c r="C1001" s="9">
        <f>(B1001-B1000)/B1000</f>
        <v>5.7587100489499363E-4</v>
      </c>
      <c r="D1001" s="2">
        <f>MAX(D1000,B1001)</f>
        <v>103.9</v>
      </c>
      <c r="E1001" s="9">
        <f>(B1001-D1001)/D1001</f>
        <v>-0.33108758421559198</v>
      </c>
      <c r="AB1001" s="1">
        <f>A1001</f>
        <v>46021</v>
      </c>
      <c r="AC1001" s="2">
        <f>B1001</f>
        <v>69.5</v>
      </c>
      <c r="AD1001" s="2">
        <f>999</f>
        <v>999</v>
      </c>
      <c r="AE1001" s="2">
        <f>INTERCEPT($AC$3:$AC$1136,$AD$3:$AD$1136)+SLOPE($AC$3:$AC$1136,$AD$3:$AD$1136)*AD1001</f>
        <v>63.611316888058298</v>
      </c>
      <c r="AF1001" s="2">
        <f t="shared" si="30"/>
        <v>66.262976488460993</v>
      </c>
      <c r="AG1001" s="2">
        <f t="shared" si="31"/>
        <v>60.959657287655602</v>
      </c>
      <c r="AH1001" s="22">
        <f>AC1001-AE1001</f>
        <v>5.8886831119417025</v>
      </c>
    </row>
    <row r="1002" spans="1:34" x14ac:dyDescent="0.25">
      <c r="A1002" s="1">
        <f>DATEVALUE(Sheet1!A1001)</f>
        <v>46024</v>
      </c>
      <c r="B1002" s="2">
        <f>VALUE(Sheet1!B1001)</f>
        <v>69.45</v>
      </c>
      <c r="C1002" s="9">
        <f>(B1002-B1001)/B1001</f>
        <v>-7.1942446043161382E-4</v>
      </c>
      <c r="D1002" s="2">
        <f>MAX(D1001,B1002)</f>
        <v>103.9</v>
      </c>
      <c r="E1002" s="9">
        <f>(B1002-D1002)/D1002</f>
        <v>-0.33156881616939365</v>
      </c>
      <c r="AB1002" s="1">
        <f>A1002</f>
        <v>46024</v>
      </c>
      <c r="AC1002" s="2">
        <f>B1002</f>
        <v>69.45</v>
      </c>
      <c r="AD1002" s="2">
        <f>1000</f>
        <v>1000</v>
      </c>
      <c r="AE1002" s="2">
        <f>INTERCEPT($AC$3:$AC$1136,$AD$3:$AD$1136)+SLOPE($AC$3:$AC$1136,$AD$3:$AD$1136)*AD1002</f>
        <v>63.592604924645848</v>
      </c>
      <c r="AF1002" s="2">
        <f t="shared" si="30"/>
        <v>66.24426452504855</v>
      </c>
      <c r="AG1002" s="2">
        <f t="shared" si="31"/>
        <v>60.940945324243152</v>
      </c>
      <c r="AH1002" s="22">
        <f>AC1002-AE1002</f>
        <v>5.8573950753541553</v>
      </c>
    </row>
    <row r="1003" spans="1:34" x14ac:dyDescent="0.25">
      <c r="A1003" s="1">
        <f>DATEVALUE(Sheet1!A1002)</f>
        <v>46027</v>
      </c>
      <c r="B1003" s="2">
        <f>VALUE(Sheet1!B1002)</f>
        <v>69.38</v>
      </c>
      <c r="C1003" s="9">
        <f>(B1003-B1002)/B1002</f>
        <v>-1.0079193664507902E-3</v>
      </c>
      <c r="D1003" s="2">
        <f>MAX(D1002,B1003)</f>
        <v>103.9</v>
      </c>
      <c r="E1003" s="9">
        <f>(B1003-D1003)/D1003</f>
        <v>-0.33224254090471617</v>
      </c>
      <c r="AB1003" s="1">
        <f>A1003</f>
        <v>46027</v>
      </c>
      <c r="AC1003" s="2">
        <f>B1003</f>
        <v>69.38</v>
      </c>
      <c r="AD1003" s="2">
        <f>1001</f>
        <v>1001</v>
      </c>
      <c r="AE1003" s="2">
        <f>INTERCEPT($AC$3:$AC$1136,$AD$3:$AD$1136)+SLOPE($AC$3:$AC$1136,$AD$3:$AD$1136)*AD1003</f>
        <v>63.573892961233398</v>
      </c>
      <c r="AF1003" s="2">
        <f t="shared" si="30"/>
        <v>66.225552561636093</v>
      </c>
      <c r="AG1003" s="2">
        <f t="shared" si="31"/>
        <v>60.922233360830703</v>
      </c>
      <c r="AH1003" s="22">
        <f>AC1003-AE1003</f>
        <v>5.8061070387665978</v>
      </c>
    </row>
    <row r="1004" spans="1:34" x14ac:dyDescent="0.25">
      <c r="A1004" s="1">
        <f>DATEVALUE(Sheet1!A1003)</f>
        <v>46028</v>
      </c>
      <c r="B1004" s="2">
        <f>VALUE(Sheet1!B1003)</f>
        <v>69.13</v>
      </c>
      <c r="C1004" s="9">
        <f>(B1004-B1003)/B1003</f>
        <v>-3.603343903142116E-3</v>
      </c>
      <c r="D1004" s="2">
        <f>MAX(D1003,B1004)</f>
        <v>103.9</v>
      </c>
      <c r="E1004" s="9">
        <f>(B1004-D1004)/D1004</f>
        <v>-0.33464870067372482</v>
      </c>
      <c r="AB1004" s="1">
        <f>A1004</f>
        <v>46028</v>
      </c>
      <c r="AC1004" s="2">
        <f>B1004</f>
        <v>69.13</v>
      </c>
      <c r="AD1004" s="2">
        <f>1002</f>
        <v>1002</v>
      </c>
      <c r="AE1004" s="2">
        <f>INTERCEPT($AC$3:$AC$1136,$AD$3:$AD$1136)+SLOPE($AC$3:$AC$1136,$AD$3:$AD$1136)*AD1004</f>
        <v>63.555180997820955</v>
      </c>
      <c r="AF1004" s="2">
        <f t="shared" si="30"/>
        <v>66.20684059822365</v>
      </c>
      <c r="AG1004" s="2">
        <f t="shared" si="31"/>
        <v>60.90352139741826</v>
      </c>
      <c r="AH1004" s="22">
        <f>AC1004-AE1004</f>
        <v>5.5748190021790407</v>
      </c>
    </row>
    <row r="1005" spans="1:34" x14ac:dyDescent="0.25">
      <c r="A1005" s="1">
        <f>DATEVALUE(Sheet1!A1004)</f>
        <v>46029</v>
      </c>
      <c r="B1005" s="2">
        <f>VALUE(Sheet1!B1004)</f>
        <v>69</v>
      </c>
      <c r="C1005" s="9">
        <f>(B1005-B1004)/B1004</f>
        <v>-1.8805149717922099E-3</v>
      </c>
      <c r="D1005" s="2">
        <f>MAX(D1004,B1005)</f>
        <v>103.9</v>
      </c>
      <c r="E1005" s="9">
        <f>(B1005-D1005)/D1005</f>
        <v>-0.33589990375360929</v>
      </c>
      <c r="AB1005" s="1">
        <f>A1005</f>
        <v>46029</v>
      </c>
      <c r="AC1005" s="2">
        <f>B1005</f>
        <v>69</v>
      </c>
      <c r="AD1005" s="2">
        <f>1003</f>
        <v>1003</v>
      </c>
      <c r="AE1005" s="2">
        <f>INTERCEPT($AC$3:$AC$1136,$AD$3:$AD$1136)+SLOPE($AC$3:$AC$1136,$AD$3:$AD$1136)*AD1005</f>
        <v>63.536469034408512</v>
      </c>
      <c r="AF1005" s="2">
        <f t="shared" si="30"/>
        <v>66.188128634811207</v>
      </c>
      <c r="AG1005" s="2">
        <f t="shared" si="31"/>
        <v>60.884809434005817</v>
      </c>
      <c r="AH1005" s="22">
        <f>AC1005-AE1005</f>
        <v>5.4635309655914881</v>
      </c>
    </row>
    <row r="1006" spans="1:34" x14ac:dyDescent="0.25">
      <c r="A1006" s="1">
        <f>DATEVALUE(Sheet1!A1005)</f>
        <v>46030</v>
      </c>
      <c r="B1006" s="2">
        <f>VALUE(Sheet1!B1005)</f>
        <v>68.94</v>
      </c>
      <c r="C1006" s="9">
        <f>(B1006-B1005)/B1005</f>
        <v>-8.6956521739133734E-4</v>
      </c>
      <c r="D1006" s="2">
        <f>MAX(D1005,B1006)</f>
        <v>103.9</v>
      </c>
      <c r="E1006" s="9">
        <f>(B1006-D1006)/D1006</f>
        <v>-0.33647738209817135</v>
      </c>
      <c r="AB1006" s="1">
        <f>A1006</f>
        <v>46030</v>
      </c>
      <c r="AC1006" s="2">
        <f>B1006</f>
        <v>68.94</v>
      </c>
      <c r="AD1006" s="2">
        <f>1004</f>
        <v>1004</v>
      </c>
      <c r="AE1006" s="2">
        <f>INTERCEPT($AC$3:$AC$1136,$AD$3:$AD$1136)+SLOPE($AC$3:$AC$1136,$AD$3:$AD$1136)*AD1006</f>
        <v>63.517757070996062</v>
      </c>
      <c r="AF1006" s="2">
        <f t="shared" si="30"/>
        <v>66.169416671398764</v>
      </c>
      <c r="AG1006" s="2">
        <f t="shared" si="31"/>
        <v>60.866097470593367</v>
      </c>
      <c r="AH1006" s="22">
        <f>AC1006-AE1006</f>
        <v>5.4222429290039358</v>
      </c>
    </row>
    <row r="1007" spans="1:34" x14ac:dyDescent="0.25">
      <c r="A1007" s="1">
        <f>DATEVALUE(Sheet1!A1006)</f>
        <v>46031</v>
      </c>
      <c r="B1007" s="2">
        <f>VALUE(Sheet1!B1006)</f>
        <v>69.02</v>
      </c>
      <c r="C1007" s="9">
        <f>(B1007-B1006)/B1006</f>
        <v>1.1604293588627545E-3</v>
      </c>
      <c r="D1007" s="2">
        <f>MAX(D1006,B1007)</f>
        <v>103.9</v>
      </c>
      <c r="E1007" s="9">
        <f>(B1007-D1007)/D1007</f>
        <v>-0.33570741097208862</v>
      </c>
      <c r="AB1007" s="1">
        <f>A1007</f>
        <v>46031</v>
      </c>
      <c r="AC1007" s="2">
        <f>B1007</f>
        <v>69.02</v>
      </c>
      <c r="AD1007" s="2">
        <f>1005</f>
        <v>1005</v>
      </c>
      <c r="AE1007" s="2">
        <f>INTERCEPT($AC$3:$AC$1136,$AD$3:$AD$1136)+SLOPE($AC$3:$AC$1136,$AD$3:$AD$1136)*AD1007</f>
        <v>63.499045107583612</v>
      </c>
      <c r="AF1007" s="2">
        <f t="shared" si="30"/>
        <v>66.150704707986307</v>
      </c>
      <c r="AG1007" s="2">
        <f t="shared" si="31"/>
        <v>60.847385507180917</v>
      </c>
      <c r="AH1007" s="22">
        <f>AC1007-AE1007</f>
        <v>5.520954892416384</v>
      </c>
    </row>
    <row r="1008" spans="1:34" x14ac:dyDescent="0.25">
      <c r="A1008" s="1">
        <f>DATEVALUE(Sheet1!A1007)</f>
        <v>46034</v>
      </c>
      <c r="B1008" s="2">
        <f>VALUE(Sheet1!B1007)</f>
        <v>68.84</v>
      </c>
      <c r="C1008" s="9">
        <f>(B1008-B1007)/B1007</f>
        <v>-2.6079397276150772E-3</v>
      </c>
      <c r="D1008" s="2">
        <f>MAX(D1007,B1008)</f>
        <v>103.9</v>
      </c>
      <c r="E1008" s="9">
        <f>(B1008-D1008)/D1008</f>
        <v>-0.33743984600577481</v>
      </c>
      <c r="AB1008" s="1">
        <f>A1008</f>
        <v>46034</v>
      </c>
      <c r="AC1008" s="2">
        <f>B1008</f>
        <v>68.84</v>
      </c>
      <c r="AD1008" s="2">
        <f>1006</f>
        <v>1006</v>
      </c>
      <c r="AE1008" s="2">
        <f>INTERCEPT($AC$3:$AC$1136,$AD$3:$AD$1136)+SLOPE($AC$3:$AC$1136,$AD$3:$AD$1136)*AD1008</f>
        <v>63.480333144171169</v>
      </c>
      <c r="AF1008" s="2">
        <f t="shared" si="30"/>
        <v>66.131992744573864</v>
      </c>
      <c r="AG1008" s="2">
        <f t="shared" si="31"/>
        <v>60.828673543768474</v>
      </c>
      <c r="AH1008" s="22">
        <f>AC1008-AE1008</f>
        <v>5.3596668558288343</v>
      </c>
    </row>
    <row r="1009" spans="1:34" x14ac:dyDescent="0.25">
      <c r="A1009" s="1">
        <f>DATEVALUE(Sheet1!A1008)</f>
        <v>46035</v>
      </c>
      <c r="B1009" s="2">
        <f>VALUE(Sheet1!B1008)</f>
        <v>68.790000000000006</v>
      </c>
      <c r="C1009" s="9">
        <f>(B1009-B1008)/B1008</f>
        <v>-7.2632190586863969E-4</v>
      </c>
      <c r="D1009" s="2">
        <f>MAX(D1008,B1009)</f>
        <v>103.9</v>
      </c>
      <c r="E1009" s="9">
        <f>(B1009-D1009)/D1009</f>
        <v>-0.33792107795957649</v>
      </c>
      <c r="AB1009" s="1">
        <f>A1009</f>
        <v>46035</v>
      </c>
      <c r="AC1009" s="2">
        <f>B1009</f>
        <v>68.790000000000006</v>
      </c>
      <c r="AD1009" s="2">
        <f>1007</f>
        <v>1007</v>
      </c>
      <c r="AE1009" s="2">
        <f>INTERCEPT($AC$3:$AC$1136,$AD$3:$AD$1136)+SLOPE($AC$3:$AC$1136,$AD$3:$AD$1136)*AD1009</f>
        <v>63.461621180758719</v>
      </c>
      <c r="AF1009" s="2">
        <f t="shared" si="30"/>
        <v>66.113280781161421</v>
      </c>
      <c r="AG1009" s="2">
        <f t="shared" si="31"/>
        <v>60.809961580356024</v>
      </c>
      <c r="AH1009" s="22">
        <f>AC1009-AE1009</f>
        <v>5.3283788192412871</v>
      </c>
    </row>
    <row r="1010" spans="1:34" x14ac:dyDescent="0.25">
      <c r="A1010" s="1">
        <f>DATEVALUE(Sheet1!A1009)</f>
        <v>46036</v>
      </c>
      <c r="B1010" s="2">
        <f>VALUE(Sheet1!B1009)</f>
        <v>68.430000000000007</v>
      </c>
      <c r="C1010" s="9">
        <f>(B1010-B1009)/B1009</f>
        <v>-5.2333187963366683E-3</v>
      </c>
      <c r="D1010" s="2">
        <f>MAX(D1009,B1010)</f>
        <v>103.9</v>
      </c>
      <c r="E1010" s="9">
        <f>(B1010-D1010)/D1010</f>
        <v>-0.34138594802694894</v>
      </c>
      <c r="AB1010" s="1">
        <f>A1010</f>
        <v>46036</v>
      </c>
      <c r="AC1010" s="2">
        <f>B1010</f>
        <v>68.430000000000007</v>
      </c>
      <c r="AD1010" s="2">
        <f>1008</f>
        <v>1008</v>
      </c>
      <c r="AE1010" s="2">
        <f>INTERCEPT($AC$3:$AC$1136,$AD$3:$AD$1136)+SLOPE($AC$3:$AC$1136,$AD$3:$AD$1136)*AD1010</f>
        <v>63.442909217346269</v>
      </c>
      <c r="AF1010" s="2">
        <f t="shared" si="30"/>
        <v>66.094568817748964</v>
      </c>
      <c r="AG1010" s="2">
        <f t="shared" si="31"/>
        <v>60.791249616943574</v>
      </c>
      <c r="AH1010" s="22">
        <f>AC1010-AE1010</f>
        <v>4.9870907826537376</v>
      </c>
    </row>
    <row r="1011" spans="1:34" x14ac:dyDescent="0.25">
      <c r="A1011" s="1">
        <f>DATEVALUE(Sheet1!A1010)</f>
        <v>46037</v>
      </c>
      <c r="B1011" s="2">
        <f>VALUE(Sheet1!B1010)</f>
        <v>68.37</v>
      </c>
      <c r="C1011" s="9">
        <f>(B1011-B1010)/B1010</f>
        <v>-8.7680841736083976E-4</v>
      </c>
      <c r="D1011" s="2">
        <f>MAX(D1010,B1011)</f>
        <v>103.9</v>
      </c>
      <c r="E1011" s="9">
        <f>(B1011-D1011)/D1011</f>
        <v>-0.34196342637151106</v>
      </c>
      <c r="AB1011" s="1">
        <f>A1011</f>
        <v>46037</v>
      </c>
      <c r="AC1011" s="2">
        <f>B1011</f>
        <v>68.37</v>
      </c>
      <c r="AD1011" s="2">
        <f>1009</f>
        <v>1009</v>
      </c>
      <c r="AE1011" s="2">
        <f>INTERCEPT($AC$3:$AC$1136,$AD$3:$AD$1136)+SLOPE($AC$3:$AC$1136,$AD$3:$AD$1136)*AD1011</f>
        <v>63.424197253933826</v>
      </c>
      <c r="AF1011" s="2">
        <f t="shared" si="30"/>
        <v>66.075856854336521</v>
      </c>
      <c r="AG1011" s="2">
        <f t="shared" si="31"/>
        <v>60.772537653531131</v>
      </c>
      <c r="AH1011" s="22">
        <f>AC1011-AE1011</f>
        <v>4.9458027460661782</v>
      </c>
    </row>
    <row r="1012" spans="1:34" x14ac:dyDescent="0.25">
      <c r="A1012" s="1">
        <f>DATEVALUE(Sheet1!A1011)</f>
        <v>46038</v>
      </c>
      <c r="B1012" s="2">
        <f>VALUE(Sheet1!B1011)</f>
        <v>68.41</v>
      </c>
      <c r="C1012" s="9">
        <f>(B1012-B1011)/B1011</f>
        <v>5.8505192335808157E-4</v>
      </c>
      <c r="D1012" s="2">
        <f>MAX(D1011,B1012)</f>
        <v>103.9</v>
      </c>
      <c r="E1012" s="9">
        <f>(B1012-D1012)/D1012</f>
        <v>-0.34157844080846977</v>
      </c>
      <c r="AB1012" s="1">
        <f>A1012</f>
        <v>46038</v>
      </c>
      <c r="AC1012" s="2">
        <f>B1012</f>
        <v>68.41</v>
      </c>
      <c r="AD1012" s="2">
        <f>1010</f>
        <v>1010</v>
      </c>
      <c r="AE1012" s="2">
        <f>INTERCEPT($AC$3:$AC$1136,$AD$3:$AD$1136)+SLOPE($AC$3:$AC$1136,$AD$3:$AD$1136)*AD1012</f>
        <v>63.405485290521383</v>
      </c>
      <c r="AF1012" s="2">
        <f t="shared" si="30"/>
        <v>66.057144890924079</v>
      </c>
      <c r="AG1012" s="2">
        <f t="shared" si="31"/>
        <v>60.753825690118688</v>
      </c>
      <c r="AH1012" s="22">
        <f>AC1012-AE1012</f>
        <v>5.0045147094786131</v>
      </c>
    </row>
    <row r="1013" spans="1:34" x14ac:dyDescent="0.25">
      <c r="A1013" s="1">
        <f>DATEVALUE(Sheet1!A1012)</f>
        <v>46041</v>
      </c>
      <c r="B1013" s="2">
        <f>VALUE(Sheet1!B1012)</f>
        <v>68.12</v>
      </c>
      <c r="C1013" s="9">
        <f>(B1013-B1012)/B1012</f>
        <v>-4.2391463236367789E-3</v>
      </c>
      <c r="D1013" s="2">
        <f>MAX(D1012,B1013)</f>
        <v>103.9</v>
      </c>
      <c r="E1013" s="9">
        <f>(B1013-D1013)/D1013</f>
        <v>-0.34436958614051971</v>
      </c>
      <c r="AB1013" s="1">
        <f>A1013</f>
        <v>46041</v>
      </c>
      <c r="AC1013" s="2">
        <f>B1013</f>
        <v>68.12</v>
      </c>
      <c r="AD1013" s="2">
        <f>1011</f>
        <v>1011</v>
      </c>
      <c r="AE1013" s="2">
        <f>INTERCEPT($AC$3:$AC$1136,$AD$3:$AD$1136)+SLOPE($AC$3:$AC$1136,$AD$3:$AD$1136)*AD1013</f>
        <v>63.386773327108934</v>
      </c>
      <c r="AF1013" s="2">
        <f t="shared" si="30"/>
        <v>66.038432927511636</v>
      </c>
      <c r="AG1013" s="2">
        <f t="shared" si="31"/>
        <v>60.735113726706238</v>
      </c>
      <c r="AH1013" s="22">
        <f>AC1013-AE1013</f>
        <v>4.733226672891071</v>
      </c>
    </row>
    <row r="1014" spans="1:34" x14ac:dyDescent="0.25">
      <c r="A1014" s="1">
        <f>DATEVALUE(Sheet1!A1013)</f>
        <v>46042</v>
      </c>
      <c r="B1014" s="2">
        <f>VALUE(Sheet1!B1013)</f>
        <v>67.459999999999994</v>
      </c>
      <c r="C1014" s="9">
        <f>(B1014-B1013)/B1013</f>
        <v>-9.6887844979449619E-3</v>
      </c>
      <c r="D1014" s="2">
        <f>MAX(D1013,B1014)</f>
        <v>103.9</v>
      </c>
      <c r="E1014" s="9">
        <f>(B1014-D1014)/D1014</f>
        <v>-0.35072184793070271</v>
      </c>
      <c r="AB1014" s="1">
        <f>A1014</f>
        <v>46042</v>
      </c>
      <c r="AC1014" s="2">
        <f>B1014</f>
        <v>67.459999999999994</v>
      </c>
      <c r="AD1014" s="2">
        <f>1012</f>
        <v>1012</v>
      </c>
      <c r="AE1014" s="2">
        <f>INTERCEPT($AC$3:$AC$1136,$AD$3:$AD$1136)+SLOPE($AC$3:$AC$1136,$AD$3:$AD$1136)*AD1014</f>
        <v>63.368061363696484</v>
      </c>
      <c r="AF1014" s="2">
        <f t="shared" si="30"/>
        <v>66.019720964099179</v>
      </c>
      <c r="AG1014" s="2">
        <f t="shared" si="31"/>
        <v>60.716401763293788</v>
      </c>
      <c r="AH1014" s="22">
        <f>AC1014-AE1014</f>
        <v>4.0919386363035102</v>
      </c>
    </row>
    <row r="1015" spans="1:34" x14ac:dyDescent="0.25">
      <c r="A1015" s="1">
        <f>DATEVALUE(Sheet1!A1014)</f>
        <v>46043</v>
      </c>
      <c r="B1015" s="2">
        <f>VALUE(Sheet1!B1014)</f>
        <v>67.040000000000006</v>
      </c>
      <c r="C1015" s="9">
        <f>(B1015-B1014)/B1014</f>
        <v>-6.2259116513487629E-3</v>
      </c>
      <c r="D1015" s="2">
        <f>MAX(D1014,B1015)</f>
        <v>103.9</v>
      </c>
      <c r="E1015" s="9">
        <f>(B1015-D1015)/D1015</f>
        <v>-0.35476419634263712</v>
      </c>
      <c r="AB1015" s="1">
        <f>A1015</f>
        <v>46043</v>
      </c>
      <c r="AC1015" s="2">
        <f>B1015</f>
        <v>67.040000000000006</v>
      </c>
      <c r="AD1015" s="2">
        <f>1013</f>
        <v>1013</v>
      </c>
      <c r="AE1015" s="2">
        <f>INTERCEPT($AC$3:$AC$1136,$AD$3:$AD$1136)+SLOPE($AC$3:$AC$1136,$AD$3:$AD$1136)*AD1015</f>
        <v>63.349349400284041</v>
      </c>
      <c r="AF1015" s="2">
        <f t="shared" si="30"/>
        <v>66.001009000686736</v>
      </c>
      <c r="AG1015" s="2">
        <f t="shared" si="31"/>
        <v>60.697689799881346</v>
      </c>
      <c r="AH1015" s="22">
        <f>AC1015-AE1015</f>
        <v>3.6906505997159655</v>
      </c>
    </row>
    <row r="1016" spans="1:34" x14ac:dyDescent="0.25">
      <c r="A1016" s="1">
        <f>DATEVALUE(Sheet1!A1015)</f>
        <v>46044</v>
      </c>
      <c r="B1016" s="2">
        <f>VALUE(Sheet1!B1015)</f>
        <v>66.72</v>
      </c>
      <c r="C1016" s="9">
        <f>(B1016-B1015)/B1015</f>
        <v>-4.7732696897375797E-3</v>
      </c>
      <c r="D1016" s="2">
        <f>MAX(D1015,B1016)</f>
        <v>103.9</v>
      </c>
      <c r="E1016" s="9">
        <f>(B1016-D1016)/D1016</f>
        <v>-0.35784408084696828</v>
      </c>
      <c r="AB1016" s="1">
        <f>A1016</f>
        <v>46044</v>
      </c>
      <c r="AC1016" s="2">
        <f>B1016</f>
        <v>66.72</v>
      </c>
      <c r="AD1016" s="2">
        <f>1014</f>
        <v>1014</v>
      </c>
      <c r="AE1016" s="2">
        <f>INTERCEPT($AC$3:$AC$1136,$AD$3:$AD$1136)+SLOPE($AC$3:$AC$1136,$AD$3:$AD$1136)*AD1016</f>
        <v>63.330637436871598</v>
      </c>
      <c r="AF1016" s="2">
        <f t="shared" si="30"/>
        <v>65.982297037274293</v>
      </c>
      <c r="AG1016" s="2">
        <f t="shared" si="31"/>
        <v>60.678977836468903</v>
      </c>
      <c r="AH1016" s="22">
        <f>AC1016-AE1016</f>
        <v>3.389362563128401</v>
      </c>
    </row>
    <row r="1017" spans="1:34" x14ac:dyDescent="0.25">
      <c r="A1017" s="1">
        <f>DATEVALUE(Sheet1!A1016)</f>
        <v>46045</v>
      </c>
      <c r="B1017" s="2">
        <f>VALUE(Sheet1!B1016)</f>
        <v>66.63</v>
      </c>
      <c r="C1017" s="9">
        <f>(B1017-B1016)/B1016</f>
        <v>-1.3489208633094038E-3</v>
      </c>
      <c r="D1017" s="2">
        <f>MAX(D1016,B1017)</f>
        <v>103.9</v>
      </c>
      <c r="E1017" s="9">
        <f>(B1017-D1017)/D1017</f>
        <v>-0.35871029836381141</v>
      </c>
      <c r="AB1017" s="1">
        <f>A1017</f>
        <v>46045</v>
      </c>
      <c r="AC1017" s="2">
        <f>B1017</f>
        <v>66.63</v>
      </c>
      <c r="AD1017" s="2">
        <f>1015</f>
        <v>1015</v>
      </c>
      <c r="AE1017" s="2">
        <f>INTERCEPT($AC$3:$AC$1136,$AD$3:$AD$1136)+SLOPE($AC$3:$AC$1136,$AD$3:$AD$1136)*AD1017</f>
        <v>63.311925473459148</v>
      </c>
      <c r="AF1017" s="2">
        <f t="shared" si="30"/>
        <v>65.96358507386185</v>
      </c>
      <c r="AG1017" s="2">
        <f t="shared" si="31"/>
        <v>60.660265873056453</v>
      </c>
      <c r="AH1017" s="22">
        <f>AC1017-AE1017</f>
        <v>3.3180745265408476</v>
      </c>
    </row>
    <row r="1018" spans="1:34" x14ac:dyDescent="0.25">
      <c r="A1018" s="1">
        <f>DATEVALUE(Sheet1!A1017)</f>
        <v>46048</v>
      </c>
      <c r="B1018" s="2">
        <f>VALUE(Sheet1!B1017)</f>
        <v>66.69</v>
      </c>
      <c r="C1018" s="9">
        <f>(B1018-B1017)/B1017</f>
        <v>9.0049527239985405E-4</v>
      </c>
      <c r="D1018" s="2">
        <f>MAX(D1017,B1018)</f>
        <v>103.9</v>
      </c>
      <c r="E1018" s="9">
        <f>(B1018-D1018)/D1018</f>
        <v>-0.35813282001924934</v>
      </c>
      <c r="AB1018" s="1">
        <f>A1018</f>
        <v>46048</v>
      </c>
      <c r="AC1018" s="2">
        <f>B1018</f>
        <v>66.69</v>
      </c>
      <c r="AD1018" s="2">
        <f>1016</f>
        <v>1016</v>
      </c>
      <c r="AE1018" s="2">
        <f>INTERCEPT($AC$3:$AC$1136,$AD$3:$AD$1136)+SLOPE($AC$3:$AC$1136,$AD$3:$AD$1136)*AD1018</f>
        <v>63.293213510046698</v>
      </c>
      <c r="AF1018" s="2">
        <f t="shared" si="30"/>
        <v>65.944873110449393</v>
      </c>
      <c r="AG1018" s="2">
        <f t="shared" si="31"/>
        <v>60.641553909644003</v>
      </c>
      <c r="AH1018" s="22">
        <f>AC1018-AE1018</f>
        <v>3.3967864899532998</v>
      </c>
    </row>
    <row r="1019" spans="1:34" x14ac:dyDescent="0.25">
      <c r="A1019" s="1">
        <f>DATEVALUE(Sheet1!A1018)</f>
        <v>46049</v>
      </c>
      <c r="B1019" s="2">
        <f>VALUE(Sheet1!B1018)</f>
        <v>66.22</v>
      </c>
      <c r="C1019" s="9">
        <f>(B1019-B1018)/B1018</f>
        <v>-7.0475333633228205E-3</v>
      </c>
      <c r="D1019" s="2">
        <f>MAX(D1018,B1019)</f>
        <v>103.9</v>
      </c>
      <c r="E1019" s="9">
        <f>(B1019-D1019)/D1019</f>
        <v>-0.36265640038498559</v>
      </c>
      <c r="AB1019" s="1">
        <f>A1019</f>
        <v>46049</v>
      </c>
      <c r="AC1019" s="2">
        <f>B1019</f>
        <v>66.22</v>
      </c>
      <c r="AD1019" s="2">
        <f>1017</f>
        <v>1017</v>
      </c>
      <c r="AE1019" s="2">
        <f>INTERCEPT($AC$3:$AC$1136,$AD$3:$AD$1136)+SLOPE($AC$3:$AC$1136,$AD$3:$AD$1136)*AD1019</f>
        <v>63.274501546634255</v>
      </c>
      <c r="AF1019" s="2">
        <f t="shared" si="30"/>
        <v>65.92616114703695</v>
      </c>
      <c r="AG1019" s="2">
        <f t="shared" si="31"/>
        <v>60.62284194623156</v>
      </c>
      <c r="AH1019" s="22">
        <f>AC1019-AE1019</f>
        <v>2.9454984533657438</v>
      </c>
    </row>
    <row r="1020" spans="1:34" x14ac:dyDescent="0.25">
      <c r="A1020" s="1">
        <f>DATEVALUE(Sheet1!A1019)</f>
        <v>46050</v>
      </c>
      <c r="B1020" s="2">
        <f>VALUE(Sheet1!B1019)</f>
        <v>65.87</v>
      </c>
      <c r="C1020" s="9">
        <f>(B1020-B1019)/B1019</f>
        <v>-5.2854122621563623E-3</v>
      </c>
      <c r="D1020" s="2">
        <f>MAX(D1019,B1020)</f>
        <v>103.9</v>
      </c>
      <c r="E1020" s="9">
        <f>(B1020-D1020)/D1020</f>
        <v>-0.3660250240615977</v>
      </c>
      <c r="AB1020" s="1">
        <f>A1020</f>
        <v>46050</v>
      </c>
      <c r="AC1020" s="2">
        <f>B1020</f>
        <v>65.87</v>
      </c>
      <c r="AD1020" s="2">
        <f>1018</f>
        <v>1018</v>
      </c>
      <c r="AE1020" s="2">
        <f>INTERCEPT($AC$3:$AC$1136,$AD$3:$AD$1136)+SLOPE($AC$3:$AC$1136,$AD$3:$AD$1136)*AD1020</f>
        <v>63.255789583221812</v>
      </c>
      <c r="AF1020" s="2">
        <f t="shared" si="30"/>
        <v>65.907449183624507</v>
      </c>
      <c r="AG1020" s="2">
        <f t="shared" si="31"/>
        <v>60.604129982819117</v>
      </c>
      <c r="AH1020" s="22">
        <f>AC1020-AE1020</f>
        <v>2.6142104167781923</v>
      </c>
    </row>
    <row r="1021" spans="1:34" x14ac:dyDescent="0.25">
      <c r="A1021" s="1">
        <f>DATEVALUE(Sheet1!A1020)</f>
        <v>46051</v>
      </c>
      <c r="B1021" s="2">
        <f>VALUE(Sheet1!B1020)</f>
        <v>65.959999999999994</v>
      </c>
      <c r="C1021" s="9">
        <f>(B1021-B1020)/B1020</f>
        <v>1.3663276149990769E-3</v>
      </c>
      <c r="D1021" s="2">
        <f>MAX(D1020,B1021)</f>
        <v>103.9</v>
      </c>
      <c r="E1021" s="9">
        <f>(B1021-D1021)/D1021</f>
        <v>-0.36515880654475469</v>
      </c>
      <c r="AB1021" s="1">
        <f>A1021</f>
        <v>46051</v>
      </c>
      <c r="AC1021" s="2">
        <f>B1021</f>
        <v>65.959999999999994</v>
      </c>
      <c r="AD1021" s="2">
        <f>1019</f>
        <v>1019</v>
      </c>
      <c r="AE1021" s="2">
        <f>INTERCEPT($AC$3:$AC$1136,$AD$3:$AD$1136)+SLOPE($AC$3:$AC$1136,$AD$3:$AD$1136)*AD1021</f>
        <v>63.237077619809355</v>
      </c>
      <c r="AF1021" s="2">
        <f t="shared" si="30"/>
        <v>65.88873722021205</v>
      </c>
      <c r="AG1021" s="2">
        <f t="shared" si="31"/>
        <v>60.58541801940666</v>
      </c>
      <c r="AH1021" s="22">
        <f>AC1021-AE1021</f>
        <v>2.7229223801906386</v>
      </c>
    </row>
    <row r="1022" spans="1:34" x14ac:dyDescent="0.25">
      <c r="A1022" s="1">
        <f>DATEVALUE(Sheet1!A1021)</f>
        <v>46052</v>
      </c>
      <c r="B1022" s="2">
        <f>VALUE(Sheet1!B1021)</f>
        <v>66.099999999999994</v>
      </c>
      <c r="C1022" s="9">
        <f>(B1022-B1021)/B1021</f>
        <v>2.1224984839296633E-3</v>
      </c>
      <c r="D1022" s="2">
        <f>MAX(D1021,B1022)</f>
        <v>103.9</v>
      </c>
      <c r="E1022" s="9">
        <f>(B1022-D1022)/D1022</f>
        <v>-0.36381135707410983</v>
      </c>
      <c r="AB1022" s="1">
        <f>A1022</f>
        <v>46052</v>
      </c>
      <c r="AC1022" s="2">
        <f>B1022</f>
        <v>66.099999999999994</v>
      </c>
      <c r="AD1022" s="2">
        <f>1020</f>
        <v>1020</v>
      </c>
      <c r="AE1022" s="2">
        <f>INTERCEPT($AC$3:$AC$1136,$AD$3:$AD$1136)+SLOPE($AC$3:$AC$1136,$AD$3:$AD$1136)*AD1022</f>
        <v>63.218365656396912</v>
      </c>
      <c r="AF1022" s="2">
        <f t="shared" si="30"/>
        <v>65.870025256799607</v>
      </c>
      <c r="AG1022" s="2">
        <f t="shared" si="31"/>
        <v>60.566706055994217</v>
      </c>
      <c r="AH1022" s="22">
        <f>AC1022-AE1022</f>
        <v>2.881634343603082</v>
      </c>
    </row>
    <row r="1023" spans="1:34" x14ac:dyDescent="0.25">
      <c r="A1023" s="1">
        <f>DATEVALUE(Sheet1!A1022)</f>
        <v>46055</v>
      </c>
      <c r="B1023" s="2">
        <f>VALUE(Sheet1!B1022)</f>
        <v>66.17</v>
      </c>
      <c r="C1023" s="9">
        <f>(B1023-B1022)/B1022</f>
        <v>1.0590015128594159E-3</v>
      </c>
      <c r="D1023" s="2">
        <f>MAX(D1022,B1023)</f>
        <v>103.9</v>
      </c>
      <c r="E1023" s="9">
        <f>(B1023-D1023)/D1023</f>
        <v>-0.36313763233878732</v>
      </c>
      <c r="AB1023" s="1">
        <f>A1023</f>
        <v>46055</v>
      </c>
      <c r="AC1023" s="2">
        <f>B1023</f>
        <v>66.17</v>
      </c>
      <c r="AD1023" s="2">
        <f>1021</f>
        <v>1021</v>
      </c>
      <c r="AE1023" s="2">
        <f>INTERCEPT($AC$3:$AC$1136,$AD$3:$AD$1136)+SLOPE($AC$3:$AC$1136,$AD$3:$AD$1136)*AD1023</f>
        <v>63.199653692984469</v>
      </c>
      <c r="AF1023" s="2">
        <f t="shared" si="30"/>
        <v>65.851313293387165</v>
      </c>
      <c r="AG1023" s="2">
        <f t="shared" si="31"/>
        <v>60.547994092581774</v>
      </c>
      <c r="AH1023" s="22">
        <f>AC1023-AE1023</f>
        <v>2.9703463070155323</v>
      </c>
    </row>
    <row r="1024" spans="1:34" x14ac:dyDescent="0.25">
      <c r="A1024" s="1">
        <f>DATEVALUE(Sheet1!A1023)</f>
        <v>46056</v>
      </c>
      <c r="B1024" s="2">
        <f>VALUE(Sheet1!B1023)</f>
        <v>66.28</v>
      </c>
      <c r="C1024" s="9">
        <f>(B1024-B1023)/B1023</f>
        <v>1.6623847665104947E-3</v>
      </c>
      <c r="D1024" s="2">
        <f>MAX(D1023,B1024)</f>
        <v>103.9</v>
      </c>
      <c r="E1024" s="9">
        <f>(B1024-D1024)/D1024</f>
        <v>-0.36207892204042352</v>
      </c>
      <c r="AB1024" s="1">
        <f>A1024</f>
        <v>46056</v>
      </c>
      <c r="AC1024" s="2">
        <f>B1024</f>
        <v>66.28</v>
      </c>
      <c r="AD1024" s="2">
        <f>1022</f>
        <v>1022</v>
      </c>
      <c r="AE1024" s="2">
        <f>INTERCEPT($AC$3:$AC$1136,$AD$3:$AD$1136)+SLOPE($AC$3:$AC$1136,$AD$3:$AD$1136)*AD1024</f>
        <v>63.180941729572019</v>
      </c>
      <c r="AF1024" s="2">
        <f t="shared" si="30"/>
        <v>65.832601329974722</v>
      </c>
      <c r="AG1024" s="2">
        <f t="shared" si="31"/>
        <v>60.529282129169324</v>
      </c>
      <c r="AH1024" s="22">
        <f>AC1024-AE1024</f>
        <v>3.0990582704279817</v>
      </c>
    </row>
    <row r="1025" spans="1:34" x14ac:dyDescent="0.25">
      <c r="A1025" s="1">
        <f>DATEVALUE(Sheet1!A1024)</f>
        <v>46057</v>
      </c>
      <c r="B1025" s="2">
        <f>VALUE(Sheet1!B1024)</f>
        <v>66.44</v>
      </c>
      <c r="C1025" s="9">
        <f>(B1025-B1024)/B1024</f>
        <v>2.4140012070005519E-3</v>
      </c>
      <c r="D1025" s="2">
        <f>MAX(D1024,B1025)</f>
        <v>103.9</v>
      </c>
      <c r="E1025" s="9">
        <f>(B1025-D1025)/D1025</f>
        <v>-0.360538979788258</v>
      </c>
      <c r="AB1025" s="1">
        <f>A1025</f>
        <v>46057</v>
      </c>
      <c r="AC1025" s="2">
        <f>B1025</f>
        <v>66.44</v>
      </c>
      <c r="AD1025" s="2">
        <f>1023</f>
        <v>1023</v>
      </c>
      <c r="AE1025" s="2">
        <f>INTERCEPT($AC$3:$AC$1136,$AD$3:$AD$1136)+SLOPE($AC$3:$AC$1136,$AD$3:$AD$1136)*AD1025</f>
        <v>63.16222976615957</v>
      </c>
      <c r="AF1025" s="2">
        <f t="shared" si="30"/>
        <v>65.813889366562265</v>
      </c>
      <c r="AG1025" s="2">
        <f t="shared" si="31"/>
        <v>60.510570165756874</v>
      </c>
      <c r="AH1025" s="22">
        <f>AC1025-AE1025</f>
        <v>3.2777702338404282</v>
      </c>
    </row>
    <row r="1026" spans="1:34" x14ac:dyDescent="0.25">
      <c r="A1026" s="1">
        <f>DATEVALUE(Sheet1!A1025)</f>
        <v>46058</v>
      </c>
      <c r="B1026" s="2">
        <f>VALUE(Sheet1!B1025)</f>
        <v>66.489999999999995</v>
      </c>
      <c r="C1026" s="9">
        <f>(B1026-B1025)/B1025</f>
        <v>7.5255869957852441E-4</v>
      </c>
      <c r="D1026" s="2">
        <f>MAX(D1025,B1026)</f>
        <v>103.9</v>
      </c>
      <c r="E1026" s="9">
        <f>(B1026-D1026)/D1026</f>
        <v>-0.36005774783445627</v>
      </c>
      <c r="AB1026" s="1">
        <f>A1026</f>
        <v>46058</v>
      </c>
      <c r="AC1026" s="2">
        <f>B1026</f>
        <v>66.489999999999995</v>
      </c>
      <c r="AD1026" s="2">
        <f>1024</f>
        <v>1024</v>
      </c>
      <c r="AE1026" s="2">
        <f>INTERCEPT($AC$3:$AC$1136,$AD$3:$AD$1136)+SLOPE($AC$3:$AC$1136,$AD$3:$AD$1136)*AD1026</f>
        <v>63.143517802747127</v>
      </c>
      <c r="AF1026" s="2">
        <f t="shared" si="30"/>
        <v>65.795177403149822</v>
      </c>
      <c r="AG1026" s="2">
        <f t="shared" si="31"/>
        <v>60.491858202344432</v>
      </c>
      <c r="AH1026" s="22">
        <f>AC1026-AE1026</f>
        <v>3.3464821972528682</v>
      </c>
    </row>
    <row r="1027" spans="1:34" x14ac:dyDescent="0.25">
      <c r="A1027" s="1">
        <f>DATEVALUE(Sheet1!A1026)</f>
        <v>46059</v>
      </c>
      <c r="B1027" s="2">
        <f>VALUE(Sheet1!B1026)</f>
        <v>66.78</v>
      </c>
      <c r="C1027" s="9">
        <f>(B1027-B1026)/B1026</f>
        <v>4.3615581290420554E-3</v>
      </c>
      <c r="D1027" s="2">
        <f>MAX(D1026,B1027)</f>
        <v>103.9</v>
      </c>
      <c r="E1027" s="9">
        <f>(B1027-D1027)/D1027</f>
        <v>-0.35726660250240616</v>
      </c>
      <c r="AB1027" s="1">
        <f>A1027</f>
        <v>46059</v>
      </c>
      <c r="AC1027" s="2">
        <f>B1027</f>
        <v>66.78</v>
      </c>
      <c r="AD1027" s="2">
        <f>1025</f>
        <v>1025</v>
      </c>
      <c r="AE1027" s="2">
        <f>INTERCEPT($AC$3:$AC$1136,$AD$3:$AD$1136)+SLOPE($AC$3:$AC$1136,$AD$3:$AD$1136)*AD1027</f>
        <v>63.124805839334684</v>
      </c>
      <c r="AF1027" s="2">
        <f t="shared" si="30"/>
        <v>65.776465439737379</v>
      </c>
      <c r="AG1027" s="2">
        <f t="shared" si="31"/>
        <v>60.473146238931989</v>
      </c>
      <c r="AH1027" s="22">
        <f>AC1027-AE1027</f>
        <v>3.6551941606653173</v>
      </c>
    </row>
    <row r="1028" spans="1:34" x14ac:dyDescent="0.25">
      <c r="A1028" s="1">
        <f>DATEVALUE(Sheet1!A1027)</f>
        <v>46062</v>
      </c>
      <c r="B1028" s="2">
        <f>VALUE(Sheet1!B1027)</f>
        <v>67.09</v>
      </c>
      <c r="C1028" s="9">
        <f>(B1028-B1027)/B1027</f>
        <v>4.6421084156933554E-3</v>
      </c>
      <c r="D1028" s="2">
        <f>MAX(D1027,B1028)</f>
        <v>103.9</v>
      </c>
      <c r="E1028" s="9">
        <f>(B1028-D1028)/D1028</f>
        <v>-0.35428296438883544</v>
      </c>
      <c r="AB1028" s="1">
        <f>A1028</f>
        <v>46062</v>
      </c>
      <c r="AC1028" s="2">
        <f>B1028</f>
        <v>67.09</v>
      </c>
      <c r="AD1028" s="2">
        <f>1026</f>
        <v>1026</v>
      </c>
      <c r="AE1028" s="2">
        <f>INTERCEPT($AC$3:$AC$1136,$AD$3:$AD$1136)+SLOPE($AC$3:$AC$1136,$AD$3:$AD$1136)*AD1028</f>
        <v>63.106093875922234</v>
      </c>
      <c r="AF1028" s="2">
        <f t="shared" ref="AF1028:AF1091" si="32">AE1028+$AJ$5*$AJ$4</f>
        <v>65.757753476324936</v>
      </c>
      <c r="AG1028" s="2">
        <f t="shared" ref="AG1028:AG1091" si="33">AE1028-$AJ$5*$AJ$4</f>
        <v>60.454434275519539</v>
      </c>
      <c r="AH1028" s="22">
        <f>AC1028-AE1028</f>
        <v>3.9839061240777696</v>
      </c>
    </row>
    <row r="1029" spans="1:34" x14ac:dyDescent="0.25">
      <c r="A1029" s="1">
        <f>DATEVALUE(Sheet1!A1028)</f>
        <v>46063</v>
      </c>
      <c r="B1029" s="2">
        <f>VALUE(Sheet1!B1028)</f>
        <v>67.06</v>
      </c>
      <c r="C1029" s="9">
        <f>(B1029-B1028)/B1028</f>
        <v>-4.4716053063051326E-4</v>
      </c>
      <c r="D1029" s="2">
        <f>MAX(D1028,B1029)</f>
        <v>103.9</v>
      </c>
      <c r="E1029" s="9">
        <f>(B1029-D1029)/D1029</f>
        <v>-0.35457170356111645</v>
      </c>
      <c r="AB1029" s="1">
        <f>A1029</f>
        <v>46063</v>
      </c>
      <c r="AC1029" s="2">
        <f>B1029</f>
        <v>67.06</v>
      </c>
      <c r="AD1029" s="2">
        <f>1027</f>
        <v>1027</v>
      </c>
      <c r="AE1029" s="2">
        <f>INTERCEPT($AC$3:$AC$1136,$AD$3:$AD$1136)+SLOPE($AC$3:$AC$1136,$AD$3:$AD$1136)*AD1029</f>
        <v>63.087381912509784</v>
      </c>
      <c r="AF1029" s="2">
        <f t="shared" si="32"/>
        <v>65.739041512912479</v>
      </c>
      <c r="AG1029" s="2">
        <f t="shared" si="33"/>
        <v>60.435722312107089</v>
      </c>
      <c r="AH1029" s="22">
        <f>AC1029-AE1029</f>
        <v>3.9726180874902184</v>
      </c>
    </row>
    <row r="1030" spans="1:34" x14ac:dyDescent="0.25">
      <c r="A1030" s="1">
        <f>DATEVALUE(Sheet1!A1029)</f>
        <v>46064</v>
      </c>
      <c r="B1030" s="2">
        <f>VALUE(Sheet1!B1029)</f>
        <v>67.209999999999994</v>
      </c>
      <c r="C1030" s="9">
        <f>(B1030-B1029)/B1029</f>
        <v>2.2368028631075377E-3</v>
      </c>
      <c r="D1030" s="2">
        <f>MAX(D1029,B1030)</f>
        <v>103.9</v>
      </c>
      <c r="E1030" s="9">
        <f>(B1030-D1030)/D1030</f>
        <v>-0.35312800769971137</v>
      </c>
      <c r="AB1030" s="1">
        <f>A1030</f>
        <v>46064</v>
      </c>
      <c r="AC1030" s="2">
        <f>B1030</f>
        <v>67.209999999999994</v>
      </c>
      <c r="AD1030" s="2">
        <f>1028</f>
        <v>1028</v>
      </c>
      <c r="AE1030" s="2">
        <f>INTERCEPT($AC$3:$AC$1136,$AD$3:$AD$1136)+SLOPE($AC$3:$AC$1136,$AD$3:$AD$1136)*AD1030</f>
        <v>63.068669949097341</v>
      </c>
      <c r="AF1030" s="2">
        <f t="shared" si="32"/>
        <v>65.720329549500036</v>
      </c>
      <c r="AG1030" s="2">
        <f t="shared" si="33"/>
        <v>60.417010348694646</v>
      </c>
      <c r="AH1030" s="22">
        <f>AC1030-AE1030</f>
        <v>4.1413300509026527</v>
      </c>
    </row>
    <row r="1031" spans="1:34" x14ac:dyDescent="0.25">
      <c r="A1031" s="1">
        <f>DATEVALUE(Sheet1!A1030)</f>
        <v>46065</v>
      </c>
      <c r="B1031" s="2">
        <f>VALUE(Sheet1!B1030)</f>
        <v>67.67</v>
      </c>
      <c r="C1031" s="9">
        <f>(B1031-B1030)/B1030</f>
        <v>6.8442196101771756E-3</v>
      </c>
      <c r="D1031" s="2">
        <f>MAX(D1030,B1031)</f>
        <v>103.9</v>
      </c>
      <c r="E1031" s="9">
        <f>(B1031-D1031)/D1031</f>
        <v>-0.34870067372473534</v>
      </c>
      <c r="AB1031" s="1">
        <f>A1031</f>
        <v>46065</v>
      </c>
      <c r="AC1031" s="2">
        <f>B1031</f>
        <v>67.67</v>
      </c>
      <c r="AD1031" s="2">
        <f>1029</f>
        <v>1029</v>
      </c>
      <c r="AE1031" s="2">
        <f>INTERCEPT($AC$3:$AC$1136,$AD$3:$AD$1136)+SLOPE($AC$3:$AC$1136,$AD$3:$AD$1136)*AD1031</f>
        <v>63.049957985684898</v>
      </c>
      <c r="AF1031" s="2">
        <f t="shared" si="32"/>
        <v>65.701617586087593</v>
      </c>
      <c r="AG1031" s="2">
        <f t="shared" si="33"/>
        <v>60.398298385282203</v>
      </c>
      <c r="AH1031" s="22">
        <f>AC1031-AE1031</f>
        <v>4.6200420143151035</v>
      </c>
    </row>
    <row r="1032" spans="1:34" x14ac:dyDescent="0.25">
      <c r="A1032" s="1">
        <f>DATEVALUE(Sheet1!A1031)</f>
        <v>46066</v>
      </c>
      <c r="B1032" s="2">
        <f>VALUE(Sheet1!B1031)</f>
        <v>68.14</v>
      </c>
      <c r="C1032" s="9">
        <f>(B1032-B1031)/B1031</f>
        <v>6.9454706664696152E-3</v>
      </c>
      <c r="D1032" s="2">
        <f>MAX(D1031,B1032)</f>
        <v>103.9</v>
      </c>
      <c r="E1032" s="9">
        <f>(B1032-D1032)/D1032</f>
        <v>-0.34417709335899904</v>
      </c>
      <c r="AB1032" s="1">
        <f>A1032</f>
        <v>46066</v>
      </c>
      <c r="AC1032" s="2">
        <f>B1032</f>
        <v>68.14</v>
      </c>
      <c r="AD1032" s="2">
        <f>1030</f>
        <v>1030</v>
      </c>
      <c r="AE1032" s="2">
        <f>INTERCEPT($AC$3:$AC$1136,$AD$3:$AD$1136)+SLOPE($AC$3:$AC$1136,$AD$3:$AD$1136)*AD1032</f>
        <v>63.031246022272441</v>
      </c>
      <c r="AF1032" s="2">
        <f t="shared" si="32"/>
        <v>65.682905622675136</v>
      </c>
      <c r="AG1032" s="2">
        <f t="shared" si="33"/>
        <v>60.379586421869746</v>
      </c>
      <c r="AH1032" s="22">
        <f>AC1032-AE1032</f>
        <v>5.1087539777275595</v>
      </c>
    </row>
    <row r="1033" spans="1:34" x14ac:dyDescent="0.25">
      <c r="A1033" s="1">
        <f>DATEVALUE(Sheet1!A1032)</f>
        <v>46071</v>
      </c>
      <c r="B1033" s="2">
        <f>VALUE(Sheet1!B1032)</f>
        <v>68.39</v>
      </c>
      <c r="C1033" s="9">
        <f>(B1033-B1032)/B1032</f>
        <v>3.6689169357205752E-3</v>
      </c>
      <c r="D1033" s="2">
        <f>MAX(D1032,B1033)</f>
        <v>103.9</v>
      </c>
      <c r="E1033" s="9">
        <f>(B1033-D1033)/D1033</f>
        <v>-0.34177093358999039</v>
      </c>
      <c r="AB1033" s="1">
        <f>A1033</f>
        <v>46071</v>
      </c>
      <c r="AC1033" s="2">
        <f>B1033</f>
        <v>68.39</v>
      </c>
      <c r="AD1033" s="2">
        <f>1031</f>
        <v>1031</v>
      </c>
      <c r="AE1033" s="2">
        <f>INTERCEPT($AC$3:$AC$1136,$AD$3:$AD$1136)+SLOPE($AC$3:$AC$1136,$AD$3:$AD$1136)*AD1033</f>
        <v>63.012534058859998</v>
      </c>
      <c r="AF1033" s="2">
        <f t="shared" si="32"/>
        <v>65.664193659262693</v>
      </c>
      <c r="AG1033" s="2">
        <f t="shared" si="33"/>
        <v>60.360874458457303</v>
      </c>
      <c r="AH1033" s="22">
        <f>AC1033-AE1033</f>
        <v>5.3774659411400023</v>
      </c>
    </row>
    <row r="1034" spans="1:34" x14ac:dyDescent="0.25">
      <c r="A1034" s="1">
        <f>DATEVALUE(Sheet1!A1033)</f>
        <v>46072</v>
      </c>
      <c r="B1034" s="2">
        <f>VALUE(Sheet1!B1033)</f>
        <v>68.8</v>
      </c>
      <c r="C1034" s="9">
        <f>(B1034-B1033)/B1033</f>
        <v>5.9950285129404387E-3</v>
      </c>
      <c r="D1034" s="2">
        <f>MAX(D1033,B1034)</f>
        <v>103.9</v>
      </c>
      <c r="E1034" s="9">
        <f>(B1034-D1034)/D1034</f>
        <v>-0.33782483156881621</v>
      </c>
      <c r="AB1034" s="1">
        <f>A1034</f>
        <v>46072</v>
      </c>
      <c r="AC1034" s="2">
        <f>B1034</f>
        <v>68.8</v>
      </c>
      <c r="AD1034" s="2">
        <f>1032</f>
        <v>1032</v>
      </c>
      <c r="AE1034" s="2">
        <f>INTERCEPT($AC$3:$AC$1136,$AD$3:$AD$1136)+SLOPE($AC$3:$AC$1136,$AD$3:$AD$1136)*AD1034</f>
        <v>62.993822095447555</v>
      </c>
      <c r="AF1034" s="2">
        <f t="shared" si="32"/>
        <v>65.645481695850251</v>
      </c>
      <c r="AG1034" s="2">
        <f t="shared" si="33"/>
        <v>60.34216249504486</v>
      </c>
      <c r="AH1034" s="22">
        <f>AC1034-AE1034</f>
        <v>5.8061779045524418</v>
      </c>
    </row>
    <row r="1035" spans="1:34" x14ac:dyDescent="0.25">
      <c r="A1035" s="1">
        <f>DATEVALUE(Sheet1!A1034)</f>
        <v>46073</v>
      </c>
      <c r="B1035" s="2">
        <f>VALUE(Sheet1!B1034)</f>
        <v>68.739999999999995</v>
      </c>
      <c r="C1035" s="9">
        <f>(B1035-B1034)/B1034</f>
        <v>-8.7209302325584701E-4</v>
      </c>
      <c r="D1035" s="2">
        <f>MAX(D1034,B1035)</f>
        <v>103.9</v>
      </c>
      <c r="E1035" s="9">
        <f>(B1035-D1035)/D1035</f>
        <v>-0.33840230991337833</v>
      </c>
      <c r="AB1035" s="1">
        <f>A1035</f>
        <v>46073</v>
      </c>
      <c r="AC1035" s="2">
        <f>B1035</f>
        <v>68.739999999999995</v>
      </c>
      <c r="AD1035" s="2">
        <f>1033</f>
        <v>1033</v>
      </c>
      <c r="AE1035" s="2">
        <f>INTERCEPT($AC$3:$AC$1136,$AD$3:$AD$1136)+SLOPE($AC$3:$AC$1136,$AD$3:$AD$1136)*AD1035</f>
        <v>62.975110132035105</v>
      </c>
      <c r="AF1035" s="2">
        <f t="shared" si="32"/>
        <v>65.626769732437808</v>
      </c>
      <c r="AG1035" s="2">
        <f t="shared" si="33"/>
        <v>60.32345053163241</v>
      </c>
      <c r="AH1035" s="22">
        <f>AC1035-AE1035</f>
        <v>5.7648898679648894</v>
      </c>
    </row>
    <row r="1036" spans="1:34" x14ac:dyDescent="0.25">
      <c r="A1036" s="1">
        <f>DATEVALUE(Sheet1!A1035)</f>
        <v>46076</v>
      </c>
      <c r="B1036" s="2">
        <f>VALUE(Sheet1!B1035)</f>
        <v>69.02</v>
      </c>
      <c r="C1036" s="9">
        <f>(B1036-B1035)/B1035</f>
        <v>4.0733197556008316E-3</v>
      </c>
      <c r="D1036" s="2">
        <f>MAX(D1035,B1036)</f>
        <v>103.9</v>
      </c>
      <c r="E1036" s="9">
        <f>(B1036-D1036)/D1036</f>
        <v>-0.33570741097208862</v>
      </c>
      <c r="AB1036" s="1">
        <f>A1036</f>
        <v>46076</v>
      </c>
      <c r="AC1036" s="2">
        <f>B1036</f>
        <v>69.02</v>
      </c>
      <c r="AD1036" s="2">
        <f>1034</f>
        <v>1034</v>
      </c>
      <c r="AE1036" s="2">
        <f>INTERCEPT($AC$3:$AC$1136,$AD$3:$AD$1136)+SLOPE($AC$3:$AC$1136,$AD$3:$AD$1136)*AD1036</f>
        <v>62.956398168622655</v>
      </c>
      <c r="AF1036" s="2">
        <f t="shared" si="32"/>
        <v>65.608057769025351</v>
      </c>
      <c r="AG1036" s="2">
        <f t="shared" si="33"/>
        <v>60.30473856821996</v>
      </c>
      <c r="AH1036" s="22">
        <f>AC1036-AE1036</f>
        <v>6.0636018313773405</v>
      </c>
    </row>
    <row r="1037" spans="1:34" x14ac:dyDescent="0.25">
      <c r="A1037" s="1">
        <f>DATEVALUE(Sheet1!A1036)</f>
        <v>46077</v>
      </c>
      <c r="B1037" s="2">
        <f>VALUE(Sheet1!B1036)</f>
        <v>69.14</v>
      </c>
      <c r="C1037" s="9">
        <f>(B1037-B1036)/B1036</f>
        <v>1.7386264850768553E-3</v>
      </c>
      <c r="D1037" s="2">
        <f>MAX(D1036,B1037)</f>
        <v>103.9</v>
      </c>
      <c r="E1037" s="9">
        <f>(B1037-D1037)/D1037</f>
        <v>-0.33455245428296443</v>
      </c>
      <c r="AB1037" s="1">
        <f>A1037</f>
        <v>46077</v>
      </c>
      <c r="AC1037" s="2">
        <f>B1037</f>
        <v>69.14</v>
      </c>
      <c r="AD1037" s="2">
        <f>1035</f>
        <v>1035</v>
      </c>
      <c r="AE1037" s="2">
        <f>INTERCEPT($AC$3:$AC$1136,$AD$3:$AD$1136)+SLOPE($AC$3:$AC$1136,$AD$3:$AD$1136)*AD1037</f>
        <v>62.937686205210213</v>
      </c>
      <c r="AF1037" s="2">
        <f t="shared" si="32"/>
        <v>65.589345805612908</v>
      </c>
      <c r="AG1037" s="2">
        <f t="shared" si="33"/>
        <v>60.286026604807518</v>
      </c>
      <c r="AH1037" s="22">
        <f>AC1037-AE1037</f>
        <v>6.2023137947897879</v>
      </c>
    </row>
    <row r="1038" spans="1:34" x14ac:dyDescent="0.25">
      <c r="A1038" s="1">
        <f>DATEVALUE(Sheet1!A1037)</f>
        <v>46078</v>
      </c>
      <c r="B1038" s="2">
        <f>VALUE(Sheet1!B1037)</f>
        <v>69.28</v>
      </c>
      <c r="C1038" s="9">
        <f>(B1038-B1037)/B1037</f>
        <v>2.0248770610355881E-3</v>
      </c>
      <c r="D1038" s="2">
        <f>MAX(D1037,B1038)</f>
        <v>103.9</v>
      </c>
      <c r="E1038" s="9">
        <f>(B1038-D1038)/D1038</f>
        <v>-0.33320500481231957</v>
      </c>
      <c r="AB1038" s="1">
        <f>A1038</f>
        <v>46078</v>
      </c>
      <c r="AC1038" s="2">
        <f>B1038</f>
        <v>69.28</v>
      </c>
      <c r="AD1038" s="2">
        <f>1036</f>
        <v>1036</v>
      </c>
      <c r="AE1038" s="2">
        <f>INTERCEPT($AC$3:$AC$1136,$AD$3:$AD$1136)+SLOPE($AC$3:$AC$1136,$AD$3:$AD$1136)*AD1038</f>
        <v>62.91897424179777</v>
      </c>
      <c r="AF1038" s="2">
        <f t="shared" si="32"/>
        <v>65.570633842200465</v>
      </c>
      <c r="AG1038" s="2">
        <f t="shared" si="33"/>
        <v>60.267314641395075</v>
      </c>
      <c r="AH1038" s="22">
        <f>AC1038-AE1038</f>
        <v>6.3610257582022314</v>
      </c>
    </row>
    <row r="1039" spans="1:34" x14ac:dyDescent="0.25">
      <c r="A1039" s="1">
        <f>DATEVALUE(Sheet1!A1038)</f>
        <v>46079</v>
      </c>
      <c r="B1039" s="2">
        <f>VALUE(Sheet1!B1038)</f>
        <v>69.28</v>
      </c>
      <c r="C1039" s="9">
        <f>(B1039-B1038)/B1038</f>
        <v>0</v>
      </c>
      <c r="D1039" s="2">
        <f>MAX(D1038,B1039)</f>
        <v>103.9</v>
      </c>
      <c r="E1039" s="9">
        <f>(B1039-D1039)/D1039</f>
        <v>-0.33320500481231957</v>
      </c>
      <c r="AB1039" s="1">
        <f>A1039</f>
        <v>46079</v>
      </c>
      <c r="AC1039" s="2">
        <f>B1039</f>
        <v>69.28</v>
      </c>
      <c r="AD1039" s="2">
        <f>1037</f>
        <v>1037</v>
      </c>
      <c r="AE1039" s="2">
        <f>INTERCEPT($AC$3:$AC$1136,$AD$3:$AD$1136)+SLOPE($AC$3:$AC$1136,$AD$3:$AD$1136)*AD1039</f>
        <v>62.90026227838532</v>
      </c>
      <c r="AF1039" s="2">
        <f t="shared" si="32"/>
        <v>65.551921878788022</v>
      </c>
      <c r="AG1039" s="2">
        <f t="shared" si="33"/>
        <v>60.248602677982625</v>
      </c>
      <c r="AH1039" s="22">
        <f>AC1039-AE1039</f>
        <v>6.3797377216146813</v>
      </c>
    </row>
    <row r="1040" spans="1:34" x14ac:dyDescent="0.25">
      <c r="A1040" s="1">
        <f>DATEVALUE(Sheet1!A1039)</f>
        <v>46080</v>
      </c>
      <c r="B1040" s="2">
        <f>VALUE(Sheet1!B1039)</f>
        <v>69.53</v>
      </c>
      <c r="C1040" s="9">
        <f>(B1040-B1039)/B1039</f>
        <v>3.6085450346420322E-3</v>
      </c>
      <c r="D1040" s="2">
        <f>MAX(D1039,B1040)</f>
        <v>103.9</v>
      </c>
      <c r="E1040" s="9">
        <f>(B1040-D1040)/D1040</f>
        <v>-0.33079884504331092</v>
      </c>
      <c r="AB1040" s="1">
        <f>A1040</f>
        <v>46080</v>
      </c>
      <c r="AC1040" s="2">
        <f>B1040</f>
        <v>69.53</v>
      </c>
      <c r="AD1040" s="2">
        <f>1038</f>
        <v>1038</v>
      </c>
      <c r="AE1040" s="2">
        <f>INTERCEPT($AC$3:$AC$1136,$AD$3:$AD$1136)+SLOPE($AC$3:$AC$1136,$AD$3:$AD$1136)*AD1040</f>
        <v>62.88155031497287</v>
      </c>
      <c r="AF1040" s="2">
        <f t="shared" si="32"/>
        <v>65.533209915375565</v>
      </c>
      <c r="AG1040" s="2">
        <f t="shared" si="33"/>
        <v>60.229890714570175</v>
      </c>
      <c r="AH1040" s="22">
        <f>AC1040-AE1040</f>
        <v>6.6484496850271313</v>
      </c>
    </row>
    <row r="1041" spans="1:34" x14ac:dyDescent="0.25">
      <c r="A1041" s="1">
        <f>DATEVALUE(Sheet1!A1040)</f>
        <v>46083</v>
      </c>
      <c r="B1041" s="2">
        <f>VALUE(Sheet1!B1040)</f>
        <v>69.75</v>
      </c>
      <c r="C1041" s="9">
        <f>(B1041-B1040)/B1040</f>
        <v>3.1641018265496745E-3</v>
      </c>
      <c r="D1041" s="2">
        <f>MAX(D1040,B1041)</f>
        <v>103.9</v>
      </c>
      <c r="E1041" s="9">
        <f>(B1041-D1041)/D1041</f>
        <v>-0.32868142444658327</v>
      </c>
      <c r="AB1041" s="1">
        <f>A1041</f>
        <v>46083</v>
      </c>
      <c r="AC1041" s="2">
        <f>B1041</f>
        <v>69.75</v>
      </c>
      <c r="AD1041" s="2">
        <f>1039</f>
        <v>1039</v>
      </c>
      <c r="AE1041" s="2">
        <f>INTERCEPT($AC$3:$AC$1136,$AD$3:$AD$1136)+SLOPE($AC$3:$AC$1136,$AD$3:$AD$1136)*AD1041</f>
        <v>62.862838351560427</v>
      </c>
      <c r="AF1041" s="2">
        <f t="shared" si="32"/>
        <v>65.514497951963122</v>
      </c>
      <c r="AG1041" s="2">
        <f t="shared" si="33"/>
        <v>60.211178751157732</v>
      </c>
      <c r="AH1041" s="22">
        <f>AC1041-AE1041</f>
        <v>6.887161648439573</v>
      </c>
    </row>
    <row r="1042" spans="1:34" x14ac:dyDescent="0.25">
      <c r="A1042" s="1">
        <f>DATEVALUE(Sheet1!A1041)</f>
        <v>46084</v>
      </c>
      <c r="B1042" s="2">
        <f>VALUE(Sheet1!B1041)</f>
        <v>69.98</v>
      </c>
      <c r="C1042" s="9">
        <f>(B1042-B1041)/B1041</f>
        <v>3.2974910394265805E-3</v>
      </c>
      <c r="D1042" s="2">
        <f>MAX(D1041,B1042)</f>
        <v>103.9</v>
      </c>
      <c r="E1042" s="9">
        <f>(B1042-D1042)/D1042</f>
        <v>-0.32646775745909529</v>
      </c>
      <c r="AB1042" s="1">
        <f>A1042</f>
        <v>46084</v>
      </c>
      <c r="AC1042" s="2">
        <f>B1042</f>
        <v>69.98</v>
      </c>
      <c r="AD1042" s="2">
        <f>1040</f>
        <v>1040</v>
      </c>
      <c r="AE1042" s="2">
        <f>INTERCEPT($AC$3:$AC$1136,$AD$3:$AD$1136)+SLOPE($AC$3:$AC$1136,$AD$3:$AD$1136)*AD1042</f>
        <v>62.844126388147984</v>
      </c>
      <c r="AF1042" s="2">
        <f t="shared" si="32"/>
        <v>65.495785988550679</v>
      </c>
      <c r="AG1042" s="2">
        <f t="shared" si="33"/>
        <v>60.192466787745289</v>
      </c>
      <c r="AH1042" s="22">
        <f>AC1042-AE1042</f>
        <v>7.1358736118520198</v>
      </c>
    </row>
    <row r="1043" spans="1:34" x14ac:dyDescent="0.25">
      <c r="A1043" s="1">
        <f>DATEVALUE(Sheet1!A1042)</f>
        <v>46085</v>
      </c>
      <c r="B1043" s="2">
        <f>VALUE(Sheet1!B1042)</f>
        <v>70.23</v>
      </c>
      <c r="C1043" s="9">
        <f>(B1043-B1042)/B1042</f>
        <v>3.5724492712203484E-3</v>
      </c>
      <c r="D1043" s="2">
        <f>MAX(D1042,B1043)</f>
        <v>103.9</v>
      </c>
      <c r="E1043" s="9">
        <f>(B1043-D1043)/D1043</f>
        <v>-0.32406159769008663</v>
      </c>
      <c r="AB1043" s="1">
        <f>A1043</f>
        <v>46085</v>
      </c>
      <c r="AC1043" s="2">
        <f>B1043</f>
        <v>70.23</v>
      </c>
      <c r="AD1043" s="2">
        <f>1041</f>
        <v>1041</v>
      </c>
      <c r="AE1043" s="2">
        <f>INTERCEPT($AC$3:$AC$1136,$AD$3:$AD$1136)+SLOPE($AC$3:$AC$1136,$AD$3:$AD$1136)*AD1043</f>
        <v>62.825414424735534</v>
      </c>
      <c r="AF1043" s="2">
        <f t="shared" si="32"/>
        <v>65.477074025138236</v>
      </c>
      <c r="AG1043" s="2">
        <f t="shared" si="33"/>
        <v>60.173754824332839</v>
      </c>
      <c r="AH1043" s="22">
        <f>AC1043-AE1043</f>
        <v>7.4045855752644698</v>
      </c>
    </row>
    <row r="1044" spans="1:34" x14ac:dyDescent="0.25">
      <c r="A1044" s="1">
        <f>DATEVALUE(Sheet1!A1043)</f>
        <v>46086</v>
      </c>
      <c r="B1044" s="2">
        <f>VALUE(Sheet1!B1043)</f>
        <v>70.239999999999995</v>
      </c>
      <c r="C1044" s="9">
        <f>(B1044-B1043)/B1043</f>
        <v>1.4238929232508762E-4</v>
      </c>
      <c r="D1044" s="2">
        <f>MAX(D1043,B1044)</f>
        <v>103.9</v>
      </c>
      <c r="E1044" s="9">
        <f>(B1044-D1044)/D1044</f>
        <v>-0.32396535129932635</v>
      </c>
      <c r="AB1044" s="1">
        <f>A1044</f>
        <v>46086</v>
      </c>
      <c r="AC1044" s="2">
        <f>B1044</f>
        <v>70.239999999999995</v>
      </c>
      <c r="AD1044" s="2">
        <f>1042</f>
        <v>1042</v>
      </c>
      <c r="AE1044" s="2">
        <f>INTERCEPT($AC$3:$AC$1136,$AD$3:$AD$1136)+SLOPE($AC$3:$AC$1136,$AD$3:$AD$1136)*AD1044</f>
        <v>62.806702461323084</v>
      </c>
      <c r="AF1044" s="2">
        <f t="shared" si="32"/>
        <v>65.458362061725779</v>
      </c>
      <c r="AG1044" s="2">
        <f t="shared" si="33"/>
        <v>60.155042860920389</v>
      </c>
      <c r="AH1044" s="22">
        <f>AC1044-AE1044</f>
        <v>7.4332975386769107</v>
      </c>
    </row>
    <row r="1045" spans="1:34" x14ac:dyDescent="0.25">
      <c r="A1045" s="1">
        <f>DATEVALUE(Sheet1!A1044)</f>
        <v>46087</v>
      </c>
      <c r="B1045" s="2">
        <f>VALUE(Sheet1!B1044)</f>
        <v>70.56</v>
      </c>
      <c r="C1045" s="9">
        <f>(B1045-B1044)/B1044</f>
        <v>4.5558086560365521E-3</v>
      </c>
      <c r="D1045" s="2">
        <f>MAX(D1044,B1045)</f>
        <v>103.9</v>
      </c>
      <c r="E1045" s="9">
        <f>(B1045-D1045)/D1045</f>
        <v>-0.32088546679499519</v>
      </c>
      <c r="AB1045" s="1">
        <f>A1045</f>
        <v>46087</v>
      </c>
      <c r="AC1045" s="2">
        <f>B1045</f>
        <v>70.56</v>
      </c>
      <c r="AD1045" s="2">
        <f>1043</f>
        <v>1043</v>
      </c>
      <c r="AE1045" s="2">
        <f>INTERCEPT($AC$3:$AC$1136,$AD$3:$AD$1136)+SLOPE($AC$3:$AC$1136,$AD$3:$AD$1136)*AD1045</f>
        <v>62.787990497910641</v>
      </c>
      <c r="AF1045" s="2">
        <f t="shared" si="32"/>
        <v>65.439650098313336</v>
      </c>
      <c r="AG1045" s="2">
        <f t="shared" si="33"/>
        <v>60.136330897507946</v>
      </c>
      <c r="AH1045" s="22">
        <f>AC1045-AE1045</f>
        <v>7.7720095020893609</v>
      </c>
    </row>
    <row r="1046" spans="1:34" x14ac:dyDescent="0.25">
      <c r="A1046" s="1">
        <f>DATEVALUE(Sheet1!A1045)</f>
        <v>46090</v>
      </c>
      <c r="B1046" s="2">
        <f>VALUE(Sheet1!B1045)</f>
        <v>70.63</v>
      </c>
      <c r="C1046" s="9">
        <f>(B1046-B1045)/B1045</f>
        <v>9.920634920633953E-4</v>
      </c>
      <c r="D1046" s="2">
        <f>MAX(D1045,B1046)</f>
        <v>103.9</v>
      </c>
      <c r="E1046" s="9">
        <f>(B1046-D1046)/D1046</f>
        <v>-0.32021174205967284</v>
      </c>
      <c r="AB1046" s="1">
        <f>A1046</f>
        <v>46090</v>
      </c>
      <c r="AC1046" s="2">
        <f>B1046</f>
        <v>70.63</v>
      </c>
      <c r="AD1046" s="2">
        <f>1044</f>
        <v>1044</v>
      </c>
      <c r="AE1046" s="2">
        <f>INTERCEPT($AC$3:$AC$1136,$AD$3:$AD$1136)+SLOPE($AC$3:$AC$1136,$AD$3:$AD$1136)*AD1046</f>
        <v>62.769278534498191</v>
      </c>
      <c r="AF1046" s="2">
        <f t="shared" si="32"/>
        <v>65.420938134900894</v>
      </c>
      <c r="AG1046" s="2">
        <f t="shared" si="33"/>
        <v>60.117618934095496</v>
      </c>
      <c r="AH1046" s="22">
        <f>AC1046-AE1046</f>
        <v>7.8607214655018041</v>
      </c>
    </row>
    <row r="1047" spans="1:34" x14ac:dyDescent="0.25">
      <c r="A1047" s="1">
        <f>DATEVALUE(Sheet1!A1046)</f>
        <v>46091</v>
      </c>
      <c r="B1047" s="2">
        <f>VALUE(Sheet1!B1046)</f>
        <v>71.09</v>
      </c>
      <c r="C1047" s="9">
        <f>(B1047-B1046)/B1046</f>
        <v>6.5128132521592519E-3</v>
      </c>
      <c r="D1047" s="2">
        <f>MAX(D1046,B1047)</f>
        <v>103.9</v>
      </c>
      <c r="E1047" s="9">
        <f>(B1047-D1047)/D1047</f>
        <v>-0.31578440808469682</v>
      </c>
      <c r="AB1047" s="1">
        <f>A1047</f>
        <v>46091</v>
      </c>
      <c r="AC1047" s="2">
        <f>B1047</f>
        <v>71.09</v>
      </c>
      <c r="AD1047" s="2">
        <f>1045</f>
        <v>1045</v>
      </c>
      <c r="AE1047" s="2">
        <f>INTERCEPT($AC$3:$AC$1136,$AD$3:$AD$1136)+SLOPE($AC$3:$AC$1136,$AD$3:$AD$1136)*AD1047</f>
        <v>62.750566571085741</v>
      </c>
      <c r="AF1047" s="2">
        <f t="shared" si="32"/>
        <v>65.402226171488437</v>
      </c>
      <c r="AG1047" s="2">
        <f t="shared" si="33"/>
        <v>60.098906970683046</v>
      </c>
      <c r="AH1047" s="22">
        <f>AC1047-AE1047</f>
        <v>8.339433428914262</v>
      </c>
    </row>
    <row r="1048" spans="1:34" x14ac:dyDescent="0.25">
      <c r="A1048" s="1">
        <f>DATEVALUE(Sheet1!A1047)</f>
        <v>46092</v>
      </c>
      <c r="B1048" s="2">
        <f>VALUE(Sheet1!B1047)</f>
        <v>71.319999999999993</v>
      </c>
      <c r="C1048" s="9">
        <f>(B1048-B1047)/B1047</f>
        <v>3.2353354902235161E-3</v>
      </c>
      <c r="D1048" s="2">
        <f>MAX(D1047,B1048)</f>
        <v>103.9</v>
      </c>
      <c r="E1048" s="9">
        <f>(B1048-D1048)/D1048</f>
        <v>-0.31357074109720895</v>
      </c>
      <c r="AB1048" s="1">
        <f>A1048</f>
        <v>46092</v>
      </c>
      <c r="AC1048" s="2">
        <f>B1048</f>
        <v>71.319999999999993</v>
      </c>
      <c r="AD1048" s="2">
        <f>1046</f>
        <v>1046</v>
      </c>
      <c r="AE1048" s="2">
        <f>INTERCEPT($AC$3:$AC$1136,$AD$3:$AD$1136)+SLOPE($AC$3:$AC$1136,$AD$3:$AD$1136)*AD1048</f>
        <v>62.731854607673299</v>
      </c>
      <c r="AF1048" s="2">
        <f t="shared" si="32"/>
        <v>65.383514208075994</v>
      </c>
      <c r="AG1048" s="2">
        <f t="shared" si="33"/>
        <v>60.080195007270603</v>
      </c>
      <c r="AH1048" s="22">
        <f>AC1048-AE1048</f>
        <v>8.5881453923266946</v>
      </c>
    </row>
    <row r="1049" spans="1:34" x14ac:dyDescent="0.25">
      <c r="A1049" s="1">
        <f>DATEVALUE(Sheet1!A1048)</f>
        <v>46093</v>
      </c>
      <c r="B1049" s="2">
        <f>VALUE(Sheet1!B1048)</f>
        <v>71.56</v>
      </c>
      <c r="C1049" s="9">
        <f>(B1049-B1048)/B1048</f>
        <v>3.3651149747617654E-3</v>
      </c>
      <c r="D1049" s="2">
        <f>MAX(D1048,B1049)</f>
        <v>103.9</v>
      </c>
      <c r="E1049" s="9">
        <f>(B1049-D1049)/D1049</f>
        <v>-0.31126082771896058</v>
      </c>
      <c r="AB1049" s="1">
        <f>A1049</f>
        <v>46093</v>
      </c>
      <c r="AC1049" s="2">
        <f>B1049</f>
        <v>71.56</v>
      </c>
      <c r="AD1049" s="2">
        <f>1047</f>
        <v>1047</v>
      </c>
      <c r="AE1049" s="2">
        <f>INTERCEPT($AC$3:$AC$1136,$AD$3:$AD$1136)+SLOPE($AC$3:$AC$1136,$AD$3:$AD$1136)*AD1049</f>
        <v>62.713142644260856</v>
      </c>
      <c r="AF1049" s="2">
        <f t="shared" si="32"/>
        <v>65.364802244663551</v>
      </c>
      <c r="AG1049" s="2">
        <f t="shared" si="33"/>
        <v>60.061483043858161</v>
      </c>
      <c r="AH1049" s="22">
        <f>AC1049-AE1049</f>
        <v>8.8468573557391466</v>
      </c>
    </row>
    <row r="1050" spans="1:34" x14ac:dyDescent="0.25">
      <c r="A1050" s="1">
        <f>DATEVALUE(Sheet1!A1049)</f>
        <v>46094</v>
      </c>
      <c r="B1050" s="2">
        <f>VALUE(Sheet1!B1049)</f>
        <v>71.98</v>
      </c>
      <c r="C1050" s="9">
        <f>(B1050-B1049)/B1049</f>
        <v>5.8692006707658142E-3</v>
      </c>
      <c r="D1050" s="2">
        <f>MAX(D1049,B1050)</f>
        <v>103.9</v>
      </c>
      <c r="E1050" s="9">
        <f>(B1050-D1050)/D1050</f>
        <v>-0.307218479307026</v>
      </c>
      <c r="AB1050" s="1">
        <f>A1050</f>
        <v>46094</v>
      </c>
      <c r="AC1050" s="2">
        <f>B1050</f>
        <v>71.98</v>
      </c>
      <c r="AD1050" s="2">
        <f>1048</f>
        <v>1048</v>
      </c>
      <c r="AE1050" s="2">
        <f>INTERCEPT($AC$3:$AC$1136,$AD$3:$AD$1136)+SLOPE($AC$3:$AC$1136,$AD$3:$AD$1136)*AD1050</f>
        <v>62.694430680848406</v>
      </c>
      <c r="AF1050" s="2">
        <f t="shared" si="32"/>
        <v>65.346090281251108</v>
      </c>
      <c r="AG1050" s="2">
        <f t="shared" si="33"/>
        <v>60.042771080445711</v>
      </c>
      <c r="AH1050" s="22">
        <f>AC1050-AE1050</f>
        <v>9.2855693191515982</v>
      </c>
    </row>
    <row r="1051" spans="1:34" x14ac:dyDescent="0.25">
      <c r="A1051" s="1">
        <f>DATEVALUE(Sheet1!A1050)</f>
        <v>46097</v>
      </c>
      <c r="B1051" s="2">
        <f>VALUE(Sheet1!B1050)</f>
        <v>72.099999999999994</v>
      </c>
      <c r="C1051" s="9">
        <f>(B1051-B1050)/B1050</f>
        <v>1.6671297582660507E-3</v>
      </c>
      <c r="D1051" s="2">
        <f>MAX(D1050,B1051)</f>
        <v>103.9</v>
      </c>
      <c r="E1051" s="9">
        <f>(B1051-D1051)/D1051</f>
        <v>-0.30606352261790193</v>
      </c>
      <c r="AB1051" s="1">
        <f>A1051</f>
        <v>46097</v>
      </c>
      <c r="AC1051" s="2">
        <f>B1051</f>
        <v>72.099999999999994</v>
      </c>
      <c r="AD1051" s="2">
        <f>1049</f>
        <v>1049</v>
      </c>
      <c r="AE1051" s="2">
        <f>INTERCEPT($AC$3:$AC$1136,$AD$3:$AD$1136)+SLOPE($AC$3:$AC$1136,$AD$3:$AD$1136)*AD1051</f>
        <v>62.675718717435956</v>
      </c>
      <c r="AF1051" s="2">
        <f t="shared" si="32"/>
        <v>65.327378317838651</v>
      </c>
      <c r="AG1051" s="2">
        <f t="shared" si="33"/>
        <v>60.024059117033261</v>
      </c>
      <c r="AH1051" s="22">
        <f>AC1051-AE1051</f>
        <v>9.4242812825640385</v>
      </c>
    </row>
    <row r="1052" spans="1:34" x14ac:dyDescent="0.25">
      <c r="A1052" s="1">
        <f>DATEVALUE(Sheet1!A1051)</f>
        <v>46098</v>
      </c>
      <c r="B1052" s="2">
        <f>VALUE(Sheet1!B1051)</f>
        <v>72.02</v>
      </c>
      <c r="C1052" s="9">
        <f>(B1052-B1051)/B1051</f>
        <v>-1.1095700416088529E-3</v>
      </c>
      <c r="D1052" s="2">
        <f>MAX(D1051,B1052)</f>
        <v>103.9</v>
      </c>
      <c r="E1052" s="9">
        <f>(B1052-D1052)/D1052</f>
        <v>-0.30683349374398466</v>
      </c>
      <c r="AB1052" s="1">
        <f>A1052</f>
        <v>46098</v>
      </c>
      <c r="AC1052" s="2">
        <f>B1052</f>
        <v>72.02</v>
      </c>
      <c r="AD1052" s="2">
        <f>1050</f>
        <v>1050</v>
      </c>
      <c r="AE1052" s="2">
        <f>INTERCEPT($AC$3:$AC$1136,$AD$3:$AD$1136)+SLOPE($AC$3:$AC$1136,$AD$3:$AD$1136)*AD1052</f>
        <v>62.657006754023513</v>
      </c>
      <c r="AF1052" s="2">
        <f t="shared" si="32"/>
        <v>65.308666354426208</v>
      </c>
      <c r="AG1052" s="2">
        <f t="shared" si="33"/>
        <v>60.005347153620818</v>
      </c>
      <c r="AH1052" s="22">
        <f>AC1052-AE1052</f>
        <v>9.3629932459764831</v>
      </c>
    </row>
    <row r="1053" spans="1:34" x14ac:dyDescent="0.25">
      <c r="A1053" s="1">
        <f>DATEVALUE(Sheet1!A1052)</f>
        <v>46099</v>
      </c>
      <c r="B1053" s="2">
        <f>VALUE(Sheet1!B1052)</f>
        <v>71.2</v>
      </c>
      <c r="C1053" s="9">
        <f>(B1053-B1052)/B1052</f>
        <v>-1.1385726187170136E-2</v>
      </c>
      <c r="D1053" s="2">
        <f>MAX(D1052,B1053)</f>
        <v>103.9</v>
      </c>
      <c r="E1053" s="9">
        <f>(B1053-D1053)/D1053</f>
        <v>-0.31472569778633303</v>
      </c>
      <c r="AB1053" s="1">
        <f>A1053</f>
        <v>46099</v>
      </c>
      <c r="AC1053" s="2">
        <f>B1053</f>
        <v>71.2</v>
      </c>
      <c r="AD1053" s="2">
        <f>1051</f>
        <v>1051</v>
      </c>
      <c r="AE1053" s="2">
        <f>INTERCEPT($AC$3:$AC$1136,$AD$3:$AD$1136)+SLOPE($AC$3:$AC$1136,$AD$3:$AD$1136)*AD1053</f>
        <v>62.63829479061107</v>
      </c>
      <c r="AF1053" s="2">
        <f t="shared" si="32"/>
        <v>65.289954391013765</v>
      </c>
      <c r="AG1053" s="2">
        <f t="shared" si="33"/>
        <v>59.986635190208375</v>
      </c>
      <c r="AH1053" s="22">
        <f>AC1053-AE1053</f>
        <v>8.5617052093889328</v>
      </c>
    </row>
    <row r="1054" spans="1:34" x14ac:dyDescent="0.25">
      <c r="A1054" s="1">
        <f>DATEVALUE(Sheet1!A1053)</f>
        <v>46100</v>
      </c>
      <c r="B1054" s="2">
        <f>VALUE(Sheet1!B1053)</f>
        <v>71.63</v>
      </c>
      <c r="C1054" s="9">
        <f>(B1054-B1053)/B1053</f>
        <v>6.0393258426965253E-3</v>
      </c>
      <c r="D1054" s="2">
        <f>MAX(D1053,B1054)</f>
        <v>103.9</v>
      </c>
      <c r="E1054" s="9">
        <f>(B1054-D1054)/D1054</f>
        <v>-0.31058710298363817</v>
      </c>
      <c r="AB1054" s="1">
        <f>A1054</f>
        <v>46100</v>
      </c>
      <c r="AC1054" s="2">
        <f>B1054</f>
        <v>71.63</v>
      </c>
      <c r="AD1054" s="2">
        <f>1052</f>
        <v>1052</v>
      </c>
      <c r="AE1054" s="2">
        <f>INTERCEPT($AC$3:$AC$1136,$AD$3:$AD$1136)+SLOPE($AC$3:$AC$1136,$AD$3:$AD$1136)*AD1054</f>
        <v>62.61958282719862</v>
      </c>
      <c r="AF1054" s="2">
        <f t="shared" si="32"/>
        <v>65.271242427601322</v>
      </c>
      <c r="AG1054" s="2">
        <f t="shared" si="33"/>
        <v>59.967923226795925</v>
      </c>
      <c r="AH1054" s="22">
        <f>AC1054-AE1054</f>
        <v>9.0104171728013753</v>
      </c>
    </row>
    <row r="1055" spans="1:34" x14ac:dyDescent="0.25">
      <c r="A1055" s="1">
        <f>DATEVALUE(Sheet1!A1054)</f>
        <v>46101</v>
      </c>
      <c r="B1055" s="2">
        <f>VALUE(Sheet1!B1054)</f>
        <v>71.37</v>
      </c>
      <c r="C1055" s="9">
        <f>(B1055-B1054)/B1054</f>
        <v>-3.6297640653356264E-3</v>
      </c>
      <c r="D1055" s="2">
        <f>MAX(D1054,B1055)</f>
        <v>103.9</v>
      </c>
      <c r="E1055" s="9">
        <f>(B1055-D1055)/D1055</f>
        <v>-0.31308950914340711</v>
      </c>
      <c r="AB1055" s="1">
        <f>A1055</f>
        <v>46101</v>
      </c>
      <c r="AC1055" s="2">
        <f>B1055</f>
        <v>71.37</v>
      </c>
      <c r="AD1055" s="2">
        <f>1053</f>
        <v>1053</v>
      </c>
      <c r="AE1055" s="2">
        <f>INTERCEPT($AC$3:$AC$1136,$AD$3:$AD$1136)+SLOPE($AC$3:$AC$1136,$AD$3:$AD$1136)*AD1055</f>
        <v>62.60087086378617</v>
      </c>
      <c r="AF1055" s="2">
        <f t="shared" si="32"/>
        <v>65.252530464188865</v>
      </c>
      <c r="AG1055" s="2">
        <f t="shared" si="33"/>
        <v>59.949211263383475</v>
      </c>
      <c r="AH1055" s="22">
        <f>AC1055-AE1055</f>
        <v>8.7691291362138344</v>
      </c>
    </row>
    <row r="1056" spans="1:34" x14ac:dyDescent="0.25">
      <c r="A1056" s="1">
        <f>DATEVALUE(Sheet1!A1055)</f>
        <v>46104</v>
      </c>
      <c r="B1056" s="2">
        <f>VALUE(Sheet1!B1055)</f>
        <v>71.25</v>
      </c>
      <c r="C1056" s="9">
        <f>(B1056-B1055)/B1055</f>
        <v>-1.681378730559122E-3</v>
      </c>
      <c r="D1056" s="2">
        <f>MAX(D1055,B1056)</f>
        <v>103.9</v>
      </c>
      <c r="E1056" s="9">
        <f>(B1056-D1056)/D1056</f>
        <v>-0.31424446583253129</v>
      </c>
      <c r="AB1056" s="1">
        <f>A1056</f>
        <v>46104</v>
      </c>
      <c r="AC1056" s="2">
        <f>B1056</f>
        <v>71.25</v>
      </c>
      <c r="AD1056" s="2">
        <f>1054</f>
        <v>1054</v>
      </c>
      <c r="AE1056" s="2">
        <f>INTERCEPT($AC$3:$AC$1136,$AD$3:$AD$1136)+SLOPE($AC$3:$AC$1136,$AD$3:$AD$1136)*AD1056</f>
        <v>62.582158900373727</v>
      </c>
      <c r="AF1056" s="2">
        <f t="shared" si="32"/>
        <v>65.233818500776422</v>
      </c>
      <c r="AG1056" s="2">
        <f t="shared" si="33"/>
        <v>59.930499299971032</v>
      </c>
      <c r="AH1056" s="22">
        <f>AC1056-AE1056</f>
        <v>8.6678410996262727</v>
      </c>
    </row>
    <row r="1057" spans="1:34" x14ac:dyDescent="0.25">
      <c r="A1057" s="1">
        <f>DATEVALUE(Sheet1!A1056)</f>
        <v>46105</v>
      </c>
      <c r="B1057" s="2">
        <f>VALUE(Sheet1!B1056)</f>
        <v>71.010000000000005</v>
      </c>
      <c r="C1057" s="9">
        <f>(B1057-B1056)/B1056</f>
        <v>-3.3684210526315071E-3</v>
      </c>
      <c r="D1057" s="2">
        <f>MAX(D1056,B1057)</f>
        <v>103.9</v>
      </c>
      <c r="E1057" s="9">
        <f>(B1057-D1057)/D1057</f>
        <v>-0.31655437921077956</v>
      </c>
      <c r="AB1057" s="1">
        <f>A1057</f>
        <v>46105</v>
      </c>
      <c r="AC1057" s="2">
        <f>B1057</f>
        <v>71.010000000000005</v>
      </c>
      <c r="AD1057" s="2">
        <f>1055</f>
        <v>1055</v>
      </c>
      <c r="AE1057" s="2">
        <f>INTERCEPT($AC$3:$AC$1136,$AD$3:$AD$1136)+SLOPE($AC$3:$AC$1136,$AD$3:$AD$1136)*AD1057</f>
        <v>62.563446936961277</v>
      </c>
      <c r="AF1057" s="2">
        <f t="shared" si="32"/>
        <v>65.21510653736398</v>
      </c>
      <c r="AG1057" s="2">
        <f t="shared" si="33"/>
        <v>59.911787336558582</v>
      </c>
      <c r="AH1057" s="22">
        <f>AC1057-AE1057</f>
        <v>8.4465530630387278</v>
      </c>
    </row>
    <row r="1058" spans="1:34" x14ac:dyDescent="0.25">
      <c r="A1058" s="1">
        <f>DATEVALUE(Sheet1!A1057)</f>
        <v>46106</v>
      </c>
      <c r="B1058" s="2">
        <f>VALUE(Sheet1!B1057)</f>
        <v>70.45</v>
      </c>
      <c r="C1058" s="9">
        <f>(B1058-B1057)/B1057</f>
        <v>-7.8862132094071578E-3</v>
      </c>
      <c r="D1058" s="2">
        <f>MAX(D1057,B1058)</f>
        <v>103.9</v>
      </c>
      <c r="E1058" s="9">
        <f>(B1058-D1058)/D1058</f>
        <v>-0.32194417709335899</v>
      </c>
      <c r="AB1058" s="1">
        <f>A1058</f>
        <v>46106</v>
      </c>
      <c r="AC1058" s="2">
        <f>B1058</f>
        <v>70.45</v>
      </c>
      <c r="AD1058" s="2">
        <f>1056</f>
        <v>1056</v>
      </c>
      <c r="AE1058" s="2">
        <f>INTERCEPT($AC$3:$AC$1136,$AD$3:$AD$1136)+SLOPE($AC$3:$AC$1136,$AD$3:$AD$1136)*AD1058</f>
        <v>62.544734973548827</v>
      </c>
      <c r="AF1058" s="2">
        <f t="shared" si="32"/>
        <v>65.196394573951522</v>
      </c>
      <c r="AG1058" s="2">
        <f t="shared" si="33"/>
        <v>59.893075373146132</v>
      </c>
      <c r="AH1058" s="22">
        <f>AC1058-AE1058</f>
        <v>7.9052650264511755</v>
      </c>
    </row>
    <row r="1059" spans="1:34" x14ac:dyDescent="0.25">
      <c r="A1059" s="1">
        <f>DATEVALUE(Sheet1!A1058)</f>
        <v>46107</v>
      </c>
      <c r="B1059" s="2">
        <f>VALUE(Sheet1!B1058)</f>
        <v>70.33</v>
      </c>
      <c r="C1059" s="9">
        <f>(B1059-B1058)/B1058</f>
        <v>-1.7033356990774243E-3</v>
      </c>
      <c r="D1059" s="2">
        <f>MAX(D1058,B1059)</f>
        <v>103.9</v>
      </c>
      <c r="E1059" s="9">
        <f>(B1059-D1059)/D1059</f>
        <v>-0.32309913378248323</v>
      </c>
      <c r="AB1059" s="1">
        <f>A1059</f>
        <v>46107</v>
      </c>
      <c r="AC1059" s="2">
        <f>B1059</f>
        <v>70.33</v>
      </c>
      <c r="AD1059" s="2">
        <f>1057</f>
        <v>1057</v>
      </c>
      <c r="AE1059" s="2">
        <f>INTERCEPT($AC$3:$AC$1136,$AD$3:$AD$1136)+SLOPE($AC$3:$AC$1136,$AD$3:$AD$1136)*AD1059</f>
        <v>62.526023010136385</v>
      </c>
      <c r="AF1059" s="2">
        <f t="shared" si="32"/>
        <v>65.17768261053908</v>
      </c>
      <c r="AG1059" s="2">
        <f t="shared" si="33"/>
        <v>59.874363409733689</v>
      </c>
      <c r="AH1059" s="22">
        <f>AC1059-AE1059</f>
        <v>7.8039769898636138</v>
      </c>
    </row>
    <row r="1060" spans="1:34" x14ac:dyDescent="0.25">
      <c r="A1060" s="1">
        <f>DATEVALUE(Sheet1!A1059)</f>
        <v>46108</v>
      </c>
      <c r="B1060" s="2">
        <f>VALUE(Sheet1!B1059)</f>
        <v>70.34</v>
      </c>
      <c r="C1060" s="9">
        <f>(B1060-B1059)/B1059</f>
        <v>1.4218683349929073E-4</v>
      </c>
      <c r="D1060" s="2">
        <f>MAX(D1059,B1060)</f>
        <v>103.9</v>
      </c>
      <c r="E1060" s="9">
        <f>(B1060-D1060)/D1060</f>
        <v>-0.32300288739172284</v>
      </c>
      <c r="AB1060" s="1">
        <f>A1060</f>
        <v>46108</v>
      </c>
      <c r="AC1060" s="2">
        <f>B1060</f>
        <v>70.34</v>
      </c>
      <c r="AD1060" s="2">
        <f>1058</f>
        <v>1058</v>
      </c>
      <c r="AE1060" s="2">
        <f>INTERCEPT($AC$3:$AC$1136,$AD$3:$AD$1136)+SLOPE($AC$3:$AC$1136,$AD$3:$AD$1136)*AD1060</f>
        <v>62.507311046723942</v>
      </c>
      <c r="AF1060" s="2">
        <f t="shared" si="32"/>
        <v>65.158970647126637</v>
      </c>
      <c r="AG1060" s="2">
        <f t="shared" si="33"/>
        <v>59.855651446321247</v>
      </c>
      <c r="AH1060" s="22">
        <f>AC1060-AE1060</f>
        <v>7.8326889532760617</v>
      </c>
    </row>
    <row r="1061" spans="1:34" x14ac:dyDescent="0.25">
      <c r="A1061" s="1">
        <f>DATEVALUE(Sheet1!A1060)</f>
        <v>46111</v>
      </c>
      <c r="B1061" s="2">
        <f>VALUE(Sheet1!B1060)</f>
        <v>70.290000000000006</v>
      </c>
      <c r="C1061" s="9">
        <f>(B1061-B1060)/B1060</f>
        <v>-7.1083309638892745E-4</v>
      </c>
      <c r="D1061" s="2">
        <f>MAX(D1060,B1061)</f>
        <v>103.9</v>
      </c>
      <c r="E1061" s="9">
        <f>(B1061-D1061)/D1061</f>
        <v>-0.32348411934552451</v>
      </c>
      <c r="AB1061" s="1">
        <f>A1061</f>
        <v>46111</v>
      </c>
      <c r="AC1061" s="2">
        <f>B1061</f>
        <v>70.290000000000006</v>
      </c>
      <c r="AD1061" s="2">
        <f>1059</f>
        <v>1059</v>
      </c>
      <c r="AE1061" s="2">
        <f>INTERCEPT($AC$3:$AC$1136,$AD$3:$AD$1136)+SLOPE($AC$3:$AC$1136,$AD$3:$AD$1136)*AD1061</f>
        <v>62.488599083311492</v>
      </c>
      <c r="AF1061" s="2">
        <f t="shared" si="32"/>
        <v>65.140258683714194</v>
      </c>
      <c r="AG1061" s="2">
        <f t="shared" si="33"/>
        <v>59.836939482908797</v>
      </c>
      <c r="AH1061" s="22">
        <f>AC1061-AE1061</f>
        <v>7.8014009166885145</v>
      </c>
    </row>
    <row r="1062" spans="1:34" x14ac:dyDescent="0.25">
      <c r="A1062" s="1">
        <f>DATEVALUE(Sheet1!A1061)</f>
        <v>46112</v>
      </c>
      <c r="B1062" s="2">
        <f>VALUE(Sheet1!B1061)</f>
        <v>70.37</v>
      </c>
      <c r="C1062" s="9">
        <f>(B1062-B1061)/B1061</f>
        <v>1.1381419832123814E-3</v>
      </c>
      <c r="D1062" s="2">
        <f>MAX(D1061,B1062)</f>
        <v>103.9</v>
      </c>
      <c r="E1062" s="9">
        <f>(B1062-D1062)/D1062</f>
        <v>-0.32271414821944178</v>
      </c>
      <c r="AB1062" s="1">
        <f>A1062</f>
        <v>46112</v>
      </c>
      <c r="AC1062" s="2">
        <f>B1062</f>
        <v>70.37</v>
      </c>
      <c r="AD1062" s="2">
        <f>1060</f>
        <v>1060</v>
      </c>
      <c r="AE1062" s="2">
        <f>INTERCEPT($AC$3:$AC$1136,$AD$3:$AD$1136)+SLOPE($AC$3:$AC$1136,$AD$3:$AD$1136)*AD1062</f>
        <v>62.469887119899042</v>
      </c>
      <c r="AF1062" s="2">
        <f t="shared" si="32"/>
        <v>65.121546720301737</v>
      </c>
      <c r="AG1062" s="2">
        <f t="shared" si="33"/>
        <v>59.818227519496347</v>
      </c>
      <c r="AH1062" s="22">
        <f>AC1062-AE1062</f>
        <v>7.9001128801009628</v>
      </c>
    </row>
    <row r="1063" spans="1:34" x14ac:dyDescent="0.25">
      <c r="A1063" s="1">
        <f>DATEVALUE(Sheet1!A1062)</f>
        <v>46113</v>
      </c>
      <c r="B1063" s="2">
        <f>VALUE(Sheet1!B1062)</f>
        <v>70.319999999999993</v>
      </c>
      <c r="C1063" s="9">
        <f>(B1063-B1062)/B1062</f>
        <v>-7.1053005542150583E-4</v>
      </c>
      <c r="D1063" s="2">
        <f>MAX(D1062,B1063)</f>
        <v>103.9</v>
      </c>
      <c r="E1063" s="9">
        <f>(B1063-D1063)/D1063</f>
        <v>-0.32319538017324362</v>
      </c>
      <c r="AB1063" s="1">
        <f>A1063</f>
        <v>46113</v>
      </c>
      <c r="AC1063" s="2">
        <f>B1063</f>
        <v>70.319999999999993</v>
      </c>
      <c r="AD1063" s="2">
        <f>1061</f>
        <v>1061</v>
      </c>
      <c r="AE1063" s="2">
        <f>INTERCEPT($AC$3:$AC$1136,$AD$3:$AD$1136)+SLOPE($AC$3:$AC$1136,$AD$3:$AD$1136)*AD1063</f>
        <v>62.451175156486599</v>
      </c>
      <c r="AF1063" s="2">
        <f t="shared" si="32"/>
        <v>65.102834756889294</v>
      </c>
      <c r="AG1063" s="2">
        <f t="shared" si="33"/>
        <v>59.799515556083904</v>
      </c>
      <c r="AH1063" s="22">
        <f>AC1063-AE1063</f>
        <v>7.8688248435133943</v>
      </c>
    </row>
    <row r="1064" spans="1:34" x14ac:dyDescent="0.25">
      <c r="A1064" s="1">
        <f>DATEVALUE(Sheet1!A1063)</f>
        <v>46114</v>
      </c>
      <c r="B1064" s="2">
        <f>VALUE(Sheet1!B1063)</f>
        <v>69.959999999999994</v>
      </c>
      <c r="C1064" s="9">
        <f>(B1064-B1063)/B1063</f>
        <v>-5.1194539249146678E-3</v>
      </c>
      <c r="D1064" s="2">
        <f>MAX(D1063,B1064)</f>
        <v>103.9</v>
      </c>
      <c r="E1064" s="9">
        <f>(B1064-D1064)/D1064</f>
        <v>-0.32666025024061607</v>
      </c>
      <c r="AB1064" s="1">
        <f>A1064</f>
        <v>46114</v>
      </c>
      <c r="AC1064" s="2">
        <f>B1064</f>
        <v>69.959999999999994</v>
      </c>
      <c r="AD1064" s="2">
        <f>1062</f>
        <v>1062</v>
      </c>
      <c r="AE1064" s="2">
        <f>INTERCEPT($AC$3:$AC$1136,$AD$3:$AD$1136)+SLOPE($AC$3:$AC$1136,$AD$3:$AD$1136)*AD1064</f>
        <v>62.432463193074156</v>
      </c>
      <c r="AF1064" s="2">
        <f t="shared" si="32"/>
        <v>65.084122793476851</v>
      </c>
      <c r="AG1064" s="2">
        <f t="shared" si="33"/>
        <v>59.780803592671461</v>
      </c>
      <c r="AH1064" s="22">
        <f>AC1064-AE1064</f>
        <v>7.5275368069258377</v>
      </c>
    </row>
    <row r="1065" spans="1:34" x14ac:dyDescent="0.25">
      <c r="A1065" s="1">
        <f>DATEVALUE(Sheet1!A1064)</f>
        <v>46118</v>
      </c>
      <c r="B1065" s="2">
        <f>VALUE(Sheet1!B1064)</f>
        <v>69.88</v>
      </c>
      <c r="C1065" s="9">
        <f>(B1065-B1064)/B1064</f>
        <v>-1.1435105774728173E-3</v>
      </c>
      <c r="D1065" s="2">
        <f>MAX(D1064,B1065)</f>
        <v>103.9</v>
      </c>
      <c r="E1065" s="9">
        <f>(B1065-D1065)/D1065</f>
        <v>-0.3274302213666988</v>
      </c>
      <c r="AB1065" s="1">
        <f>A1065</f>
        <v>46118</v>
      </c>
      <c r="AC1065" s="2">
        <f>B1065</f>
        <v>69.88</v>
      </c>
      <c r="AD1065" s="2">
        <f>1063</f>
        <v>1063</v>
      </c>
      <c r="AE1065" s="2">
        <f>INTERCEPT($AC$3:$AC$1136,$AD$3:$AD$1136)+SLOPE($AC$3:$AC$1136,$AD$3:$AD$1136)*AD1065</f>
        <v>62.413751229661706</v>
      </c>
      <c r="AF1065" s="2">
        <f t="shared" si="32"/>
        <v>65.065410830064408</v>
      </c>
      <c r="AG1065" s="2">
        <f t="shared" si="33"/>
        <v>59.762091629259011</v>
      </c>
      <c r="AH1065" s="22">
        <f>AC1065-AE1065</f>
        <v>7.4662487703382894</v>
      </c>
    </row>
    <row r="1066" spans="1:34" x14ac:dyDescent="0.25">
      <c r="A1066" s="1">
        <f>DATEVALUE(Sheet1!A1065)</f>
        <v>46119</v>
      </c>
      <c r="B1066" s="2">
        <f>VALUE(Sheet1!B1065)</f>
        <v>69.58</v>
      </c>
      <c r="C1066" s="9">
        <f>(B1066-B1065)/B1065</f>
        <v>-4.2930738408700226E-3</v>
      </c>
      <c r="D1066" s="2">
        <f>MAX(D1065,B1066)</f>
        <v>103.9</v>
      </c>
      <c r="E1066" s="9">
        <f>(B1066-D1066)/D1066</f>
        <v>-0.33031761308950919</v>
      </c>
      <c r="AB1066" s="1">
        <f>A1066</f>
        <v>46119</v>
      </c>
      <c r="AC1066" s="2">
        <f>B1066</f>
        <v>69.58</v>
      </c>
      <c r="AD1066" s="2">
        <f>1064</f>
        <v>1064</v>
      </c>
      <c r="AE1066" s="2">
        <f>INTERCEPT($AC$3:$AC$1136,$AD$3:$AD$1136)+SLOPE($AC$3:$AC$1136,$AD$3:$AD$1136)*AD1066</f>
        <v>62.395039266249256</v>
      </c>
      <c r="AF1066" s="2">
        <f t="shared" si="32"/>
        <v>65.046698866651951</v>
      </c>
      <c r="AG1066" s="2">
        <f t="shared" si="33"/>
        <v>59.743379665846561</v>
      </c>
      <c r="AH1066" s="22">
        <f>AC1066-AE1066</f>
        <v>7.1849607337507422</v>
      </c>
    </row>
    <row r="1067" spans="1:34" x14ac:dyDescent="0.25">
      <c r="A1067" s="1">
        <f>DATEVALUE(Sheet1!A1066)</f>
        <v>46120</v>
      </c>
      <c r="B1067" s="2">
        <f>VALUE(Sheet1!B1066)</f>
        <v>69.790000000000006</v>
      </c>
      <c r="C1067" s="9">
        <f>(B1067-B1066)/B1066</f>
        <v>3.0181086519115831E-3</v>
      </c>
      <c r="D1067" s="2">
        <f>MAX(D1066,B1067)</f>
        <v>103.9</v>
      </c>
      <c r="E1067" s="9">
        <f>(B1067-D1067)/D1067</f>
        <v>-0.32829643888354182</v>
      </c>
      <c r="AB1067" s="1">
        <f>A1067</f>
        <v>46120</v>
      </c>
      <c r="AC1067" s="2">
        <f>B1067</f>
        <v>69.790000000000006</v>
      </c>
      <c r="AD1067" s="2">
        <f>1065</f>
        <v>1065</v>
      </c>
      <c r="AE1067" s="2">
        <f>INTERCEPT($AC$3:$AC$1136,$AD$3:$AD$1136)+SLOPE($AC$3:$AC$1136,$AD$3:$AD$1136)*AD1067</f>
        <v>62.376327302836813</v>
      </c>
      <c r="AF1067" s="2">
        <f t="shared" si="32"/>
        <v>65.027986903239508</v>
      </c>
      <c r="AG1067" s="2">
        <f t="shared" si="33"/>
        <v>59.724667702434118</v>
      </c>
      <c r="AH1067" s="22">
        <f>AC1067-AE1067</f>
        <v>7.413672697163193</v>
      </c>
    </row>
    <row r="1068" spans="1:34" x14ac:dyDescent="0.25">
      <c r="A1068" s="1">
        <f>DATEVALUE(Sheet1!A1067)</f>
        <v>46121</v>
      </c>
      <c r="B1068" s="2">
        <f>VALUE(Sheet1!B1067)</f>
        <v>69.59</v>
      </c>
      <c r="C1068" s="9">
        <f>(B1068-B1067)/B1067</f>
        <v>-2.8657400773750225E-3</v>
      </c>
      <c r="D1068" s="2">
        <f>MAX(D1067,B1068)</f>
        <v>103.9</v>
      </c>
      <c r="E1068" s="9">
        <f>(B1068-D1068)/D1068</f>
        <v>-0.3302213666987488</v>
      </c>
      <c r="AB1068" s="1">
        <f>A1068</f>
        <v>46121</v>
      </c>
      <c r="AC1068" s="2">
        <f>B1068</f>
        <v>69.59</v>
      </c>
      <c r="AD1068" s="2">
        <f>1066</f>
        <v>1066</v>
      </c>
      <c r="AE1068" s="2">
        <f>INTERCEPT($AC$3:$AC$1136,$AD$3:$AD$1136)+SLOPE($AC$3:$AC$1136,$AD$3:$AD$1136)*AD1068</f>
        <v>62.357615339424363</v>
      </c>
      <c r="AF1068" s="2">
        <f t="shared" si="32"/>
        <v>65.009274939827066</v>
      </c>
      <c r="AG1068" s="2">
        <f t="shared" si="33"/>
        <v>59.705955739021668</v>
      </c>
      <c r="AH1068" s="22">
        <f>AC1068-AE1068</f>
        <v>7.2323846605756401</v>
      </c>
    </row>
    <row r="1069" spans="1:34" x14ac:dyDescent="0.25">
      <c r="A1069" s="1">
        <f>DATEVALUE(Sheet1!A1068)</f>
        <v>46122</v>
      </c>
      <c r="B1069" s="2">
        <f>VALUE(Sheet1!B1068)</f>
        <v>69.069999999999993</v>
      </c>
      <c r="C1069" s="9">
        <f>(B1069-B1068)/B1068</f>
        <v>-7.4723379795949164E-3</v>
      </c>
      <c r="D1069" s="2">
        <f>MAX(D1068,B1069)</f>
        <v>103.9</v>
      </c>
      <c r="E1069" s="9">
        <f>(B1069-D1069)/D1069</f>
        <v>-0.33522617901828694</v>
      </c>
      <c r="AB1069" s="1">
        <f>A1069</f>
        <v>46122</v>
      </c>
      <c r="AC1069" s="2">
        <f>B1069</f>
        <v>69.069999999999993</v>
      </c>
      <c r="AD1069" s="2">
        <f>1067</f>
        <v>1067</v>
      </c>
      <c r="AE1069" s="2">
        <f>INTERCEPT($AC$3:$AC$1136,$AD$3:$AD$1136)+SLOPE($AC$3:$AC$1136,$AD$3:$AD$1136)*AD1069</f>
        <v>62.338903376011913</v>
      </c>
      <c r="AF1069" s="2">
        <f t="shared" si="32"/>
        <v>64.990562976414608</v>
      </c>
      <c r="AG1069" s="2">
        <f t="shared" si="33"/>
        <v>59.687243775609218</v>
      </c>
      <c r="AH1069" s="22">
        <f>AC1069-AE1069</f>
        <v>6.7310966239880798</v>
      </c>
    </row>
    <row r="1070" spans="1:34" x14ac:dyDescent="0.25">
      <c r="A1070" s="1">
        <f>DATEVALUE(Sheet1!A1069)</f>
        <v>46125</v>
      </c>
      <c r="B1070" s="2">
        <f>VALUE(Sheet1!B1069)</f>
        <v>68.78</v>
      </c>
      <c r="C1070" s="9">
        <f>(B1070-B1069)/B1069</f>
        <v>-4.1986390618212258E-3</v>
      </c>
      <c r="D1070" s="2">
        <f>MAX(D1069,B1070)</f>
        <v>103.9</v>
      </c>
      <c r="E1070" s="9">
        <f>(B1070-D1070)/D1070</f>
        <v>-0.33801732435033688</v>
      </c>
      <c r="AB1070" s="1">
        <f>A1070</f>
        <v>46125</v>
      </c>
      <c r="AC1070" s="2">
        <f>B1070</f>
        <v>68.78</v>
      </c>
      <c r="AD1070" s="2">
        <f>1068</f>
        <v>1068</v>
      </c>
      <c r="AE1070" s="2">
        <f>INTERCEPT($AC$3:$AC$1136,$AD$3:$AD$1136)+SLOPE($AC$3:$AC$1136,$AD$3:$AD$1136)*AD1070</f>
        <v>62.32019141259947</v>
      </c>
      <c r="AF1070" s="2">
        <f t="shared" si="32"/>
        <v>64.971851013002166</v>
      </c>
      <c r="AG1070" s="2">
        <f t="shared" si="33"/>
        <v>59.668531812196775</v>
      </c>
      <c r="AH1070" s="22">
        <f>AC1070-AE1070</f>
        <v>6.4598085874005307</v>
      </c>
    </row>
    <row r="1071" spans="1:34" x14ac:dyDescent="0.25">
      <c r="A1071" s="1">
        <f>DATEVALUE(Sheet1!A1070)</f>
        <v>46126</v>
      </c>
      <c r="B1071" s="2">
        <f>VALUE(Sheet1!B1070)</f>
        <v>67.73</v>
      </c>
      <c r="C1071" s="9">
        <f>(B1071-B1070)/B1070</f>
        <v>-1.5266065716778092E-2</v>
      </c>
      <c r="D1071" s="2">
        <f>MAX(D1070,B1071)</f>
        <v>103.9</v>
      </c>
      <c r="E1071" s="9">
        <f>(B1071-D1071)/D1071</f>
        <v>-0.34812319538017322</v>
      </c>
      <c r="AB1071" s="1">
        <f>A1071</f>
        <v>46126</v>
      </c>
      <c r="AC1071" s="2">
        <f>B1071</f>
        <v>67.73</v>
      </c>
      <c r="AD1071" s="2">
        <f>1069</f>
        <v>1069</v>
      </c>
      <c r="AE1071" s="2">
        <f>INTERCEPT($AC$3:$AC$1136,$AD$3:$AD$1136)+SLOPE($AC$3:$AC$1136,$AD$3:$AD$1136)*AD1071</f>
        <v>62.301479449187028</v>
      </c>
      <c r="AF1071" s="2">
        <f t="shared" si="32"/>
        <v>64.953139049589723</v>
      </c>
      <c r="AG1071" s="2">
        <f t="shared" si="33"/>
        <v>59.649819848784333</v>
      </c>
      <c r="AH1071" s="22">
        <f>AC1071-AE1071</f>
        <v>5.4285205508129764</v>
      </c>
    </row>
    <row r="1072" spans="1:34" x14ac:dyDescent="0.25">
      <c r="A1072" s="1">
        <f>DATEVALUE(Sheet1!A1071)</f>
        <v>46127</v>
      </c>
      <c r="B1072" s="2">
        <f>VALUE(Sheet1!B1071)</f>
        <v>67.48</v>
      </c>
      <c r="C1072" s="9">
        <f>(B1072-B1071)/B1071</f>
        <v>-3.6911265318175105E-3</v>
      </c>
      <c r="D1072" s="2">
        <f>MAX(D1071,B1072)</f>
        <v>103.9</v>
      </c>
      <c r="E1072" s="9">
        <f>(B1072-D1072)/D1072</f>
        <v>-0.35052935514918188</v>
      </c>
      <c r="AB1072" s="1">
        <f>A1072</f>
        <v>46127</v>
      </c>
      <c r="AC1072" s="2">
        <f>B1072</f>
        <v>67.48</v>
      </c>
      <c r="AD1072" s="2">
        <f>1070</f>
        <v>1070</v>
      </c>
      <c r="AE1072" s="2">
        <f>INTERCEPT($AC$3:$AC$1136,$AD$3:$AD$1136)+SLOPE($AC$3:$AC$1136,$AD$3:$AD$1136)*AD1072</f>
        <v>62.282767485774578</v>
      </c>
      <c r="AF1072" s="2">
        <f t="shared" si="32"/>
        <v>64.93442708617728</v>
      </c>
      <c r="AG1072" s="2">
        <f t="shared" si="33"/>
        <v>59.631107885371883</v>
      </c>
      <c r="AH1072" s="22">
        <f>AC1072-AE1072</f>
        <v>5.1972325142254263</v>
      </c>
    </row>
    <row r="1073" spans="1:34" x14ac:dyDescent="0.25">
      <c r="A1073" s="1">
        <f>DATEVALUE(Sheet1!A1072)</f>
        <v>46128</v>
      </c>
      <c r="B1073" s="2">
        <f>VALUE(Sheet1!B1072)</f>
        <v>67.010000000000005</v>
      </c>
      <c r="C1073" s="9">
        <f>(B1073-B1072)/B1072</f>
        <v>-6.9650266745702261E-3</v>
      </c>
      <c r="D1073" s="2">
        <f>MAX(D1072,B1073)</f>
        <v>103.9</v>
      </c>
      <c r="E1073" s="9">
        <f>(B1073-D1073)/D1073</f>
        <v>-0.35505293551491818</v>
      </c>
      <c r="AB1073" s="1">
        <f>A1073</f>
        <v>46128</v>
      </c>
      <c r="AC1073" s="2">
        <f>B1073</f>
        <v>67.010000000000005</v>
      </c>
      <c r="AD1073" s="2">
        <f>1071</f>
        <v>1071</v>
      </c>
      <c r="AE1073" s="2">
        <f>INTERCEPT($AC$3:$AC$1136,$AD$3:$AD$1136)+SLOPE($AC$3:$AC$1136,$AD$3:$AD$1136)*AD1073</f>
        <v>62.264055522362128</v>
      </c>
      <c r="AF1073" s="2">
        <f t="shared" si="32"/>
        <v>64.915715122764823</v>
      </c>
      <c r="AG1073" s="2">
        <f t="shared" si="33"/>
        <v>59.612395921959433</v>
      </c>
      <c r="AH1073" s="22">
        <f>AC1073-AE1073</f>
        <v>4.7459444776378774</v>
      </c>
    </row>
    <row r="1074" spans="1:34" x14ac:dyDescent="0.25">
      <c r="A1074" s="1">
        <f>DATEVALUE(Sheet1!A1073)</f>
        <v>46129</v>
      </c>
      <c r="B1074" s="2">
        <f>VALUE(Sheet1!B1073)</f>
        <v>66.81</v>
      </c>
      <c r="C1074" s="9">
        <f>(B1074-B1073)/B1073</f>
        <v>-2.9846291598269337E-3</v>
      </c>
      <c r="D1074" s="2">
        <f>MAX(D1073,B1074)</f>
        <v>103.9</v>
      </c>
      <c r="E1074" s="9">
        <f>(B1074-D1074)/D1074</f>
        <v>-0.35697786333012516</v>
      </c>
      <c r="AB1074" s="1">
        <f>A1074</f>
        <v>46129</v>
      </c>
      <c r="AC1074" s="2">
        <f>B1074</f>
        <v>66.81</v>
      </c>
      <c r="AD1074" s="2">
        <f>1072</f>
        <v>1072</v>
      </c>
      <c r="AE1074" s="2">
        <f>INTERCEPT($AC$3:$AC$1136,$AD$3:$AD$1136)+SLOPE($AC$3:$AC$1136,$AD$3:$AD$1136)*AD1074</f>
        <v>62.245343558949685</v>
      </c>
      <c r="AF1074" s="2">
        <f t="shared" si="32"/>
        <v>64.89700315935238</v>
      </c>
      <c r="AG1074" s="2">
        <f t="shared" si="33"/>
        <v>59.59368395854699</v>
      </c>
      <c r="AH1074" s="22">
        <f>AC1074-AE1074</f>
        <v>4.5646564410503174</v>
      </c>
    </row>
    <row r="1075" spans="1:34" x14ac:dyDescent="0.25">
      <c r="A1075" s="1">
        <f>DATEVALUE(Sheet1!A1074)</f>
        <v>46132</v>
      </c>
      <c r="B1075" s="2">
        <f>VALUE(Sheet1!B1074)</f>
        <v>66.45</v>
      </c>
      <c r="C1075" s="9">
        <f>(B1075-B1074)/B1074</f>
        <v>-5.3884149079479037E-3</v>
      </c>
      <c r="D1075" s="2">
        <f>MAX(D1074,B1075)</f>
        <v>103.9</v>
      </c>
      <c r="E1075" s="9">
        <f>(B1075-D1075)/D1075</f>
        <v>-0.36044273339749761</v>
      </c>
      <c r="AB1075" s="1">
        <f>A1075</f>
        <v>46132</v>
      </c>
      <c r="AC1075" s="2">
        <f>B1075</f>
        <v>66.45</v>
      </c>
      <c r="AD1075" s="2">
        <f>1073</f>
        <v>1073</v>
      </c>
      <c r="AE1075" s="2">
        <f>INTERCEPT($AC$3:$AC$1136,$AD$3:$AD$1136)+SLOPE($AC$3:$AC$1136,$AD$3:$AD$1136)*AD1075</f>
        <v>62.226631595537242</v>
      </c>
      <c r="AF1075" s="2">
        <f t="shared" si="32"/>
        <v>64.878291195939937</v>
      </c>
      <c r="AG1075" s="2">
        <f t="shared" si="33"/>
        <v>59.574971995134547</v>
      </c>
      <c r="AH1075" s="22">
        <f>AC1075-AE1075</f>
        <v>4.2233684044627609</v>
      </c>
    </row>
    <row r="1076" spans="1:34" x14ac:dyDescent="0.25">
      <c r="A1076" s="1">
        <f>DATEVALUE(Sheet1!A1075)</f>
        <v>46134</v>
      </c>
      <c r="B1076" s="2">
        <f>VALUE(Sheet1!B1075)</f>
        <v>66.34</v>
      </c>
      <c r="C1076" s="9">
        <f>(B1076-B1075)/B1075</f>
        <v>-1.6553799849510825E-3</v>
      </c>
      <c r="D1076" s="2">
        <f>MAX(D1075,B1076)</f>
        <v>103.9</v>
      </c>
      <c r="E1076" s="9">
        <f>(B1076-D1076)/D1076</f>
        <v>-0.3615014436958614</v>
      </c>
      <c r="AB1076" s="1">
        <f>A1076</f>
        <v>46134</v>
      </c>
      <c r="AC1076" s="2">
        <f>B1076</f>
        <v>66.34</v>
      </c>
      <c r="AD1076" s="2">
        <f>1074</f>
        <v>1074</v>
      </c>
      <c r="AE1076" s="2">
        <f>INTERCEPT($AC$3:$AC$1136,$AD$3:$AD$1136)+SLOPE($AC$3:$AC$1136,$AD$3:$AD$1136)*AD1076</f>
        <v>62.207919632124792</v>
      </c>
      <c r="AF1076" s="2">
        <f t="shared" si="32"/>
        <v>64.859579232527494</v>
      </c>
      <c r="AG1076" s="2">
        <f t="shared" si="33"/>
        <v>59.556260031722097</v>
      </c>
      <c r="AH1076" s="22">
        <f>AC1076-AE1076</f>
        <v>4.1320803678752114</v>
      </c>
    </row>
    <row r="1077" spans="1:34" x14ac:dyDescent="0.25">
      <c r="A1077" s="1">
        <f>DATEVALUE(Sheet1!A1076)</f>
        <v>46135</v>
      </c>
      <c r="B1077" s="2">
        <f>VALUE(Sheet1!B1076)</f>
        <v>66.36</v>
      </c>
      <c r="C1077" s="9">
        <f>(B1077-B1076)/B1076</f>
        <v>3.0147723846843562E-4</v>
      </c>
      <c r="D1077" s="2">
        <f>MAX(D1076,B1077)</f>
        <v>103.9</v>
      </c>
      <c r="E1077" s="9">
        <f>(B1077-D1077)/D1077</f>
        <v>-0.36130895091434073</v>
      </c>
      <c r="AB1077" s="1">
        <f>A1077</f>
        <v>46135</v>
      </c>
      <c r="AC1077" s="2">
        <f>B1077</f>
        <v>66.36</v>
      </c>
      <c r="AD1077" s="2">
        <f>1075</f>
        <v>1075</v>
      </c>
      <c r="AE1077" s="2">
        <f>INTERCEPT($AC$3:$AC$1136,$AD$3:$AD$1136)+SLOPE($AC$3:$AC$1136,$AD$3:$AD$1136)*AD1077</f>
        <v>62.189207668712342</v>
      </c>
      <c r="AF1077" s="2">
        <f t="shared" si="32"/>
        <v>64.840867269115037</v>
      </c>
      <c r="AG1077" s="2">
        <f t="shared" si="33"/>
        <v>59.537548068309647</v>
      </c>
      <c r="AH1077" s="22">
        <f>AC1077-AE1077</f>
        <v>4.1707923312876574</v>
      </c>
    </row>
    <row r="1078" spans="1:34" x14ac:dyDescent="0.25">
      <c r="A1078" s="1">
        <f>DATEVALUE(Sheet1!A1077)</f>
        <v>46136</v>
      </c>
      <c r="B1078" s="2">
        <f>VALUE(Sheet1!B1077)</f>
        <v>66.63</v>
      </c>
      <c r="C1078" s="9">
        <f>(B1078-B1077)/B1077</f>
        <v>4.0687160940324901E-3</v>
      </c>
      <c r="D1078" s="2">
        <f>MAX(D1077,B1078)</f>
        <v>103.9</v>
      </c>
      <c r="E1078" s="9">
        <f>(B1078-D1078)/D1078</f>
        <v>-0.35871029836381141</v>
      </c>
      <c r="AB1078" s="1">
        <f>A1078</f>
        <v>46136</v>
      </c>
      <c r="AC1078" s="2">
        <f>B1078</f>
        <v>66.63</v>
      </c>
      <c r="AD1078" s="2">
        <f>1076</f>
        <v>1076</v>
      </c>
      <c r="AE1078" s="2">
        <f>INTERCEPT($AC$3:$AC$1136,$AD$3:$AD$1136)+SLOPE($AC$3:$AC$1136,$AD$3:$AD$1136)*AD1078</f>
        <v>62.170495705299899</v>
      </c>
      <c r="AF1078" s="2">
        <f t="shared" si="32"/>
        <v>64.822155305702594</v>
      </c>
      <c r="AG1078" s="2">
        <f t="shared" si="33"/>
        <v>59.518836104897204</v>
      </c>
      <c r="AH1078" s="22">
        <f>AC1078-AE1078</f>
        <v>4.4595042947000962</v>
      </c>
    </row>
    <row r="1079" spans="1:34" x14ac:dyDescent="0.25">
      <c r="A1079" s="1">
        <f>DATEVALUE(Sheet1!A1078)</f>
        <v>46139</v>
      </c>
      <c r="B1079" s="2">
        <f>VALUE(Sheet1!B1078)</f>
        <v>66.67</v>
      </c>
      <c r="C1079" s="9">
        <f>(B1079-B1078)/B1078</f>
        <v>6.0033018159997382E-4</v>
      </c>
      <c r="D1079" s="2">
        <f>MAX(D1078,B1079)</f>
        <v>103.9</v>
      </c>
      <c r="E1079" s="9">
        <f>(B1079-D1079)/D1079</f>
        <v>-0.35832531280077001</v>
      </c>
      <c r="AB1079" s="1">
        <f>A1079</f>
        <v>46139</v>
      </c>
      <c r="AC1079" s="2">
        <f>B1079</f>
        <v>66.67</v>
      </c>
      <c r="AD1079" s="2">
        <f>1077</f>
        <v>1077</v>
      </c>
      <c r="AE1079" s="2">
        <f>INTERCEPT($AC$3:$AC$1136,$AD$3:$AD$1136)+SLOPE($AC$3:$AC$1136,$AD$3:$AD$1136)*AD1079</f>
        <v>62.151783741887449</v>
      </c>
      <c r="AF1079" s="2">
        <f t="shared" si="32"/>
        <v>64.803443342290151</v>
      </c>
      <c r="AG1079" s="2">
        <f t="shared" si="33"/>
        <v>59.500124141484754</v>
      </c>
      <c r="AH1079" s="22">
        <f>AC1079-AE1079</f>
        <v>4.5182162581125525</v>
      </c>
    </row>
    <row r="1080" spans="1:34" x14ac:dyDescent="0.25">
      <c r="A1080" s="1">
        <f>DATEVALUE(Sheet1!A1079)</f>
        <v>46140</v>
      </c>
      <c r="B1080" s="2">
        <f>VALUE(Sheet1!B1079)</f>
        <v>66.67</v>
      </c>
      <c r="C1080" s="9">
        <f>(B1080-B1079)/B1079</f>
        <v>0</v>
      </c>
      <c r="D1080" s="2">
        <f>MAX(D1079,B1080)</f>
        <v>103.9</v>
      </c>
      <c r="E1080" s="9">
        <f>(B1080-D1080)/D1080</f>
        <v>-0.35832531280077001</v>
      </c>
      <c r="AB1080" s="1">
        <f>A1080</f>
        <v>46140</v>
      </c>
      <c r="AC1080" s="2">
        <f>B1080</f>
        <v>66.67</v>
      </c>
      <c r="AD1080" s="2">
        <f>1078</f>
        <v>1078</v>
      </c>
      <c r="AE1080" s="2">
        <f>INTERCEPT($AC$3:$AC$1136,$AD$3:$AD$1136)+SLOPE($AC$3:$AC$1136,$AD$3:$AD$1136)*AD1080</f>
        <v>62.133071778474999</v>
      </c>
      <c r="AF1080" s="2">
        <f t="shared" si="32"/>
        <v>64.784731378877694</v>
      </c>
      <c r="AG1080" s="2">
        <f t="shared" si="33"/>
        <v>59.481412178072304</v>
      </c>
      <c r="AH1080" s="22">
        <f>AC1080-AE1080</f>
        <v>4.5369282215250024</v>
      </c>
    </row>
    <row r="1081" spans="1:34" x14ac:dyDescent="0.25">
      <c r="A1081" s="1">
        <f>DATEVALUE(Sheet1!A1080)</f>
        <v>46141</v>
      </c>
      <c r="B1081" s="2">
        <f>VALUE(Sheet1!B1080)</f>
        <v>66.91</v>
      </c>
      <c r="C1081" s="9">
        <f>(B1081-B1080)/B1080</f>
        <v>3.5998200089994731E-3</v>
      </c>
      <c r="D1081" s="2">
        <f>MAX(D1080,B1081)</f>
        <v>103.9</v>
      </c>
      <c r="E1081" s="9">
        <f>(B1081-D1081)/D1081</f>
        <v>-0.35601539942252175</v>
      </c>
      <c r="AB1081" s="1">
        <f>A1081</f>
        <v>46141</v>
      </c>
      <c r="AC1081" s="2">
        <f>B1081</f>
        <v>66.91</v>
      </c>
      <c r="AD1081" s="2">
        <f>1079</f>
        <v>1079</v>
      </c>
      <c r="AE1081" s="2">
        <f>INTERCEPT($AC$3:$AC$1136,$AD$3:$AD$1136)+SLOPE($AC$3:$AC$1136,$AD$3:$AD$1136)*AD1081</f>
        <v>62.114359815062556</v>
      </c>
      <c r="AF1081" s="2">
        <f t="shared" si="32"/>
        <v>64.766019415465252</v>
      </c>
      <c r="AG1081" s="2">
        <f t="shared" si="33"/>
        <v>59.462700214659861</v>
      </c>
      <c r="AH1081" s="22">
        <f>AC1081-AE1081</f>
        <v>4.7956401849374402</v>
      </c>
    </row>
    <row r="1082" spans="1:34" x14ac:dyDescent="0.25">
      <c r="A1082" s="1">
        <f>DATEVALUE(Sheet1!A1081)</f>
        <v>46142</v>
      </c>
      <c r="B1082" s="2">
        <f>VALUE(Sheet1!B1081)</f>
        <v>66.91</v>
      </c>
      <c r="C1082" s="9">
        <f>(B1082-B1081)/B1081</f>
        <v>0</v>
      </c>
      <c r="D1082" s="2">
        <f>MAX(D1081,B1082)</f>
        <v>103.9</v>
      </c>
      <c r="E1082" s="9">
        <f>(B1082-D1082)/D1082</f>
        <v>-0.35601539942252175</v>
      </c>
      <c r="AB1082" s="1">
        <f>A1082</f>
        <v>46142</v>
      </c>
      <c r="AC1082" s="2">
        <f>B1082</f>
        <v>66.91</v>
      </c>
      <c r="AD1082" s="2">
        <f>1080</f>
        <v>1080</v>
      </c>
      <c r="AE1082" s="2">
        <f>INTERCEPT($AC$3:$AC$1136,$AD$3:$AD$1136)+SLOPE($AC$3:$AC$1136,$AD$3:$AD$1136)*AD1082</f>
        <v>62.095647851650114</v>
      </c>
      <c r="AF1082" s="2">
        <f t="shared" si="32"/>
        <v>64.747307452052809</v>
      </c>
      <c r="AG1082" s="2">
        <f t="shared" si="33"/>
        <v>59.443988251247418</v>
      </c>
      <c r="AH1082" s="22">
        <f>AC1082-AE1082</f>
        <v>4.814352148349883</v>
      </c>
    </row>
    <row r="1083" spans="1:34" x14ac:dyDescent="0.25">
      <c r="A1083" s="1">
        <f>DATEVALUE(Sheet1!A1082)</f>
        <v>46146</v>
      </c>
      <c r="B1083" s="2">
        <f>VALUE(Sheet1!B1082)</f>
        <v>67.05</v>
      </c>
      <c r="C1083" s="9">
        <f>(B1083-B1082)/B1082</f>
        <v>2.0923628755044176E-3</v>
      </c>
      <c r="D1083" s="2">
        <f>MAX(D1082,B1083)</f>
        <v>103.9</v>
      </c>
      <c r="E1083" s="9">
        <f>(B1083-D1083)/D1083</f>
        <v>-0.35466794995187689</v>
      </c>
      <c r="AB1083" s="1">
        <f>A1083</f>
        <v>46146</v>
      </c>
      <c r="AC1083" s="2">
        <f>B1083</f>
        <v>67.05</v>
      </c>
      <c r="AD1083" s="2">
        <f>1081</f>
        <v>1081</v>
      </c>
      <c r="AE1083" s="2">
        <f>INTERCEPT($AC$3:$AC$1136,$AD$3:$AD$1136)+SLOPE($AC$3:$AC$1136,$AD$3:$AD$1136)*AD1083</f>
        <v>62.076935888237664</v>
      </c>
      <c r="AF1083" s="2">
        <f t="shared" si="32"/>
        <v>64.728595488640366</v>
      </c>
      <c r="AG1083" s="2">
        <f t="shared" si="33"/>
        <v>59.425276287834969</v>
      </c>
      <c r="AH1083" s="22">
        <f>AC1083-AE1083</f>
        <v>4.9730641117623335</v>
      </c>
    </row>
    <row r="1084" spans="1:34" x14ac:dyDescent="0.25">
      <c r="A1084" s="1">
        <f>DATEVALUE(Sheet1!A1083)</f>
        <v>46147</v>
      </c>
      <c r="B1084" s="2">
        <f>VALUE(Sheet1!B1083)</f>
        <v>66.73</v>
      </c>
      <c r="C1084" s="9">
        <f>(B1084-B1083)/B1083</f>
        <v>-4.7725577926919192E-3</v>
      </c>
      <c r="D1084" s="2">
        <f>MAX(D1083,B1084)</f>
        <v>103.9</v>
      </c>
      <c r="E1084" s="9">
        <f>(B1084-D1084)/D1084</f>
        <v>-0.35774783445620789</v>
      </c>
      <c r="AB1084" s="1">
        <f>A1084</f>
        <v>46147</v>
      </c>
      <c r="AC1084" s="2">
        <f>B1084</f>
        <v>66.73</v>
      </c>
      <c r="AD1084" s="2">
        <f>1082</f>
        <v>1082</v>
      </c>
      <c r="AE1084" s="2">
        <f>INTERCEPT($AC$3:$AC$1136,$AD$3:$AD$1136)+SLOPE($AC$3:$AC$1136,$AD$3:$AD$1136)*AD1084</f>
        <v>62.058223924825214</v>
      </c>
      <c r="AF1084" s="2">
        <f t="shared" si="32"/>
        <v>64.709883525227909</v>
      </c>
      <c r="AG1084" s="2">
        <f t="shared" si="33"/>
        <v>59.406564324422519</v>
      </c>
      <c r="AH1084" s="22">
        <f>AC1084-AE1084</f>
        <v>4.6717760751747903</v>
      </c>
    </row>
    <row r="1085" spans="1:34" x14ac:dyDescent="0.25">
      <c r="A1085" s="1">
        <f>DATEVALUE(Sheet1!A1084)</f>
        <v>46148</v>
      </c>
      <c r="B1085" s="2">
        <f>VALUE(Sheet1!B1084)</f>
        <v>66.41</v>
      </c>
      <c r="C1085" s="9">
        <f>(B1085-B1084)/B1084</f>
        <v>-4.7954443278886167E-3</v>
      </c>
      <c r="D1085" s="2">
        <f>MAX(D1084,B1085)</f>
        <v>103.9</v>
      </c>
      <c r="E1085" s="9">
        <f>(B1085-D1085)/D1085</f>
        <v>-0.36082771896053906</v>
      </c>
      <c r="AB1085" s="1">
        <f>A1085</f>
        <v>46148</v>
      </c>
      <c r="AC1085" s="2">
        <f>B1085</f>
        <v>66.41</v>
      </c>
      <c r="AD1085" s="2">
        <f>1083</f>
        <v>1083</v>
      </c>
      <c r="AE1085" s="2">
        <f>INTERCEPT($AC$3:$AC$1136,$AD$3:$AD$1136)+SLOPE($AC$3:$AC$1136,$AD$3:$AD$1136)*AD1085</f>
        <v>62.039511961412771</v>
      </c>
      <c r="AF1085" s="2">
        <f t="shared" si="32"/>
        <v>64.691171561815466</v>
      </c>
      <c r="AG1085" s="2">
        <f t="shared" si="33"/>
        <v>59.387852361010076</v>
      </c>
      <c r="AH1085" s="22">
        <f>AC1085-AE1085</f>
        <v>4.3704880385872258</v>
      </c>
    </row>
    <row r="1086" spans="1:34" x14ac:dyDescent="0.25">
      <c r="A1086" s="1">
        <f>DATEVALUE(Sheet1!A1085)</f>
        <v>46149</v>
      </c>
      <c r="B1086" s="2">
        <f>VALUE(Sheet1!B1085)</f>
        <v>66.069999999999993</v>
      </c>
      <c r="C1086" s="9">
        <f>(B1086-B1085)/B1085</f>
        <v>-5.1197108869146732E-3</v>
      </c>
      <c r="D1086" s="2">
        <f>MAX(D1085,B1086)</f>
        <v>103.9</v>
      </c>
      <c r="E1086" s="9">
        <f>(B1086-D1086)/D1086</f>
        <v>-0.36410009624639084</v>
      </c>
      <c r="AB1086" s="1">
        <f>A1086</f>
        <v>46149</v>
      </c>
      <c r="AC1086" s="2">
        <f>B1086</f>
        <v>66.069999999999993</v>
      </c>
      <c r="AD1086" s="2">
        <f>1084</f>
        <v>1084</v>
      </c>
      <c r="AE1086" s="2">
        <f>INTERCEPT($AC$3:$AC$1136,$AD$3:$AD$1136)+SLOPE($AC$3:$AC$1136,$AD$3:$AD$1136)*AD1086</f>
        <v>62.020799998000328</v>
      </c>
      <c r="AF1086" s="2">
        <f t="shared" si="32"/>
        <v>64.672459598403023</v>
      </c>
      <c r="AG1086" s="2">
        <f t="shared" si="33"/>
        <v>59.369140397597633</v>
      </c>
      <c r="AH1086" s="22">
        <f>AC1086-AE1086</f>
        <v>4.0492000019996652</v>
      </c>
    </row>
    <row r="1087" spans="1:34" x14ac:dyDescent="0.25">
      <c r="A1087" s="1">
        <f>DATEVALUE(Sheet1!A1086)</f>
        <v>46150</v>
      </c>
      <c r="B1087" s="2">
        <f>VALUE(Sheet1!B1086)</f>
        <v>65.98</v>
      </c>
      <c r="C1087" s="9">
        <f>(B1087-B1086)/B1086</f>
        <v>-1.3621916149536735E-3</v>
      </c>
      <c r="D1087" s="2">
        <f>MAX(D1086,B1087)</f>
        <v>103.9</v>
      </c>
      <c r="E1087" s="9">
        <f>(B1087-D1087)/D1087</f>
        <v>-0.36496631376323385</v>
      </c>
      <c r="AB1087" s="1">
        <f>A1087</f>
        <v>46150</v>
      </c>
      <c r="AC1087" s="2">
        <f>B1087</f>
        <v>65.98</v>
      </c>
      <c r="AD1087" s="2">
        <f>1085</f>
        <v>1085</v>
      </c>
      <c r="AE1087" s="2">
        <f>INTERCEPT($AC$3:$AC$1136,$AD$3:$AD$1136)+SLOPE($AC$3:$AC$1136,$AD$3:$AD$1136)*AD1087</f>
        <v>62.002088034587878</v>
      </c>
      <c r="AF1087" s="2">
        <f t="shared" si="32"/>
        <v>64.65374763499058</v>
      </c>
      <c r="AG1087" s="2">
        <f t="shared" si="33"/>
        <v>59.350428434185183</v>
      </c>
      <c r="AH1087" s="22">
        <f>AC1087-AE1087</f>
        <v>3.977911965412126</v>
      </c>
    </row>
    <row r="1088" spans="1:34" x14ac:dyDescent="0.25">
      <c r="A1088" s="1">
        <f>DATEVALUE(Sheet1!A1087)</f>
        <v>46153</v>
      </c>
      <c r="B1088" s="2">
        <f>VALUE(Sheet1!B1087)</f>
        <v>65.92</v>
      </c>
      <c r="C1088" s="9">
        <f>(B1088-B1087)/B1087</f>
        <v>-9.0936647468933417E-4</v>
      </c>
      <c r="D1088" s="2">
        <f>MAX(D1087,B1088)</f>
        <v>103.9</v>
      </c>
      <c r="E1088" s="9">
        <f>(B1088-D1088)/D1088</f>
        <v>-0.36554379210779597</v>
      </c>
      <c r="AB1088" s="1">
        <f>A1088</f>
        <v>46153</v>
      </c>
      <c r="AC1088" s="2">
        <f>B1088</f>
        <v>65.92</v>
      </c>
      <c r="AD1088" s="2">
        <f>1086</f>
        <v>1086</v>
      </c>
      <c r="AE1088" s="2">
        <f>INTERCEPT($AC$3:$AC$1136,$AD$3:$AD$1136)+SLOPE($AC$3:$AC$1136,$AD$3:$AD$1136)*AD1088</f>
        <v>61.983376071175428</v>
      </c>
      <c r="AF1088" s="2">
        <f t="shared" si="32"/>
        <v>64.635035671578123</v>
      </c>
      <c r="AG1088" s="2">
        <f t="shared" si="33"/>
        <v>59.331716470772733</v>
      </c>
      <c r="AH1088" s="22">
        <f>AC1088-AE1088</f>
        <v>3.9366239288245737</v>
      </c>
    </row>
    <row r="1089" spans="1:34" x14ac:dyDescent="0.25">
      <c r="A1089" s="1">
        <f>DATEVALUE(Sheet1!A1088)</f>
        <v>46154</v>
      </c>
      <c r="B1089" s="2">
        <f>VALUE(Sheet1!B1088)</f>
        <v>65.510000000000005</v>
      </c>
      <c r="C1089" s="9">
        <f>(B1089-B1088)/B1088</f>
        <v>-6.2196601941747051E-3</v>
      </c>
      <c r="D1089" s="2">
        <f>MAX(D1088,B1089)</f>
        <v>103.9</v>
      </c>
      <c r="E1089" s="9">
        <f>(B1089-D1089)/D1089</f>
        <v>-0.36948989412897015</v>
      </c>
      <c r="AB1089" s="1">
        <f>A1089</f>
        <v>46154</v>
      </c>
      <c r="AC1089" s="2">
        <f>B1089</f>
        <v>65.510000000000005</v>
      </c>
      <c r="AD1089" s="2">
        <f>1087</f>
        <v>1087</v>
      </c>
      <c r="AE1089" s="2">
        <f>INTERCEPT($AC$3:$AC$1136,$AD$3:$AD$1136)+SLOPE($AC$3:$AC$1136,$AD$3:$AD$1136)*AD1089</f>
        <v>61.964664107762985</v>
      </c>
      <c r="AF1089" s="2">
        <f t="shared" si="32"/>
        <v>64.61632370816568</v>
      </c>
      <c r="AG1089" s="2">
        <f t="shared" si="33"/>
        <v>59.31300450736029</v>
      </c>
      <c r="AH1089" s="22">
        <f>AC1089-AE1089</f>
        <v>3.5453358922370199</v>
      </c>
    </row>
    <row r="1090" spans="1:34" x14ac:dyDescent="0.25">
      <c r="A1090" s="1">
        <f>DATEVALUE(Sheet1!A1089)</f>
        <v>46155</v>
      </c>
      <c r="B1090" s="2">
        <f>VALUE(Sheet1!B1089)</f>
        <v>65.349999999999994</v>
      </c>
      <c r="C1090" s="9">
        <f>(B1090-B1089)/B1089</f>
        <v>-2.4423752098917842E-3</v>
      </c>
      <c r="D1090" s="2">
        <f>MAX(D1089,B1090)</f>
        <v>103.9</v>
      </c>
      <c r="E1090" s="9">
        <f>(B1090-D1090)/D1090</f>
        <v>-0.37102983638113579</v>
      </c>
      <c r="AB1090" s="1">
        <f>A1090</f>
        <v>46155</v>
      </c>
      <c r="AC1090" s="2">
        <f>B1090</f>
        <v>65.349999999999994</v>
      </c>
      <c r="AD1090" s="2">
        <f>1088</f>
        <v>1088</v>
      </c>
      <c r="AE1090" s="2">
        <f>INTERCEPT($AC$3:$AC$1136,$AD$3:$AD$1136)+SLOPE($AC$3:$AC$1136,$AD$3:$AD$1136)*AD1090</f>
        <v>61.945952144350535</v>
      </c>
      <c r="AF1090" s="2">
        <f t="shared" si="32"/>
        <v>64.597611744753237</v>
      </c>
      <c r="AG1090" s="2">
        <f t="shared" si="33"/>
        <v>59.29429254394784</v>
      </c>
      <c r="AH1090" s="22">
        <f>AC1090-AE1090</f>
        <v>3.4040478556494591</v>
      </c>
    </row>
    <row r="1091" spans="1:34" x14ac:dyDescent="0.25">
      <c r="A1091" s="1">
        <f>DATEVALUE(Sheet1!A1090)</f>
        <v>46156</v>
      </c>
      <c r="B1091" s="2">
        <f>VALUE(Sheet1!B1090)</f>
        <v>65.42</v>
      </c>
      <c r="C1091" s="9">
        <f>(B1091-B1090)/B1090</f>
        <v>1.0711553175211538E-3</v>
      </c>
      <c r="D1091" s="2">
        <f>MAX(D1090,B1091)</f>
        <v>103.9</v>
      </c>
      <c r="E1091" s="9">
        <f>(B1091-D1091)/D1091</f>
        <v>-0.37035611164581328</v>
      </c>
      <c r="AB1091" s="1">
        <f>A1091</f>
        <v>46156</v>
      </c>
      <c r="AC1091" s="2">
        <f>B1091</f>
        <v>65.42</v>
      </c>
      <c r="AD1091" s="2">
        <f>1089</f>
        <v>1089</v>
      </c>
      <c r="AE1091" s="2">
        <f>INTERCEPT($AC$3:$AC$1136,$AD$3:$AD$1136)+SLOPE($AC$3:$AC$1136,$AD$3:$AD$1136)*AD1091</f>
        <v>61.927240180938085</v>
      </c>
      <c r="AF1091" s="2">
        <f t="shared" si="32"/>
        <v>64.57889978134078</v>
      </c>
      <c r="AG1091" s="2">
        <f t="shared" si="33"/>
        <v>59.27558058053539</v>
      </c>
      <c r="AH1091" s="22">
        <f>AC1091-AE1091</f>
        <v>3.4927598190619165</v>
      </c>
    </row>
    <row r="1092" spans="1:34" x14ac:dyDescent="0.25">
      <c r="A1092" s="1">
        <f>DATEVALUE(Sheet1!A1091)</f>
        <v>46157</v>
      </c>
      <c r="B1092" s="2">
        <f>VALUE(Sheet1!B1091)</f>
        <v>65.36</v>
      </c>
      <c r="C1092" s="9">
        <f>(B1092-B1091)/B1091</f>
        <v>-9.1715071843476419E-4</v>
      </c>
      <c r="D1092" s="2">
        <f>MAX(D1091,B1092)</f>
        <v>103.9</v>
      </c>
      <c r="E1092" s="9">
        <f>(B1092-D1092)/D1092</f>
        <v>-0.3709335899903754</v>
      </c>
      <c r="AB1092" s="1">
        <f>A1092</f>
        <v>46157</v>
      </c>
      <c r="AC1092" s="2">
        <f>B1092</f>
        <v>65.36</v>
      </c>
      <c r="AD1092" s="2">
        <f>1090</f>
        <v>1090</v>
      </c>
      <c r="AE1092" s="2">
        <f>INTERCEPT($AC$3:$AC$1136,$AD$3:$AD$1136)+SLOPE($AC$3:$AC$1136,$AD$3:$AD$1136)*AD1092</f>
        <v>61.908528217525642</v>
      </c>
      <c r="AF1092" s="2">
        <f t="shared" ref="AF1092:AF1136" si="34">AE1092+$AJ$5*$AJ$4</f>
        <v>64.560187817928337</v>
      </c>
      <c r="AG1092" s="2">
        <f t="shared" ref="AG1092:AG1136" si="35">AE1092-$AJ$5*$AJ$4</f>
        <v>59.256868617122947</v>
      </c>
      <c r="AH1092" s="22">
        <f>AC1092-AE1092</f>
        <v>3.451471782474357</v>
      </c>
    </row>
    <row r="1093" spans="1:34" x14ac:dyDescent="0.25">
      <c r="A1093" s="1">
        <f>DATEVALUE(Sheet1!A1092)</f>
        <v>46160</v>
      </c>
      <c r="B1093" s="2">
        <f>VALUE(Sheet1!B1092)</f>
        <v>65.319999999999993</v>
      </c>
      <c r="C1093" s="9">
        <f>(B1093-B1092)/B1092</f>
        <v>-6.1199510403926337E-4</v>
      </c>
      <c r="D1093" s="2">
        <f>MAX(D1092,B1093)</f>
        <v>103.9</v>
      </c>
      <c r="E1093" s="9">
        <f>(B1093-D1093)/D1093</f>
        <v>-0.37131857555341685</v>
      </c>
      <c r="AB1093" s="1">
        <f>A1093</f>
        <v>46160</v>
      </c>
      <c r="AC1093" s="2">
        <f>B1093</f>
        <v>65.319999999999993</v>
      </c>
      <c r="AD1093" s="2">
        <f>1091</f>
        <v>1091</v>
      </c>
      <c r="AE1093" s="2">
        <f>INTERCEPT($AC$3:$AC$1136,$AD$3:$AD$1136)+SLOPE($AC$3:$AC$1136,$AD$3:$AD$1136)*AD1093</f>
        <v>61.8898162541132</v>
      </c>
      <c r="AF1093" s="2">
        <f t="shared" si="34"/>
        <v>64.541475854515895</v>
      </c>
      <c r="AG1093" s="2">
        <f t="shared" si="35"/>
        <v>59.238156653710504</v>
      </c>
      <c r="AH1093" s="22">
        <f>AC1093-AE1093</f>
        <v>3.4301837458867936</v>
      </c>
    </row>
    <row r="1094" spans="1:34" x14ac:dyDescent="0.25">
      <c r="A1094" s="1">
        <f>DATEVALUE(Sheet1!A1093)</f>
        <v>46161</v>
      </c>
      <c r="B1094" s="2">
        <f>VALUE(Sheet1!B1093)</f>
        <v>65.28</v>
      </c>
      <c r="C1094" s="9">
        <f>(B1094-B1093)/B1093</f>
        <v>-6.1236987140220525E-4</v>
      </c>
      <c r="D1094" s="2">
        <f>MAX(D1093,B1094)</f>
        <v>103.9</v>
      </c>
      <c r="E1094" s="9">
        <f>(B1094-D1094)/D1094</f>
        <v>-0.37170356111645814</v>
      </c>
      <c r="AB1094" s="1">
        <f>A1094</f>
        <v>46161</v>
      </c>
      <c r="AC1094" s="2">
        <f>B1094</f>
        <v>65.28</v>
      </c>
      <c r="AD1094" s="2">
        <f>1092</f>
        <v>1092</v>
      </c>
      <c r="AE1094" s="2">
        <f>INTERCEPT($AC$3:$AC$1136,$AD$3:$AD$1136)+SLOPE($AC$3:$AC$1136,$AD$3:$AD$1136)*AD1094</f>
        <v>61.87110429070075</v>
      </c>
      <c r="AF1094" s="2">
        <f t="shared" si="34"/>
        <v>64.522763891103452</v>
      </c>
      <c r="AG1094" s="2">
        <f t="shared" si="35"/>
        <v>59.219444690298054</v>
      </c>
      <c r="AH1094" s="22">
        <f>AC1094-AE1094</f>
        <v>3.4088957092992516</v>
      </c>
    </row>
    <row r="1095" spans="1:34" x14ac:dyDescent="0.25">
      <c r="A1095" s="1">
        <f>DATEVALUE(Sheet1!A1094)</f>
        <v>46162</v>
      </c>
      <c r="B1095" s="2">
        <f>VALUE(Sheet1!B1094)</f>
        <v>65.34</v>
      </c>
      <c r="C1095" s="9">
        <f>(B1095-B1094)/B1094</f>
        <v>9.1911764705885832E-4</v>
      </c>
      <c r="D1095" s="2">
        <f>MAX(D1094,B1095)</f>
        <v>103.9</v>
      </c>
      <c r="E1095" s="9">
        <f>(B1095-D1095)/D1095</f>
        <v>-0.37112608277189607</v>
      </c>
      <c r="AB1095" s="1">
        <f>A1095</f>
        <v>46162</v>
      </c>
      <c r="AC1095" s="2">
        <f>B1095</f>
        <v>65.34</v>
      </c>
      <c r="AD1095" s="2">
        <f>1093</f>
        <v>1093</v>
      </c>
      <c r="AE1095" s="2">
        <f>INTERCEPT($AC$3:$AC$1136,$AD$3:$AD$1136)+SLOPE($AC$3:$AC$1136,$AD$3:$AD$1136)*AD1095</f>
        <v>61.8523923272883</v>
      </c>
      <c r="AF1095" s="2">
        <f t="shared" si="34"/>
        <v>64.504051927690995</v>
      </c>
      <c r="AG1095" s="2">
        <f t="shared" si="35"/>
        <v>59.200732726885605</v>
      </c>
      <c r="AH1095" s="22">
        <f>AC1095-AE1095</f>
        <v>3.4876076727117038</v>
      </c>
    </row>
    <row r="1096" spans="1:34" x14ac:dyDescent="0.25">
      <c r="A1096" s="1">
        <f>DATEVALUE(Sheet1!A1095)</f>
        <v>46163</v>
      </c>
      <c r="B1096" s="2">
        <f>VALUE(Sheet1!B1095)</f>
        <v>65.41</v>
      </c>
      <c r="C1096" s="9">
        <f>(B1096-B1095)/B1095</f>
        <v>1.0713192531373306E-3</v>
      </c>
      <c r="D1096" s="2">
        <f>MAX(D1095,B1096)</f>
        <v>103.9</v>
      </c>
      <c r="E1096" s="9">
        <f>(B1096-D1096)/D1096</f>
        <v>-0.37045235803657367</v>
      </c>
      <c r="AB1096" s="1">
        <f>A1096</f>
        <v>46163</v>
      </c>
      <c r="AC1096" s="2">
        <f>B1096</f>
        <v>65.41</v>
      </c>
      <c r="AD1096" s="2">
        <f>1094</f>
        <v>1094</v>
      </c>
      <c r="AE1096" s="2">
        <f>INTERCEPT($AC$3:$AC$1136,$AD$3:$AD$1136)+SLOPE($AC$3:$AC$1136,$AD$3:$AD$1136)*AD1096</f>
        <v>61.833680363875857</v>
      </c>
      <c r="AF1096" s="2">
        <f t="shared" si="34"/>
        <v>64.485339964278552</v>
      </c>
      <c r="AG1096" s="2">
        <f t="shared" si="35"/>
        <v>59.182020763473162</v>
      </c>
      <c r="AH1096" s="22">
        <f>AC1096-AE1096</f>
        <v>3.5763196361241398</v>
      </c>
    </row>
    <row r="1097" spans="1:34" x14ac:dyDescent="0.25">
      <c r="A1097" s="1">
        <f>DATEVALUE(Sheet1!A1096)</f>
        <v>46164</v>
      </c>
      <c r="B1097" s="2">
        <f>VALUE(Sheet1!B1096)</f>
        <v>65.47</v>
      </c>
      <c r="C1097" s="9">
        <f>(B1097-B1096)/B1096</f>
        <v>9.1729093410796933E-4</v>
      </c>
      <c r="D1097" s="2">
        <f>MAX(D1096,B1097)</f>
        <v>103.9</v>
      </c>
      <c r="E1097" s="9">
        <f>(B1097-D1097)/D1097</f>
        <v>-0.3698748796920116</v>
      </c>
      <c r="AB1097" s="1">
        <f>A1097</f>
        <v>46164</v>
      </c>
      <c r="AC1097" s="2">
        <f>B1097</f>
        <v>65.47</v>
      </c>
      <c r="AD1097" s="2">
        <f>1095</f>
        <v>1095</v>
      </c>
      <c r="AE1097" s="2">
        <f>INTERCEPT($AC$3:$AC$1136,$AD$3:$AD$1136)+SLOPE($AC$3:$AC$1136,$AD$3:$AD$1136)*AD1097</f>
        <v>61.814968400463414</v>
      </c>
      <c r="AF1097" s="2">
        <f t="shared" si="34"/>
        <v>64.466628000866109</v>
      </c>
      <c r="AG1097" s="2">
        <f t="shared" si="35"/>
        <v>59.163308800060719</v>
      </c>
      <c r="AH1097" s="22">
        <f>AC1097-AE1097</f>
        <v>3.655031599536585</v>
      </c>
    </row>
    <row r="1098" spans="1:34" x14ac:dyDescent="0.25">
      <c r="A1098" s="1">
        <f>DATEVALUE(Sheet1!A1097)</f>
        <v>46167</v>
      </c>
      <c r="B1098" s="2">
        <f>VALUE(Sheet1!B1097)</f>
        <v>65.39</v>
      </c>
      <c r="C1098" s="9">
        <f>(B1098-B1097)/B1097</f>
        <v>-1.2219337100962012E-3</v>
      </c>
      <c r="D1098" s="2">
        <f>MAX(D1097,B1098)</f>
        <v>103.9</v>
      </c>
      <c r="E1098" s="9">
        <f>(B1098-D1098)/D1098</f>
        <v>-0.37064485081809434</v>
      </c>
      <c r="AB1098" s="1">
        <f>A1098</f>
        <v>46167</v>
      </c>
      <c r="AC1098" s="2">
        <f>B1098</f>
        <v>65.39</v>
      </c>
      <c r="AD1098" s="2">
        <f>1096</f>
        <v>1096</v>
      </c>
      <c r="AE1098" s="2">
        <f>INTERCEPT($AC$3:$AC$1136,$AD$3:$AD$1136)+SLOPE($AC$3:$AC$1136,$AD$3:$AD$1136)*AD1098</f>
        <v>61.796256437050964</v>
      </c>
      <c r="AF1098" s="2">
        <f t="shared" si="34"/>
        <v>64.447916037453666</v>
      </c>
      <c r="AG1098" s="2">
        <f t="shared" si="35"/>
        <v>59.144596836648269</v>
      </c>
      <c r="AH1098" s="22">
        <f>AC1098-AE1098</f>
        <v>3.5937435629490366</v>
      </c>
    </row>
    <row r="1099" spans="1:34" x14ac:dyDescent="0.25">
      <c r="A1099" s="1">
        <f>DATEVALUE(Sheet1!A1098)</f>
        <v>46168</v>
      </c>
      <c r="B1099" s="2">
        <f>VALUE(Sheet1!B1098)</f>
        <v>64.989999999999995</v>
      </c>
      <c r="C1099" s="9">
        <f>(B1099-B1098)/B1098</f>
        <v>-6.1171432940817505E-3</v>
      </c>
      <c r="D1099" s="2">
        <f>MAX(D1098,B1099)</f>
        <v>103.9</v>
      </c>
      <c r="E1099" s="9">
        <f>(B1099-D1099)/D1099</f>
        <v>-0.37449470644850824</v>
      </c>
      <c r="AB1099" s="1">
        <f>A1099</f>
        <v>46168</v>
      </c>
      <c r="AC1099" s="2">
        <f>B1099</f>
        <v>64.989999999999995</v>
      </c>
      <c r="AD1099" s="2">
        <f>1097</f>
        <v>1097</v>
      </c>
      <c r="AE1099" s="2">
        <f>INTERCEPT($AC$3:$AC$1136,$AD$3:$AD$1136)+SLOPE($AC$3:$AC$1136,$AD$3:$AD$1136)*AD1099</f>
        <v>61.777544473638514</v>
      </c>
      <c r="AF1099" s="2">
        <f t="shared" si="34"/>
        <v>64.429204074041209</v>
      </c>
      <c r="AG1099" s="2">
        <f t="shared" si="35"/>
        <v>59.125884873235819</v>
      </c>
      <c r="AH1099" s="22">
        <f>AC1099-AE1099</f>
        <v>3.2124555263614809</v>
      </c>
    </row>
    <row r="1100" spans="1:34" x14ac:dyDescent="0.25">
      <c r="A1100" s="1">
        <f>DATEVALUE(Sheet1!A1099)</f>
        <v>46169</v>
      </c>
      <c r="B1100" s="2">
        <f>VALUE(Sheet1!B1099)</f>
        <v>65.13</v>
      </c>
      <c r="C1100" s="9">
        <f>(B1100-B1099)/B1099</f>
        <v>2.1541775657793597E-3</v>
      </c>
      <c r="D1100" s="2">
        <f>MAX(D1099,B1100)</f>
        <v>103.9</v>
      </c>
      <c r="E1100" s="9">
        <f>(B1100-D1100)/D1100</f>
        <v>-0.37314725697786338</v>
      </c>
      <c r="AB1100" s="1">
        <f>A1100</f>
        <v>46169</v>
      </c>
      <c r="AC1100" s="2">
        <f>B1100</f>
        <v>65.13</v>
      </c>
      <c r="AD1100" s="2">
        <f>1098</f>
        <v>1098</v>
      </c>
      <c r="AE1100" s="2">
        <f>INTERCEPT($AC$3:$AC$1136,$AD$3:$AD$1136)+SLOPE($AC$3:$AC$1136,$AD$3:$AD$1136)*AD1100</f>
        <v>61.758832510226071</v>
      </c>
      <c r="AF1100" s="2">
        <f t="shared" si="34"/>
        <v>64.410492110628766</v>
      </c>
      <c r="AG1100" s="2">
        <f t="shared" si="35"/>
        <v>59.107172909823376</v>
      </c>
      <c r="AH1100" s="22">
        <f>AC1100-AE1100</f>
        <v>3.3711674897739243</v>
      </c>
    </row>
    <row r="1101" spans="1:34" x14ac:dyDescent="0.25">
      <c r="A1101" s="1">
        <f>DATEVALUE(Sheet1!A1100)</f>
        <v>46170</v>
      </c>
      <c r="B1101" s="2">
        <f>VALUE(Sheet1!B1100)</f>
        <v>64.900000000000006</v>
      </c>
      <c r="C1101" s="9">
        <f>(B1101-B1100)/B1100</f>
        <v>-3.5313987409794226E-3</v>
      </c>
      <c r="D1101" s="2">
        <f>MAX(D1100,B1101)</f>
        <v>103.9</v>
      </c>
      <c r="E1101" s="9">
        <f>(B1101-D1101)/D1101</f>
        <v>-0.37536092396535126</v>
      </c>
      <c r="AB1101" s="1">
        <f>A1101</f>
        <v>46170</v>
      </c>
      <c r="AC1101" s="2">
        <f>B1101</f>
        <v>64.900000000000006</v>
      </c>
      <c r="AD1101" s="2">
        <f>1099</f>
        <v>1099</v>
      </c>
      <c r="AE1101" s="2">
        <f>INTERCEPT($AC$3:$AC$1136,$AD$3:$AD$1136)+SLOPE($AC$3:$AC$1136,$AD$3:$AD$1136)*AD1101</f>
        <v>61.740120546813628</v>
      </c>
      <c r="AF1101" s="2">
        <f t="shared" si="34"/>
        <v>64.391780147216323</v>
      </c>
      <c r="AG1101" s="2">
        <f t="shared" si="35"/>
        <v>59.088460946410933</v>
      </c>
      <c r="AH1101" s="22">
        <f>AC1101-AE1101</f>
        <v>3.1598794531863774</v>
      </c>
    </row>
    <row r="1102" spans="1:34" x14ac:dyDescent="0.25">
      <c r="A1102" s="1">
        <f>DATEVALUE(Sheet1!A1101)</f>
        <v>46171</v>
      </c>
      <c r="B1102" s="2">
        <f>VALUE(Sheet1!B1101)</f>
        <v>64.91</v>
      </c>
      <c r="C1102" s="9">
        <f>(B1102-B1101)/B1101</f>
        <v>1.540832049305224E-4</v>
      </c>
      <c r="D1102" s="2">
        <f>MAX(D1101,B1102)</f>
        <v>103.9</v>
      </c>
      <c r="E1102" s="9">
        <f>(B1102-D1102)/D1102</f>
        <v>-0.37526467757459103</v>
      </c>
      <c r="AB1102" s="1">
        <f>A1102</f>
        <v>46171</v>
      </c>
      <c r="AC1102" s="2">
        <f>B1102</f>
        <v>64.91</v>
      </c>
      <c r="AD1102" s="2">
        <f>1100</f>
        <v>1100</v>
      </c>
      <c r="AE1102" s="2">
        <f>INTERCEPT($AC$3:$AC$1136,$AD$3:$AD$1136)+SLOPE($AC$3:$AC$1136,$AD$3:$AD$1136)*AD1102</f>
        <v>61.721408583401171</v>
      </c>
      <c r="AF1102" s="2">
        <f t="shared" si="34"/>
        <v>64.373068183803866</v>
      </c>
      <c r="AG1102" s="2">
        <f t="shared" si="35"/>
        <v>59.069748982998476</v>
      </c>
      <c r="AH1102" s="22">
        <f>AC1102-AE1102</f>
        <v>3.1885914165988254</v>
      </c>
    </row>
    <row r="1103" spans="1:34" x14ac:dyDescent="0.25">
      <c r="A1103" s="1">
        <f>DATEVALUE(Sheet1!A1102)</f>
        <v>46174</v>
      </c>
      <c r="B1103" s="2">
        <f>VALUE(Sheet1!B1102)</f>
        <v>64.760000000000005</v>
      </c>
      <c r="C1103" s="9">
        <f>(B1103-B1102)/B1102</f>
        <v>-2.3108920043135336E-3</v>
      </c>
      <c r="D1103" s="2">
        <f>MAX(D1102,B1103)</f>
        <v>103.9</v>
      </c>
      <c r="E1103" s="9">
        <f>(B1103-D1103)/D1103</f>
        <v>-0.37670837343599611</v>
      </c>
      <c r="AB1103" s="1">
        <f>A1103</f>
        <v>46174</v>
      </c>
      <c r="AC1103" s="2">
        <f>B1103</f>
        <v>64.760000000000005</v>
      </c>
      <c r="AD1103" s="2">
        <f>1101</f>
        <v>1101</v>
      </c>
      <c r="AE1103" s="2">
        <f>INTERCEPT($AC$3:$AC$1136,$AD$3:$AD$1136)+SLOPE($AC$3:$AC$1136,$AD$3:$AD$1136)*AD1103</f>
        <v>61.702696619988728</v>
      </c>
      <c r="AF1103" s="2">
        <f t="shared" si="34"/>
        <v>64.354356220391423</v>
      </c>
      <c r="AG1103" s="2">
        <f t="shared" si="35"/>
        <v>59.051037019586033</v>
      </c>
      <c r="AH1103" s="22">
        <f>AC1103-AE1103</f>
        <v>3.0573033800112768</v>
      </c>
    </row>
    <row r="1104" spans="1:34" x14ac:dyDescent="0.25">
      <c r="A1104" s="1">
        <f>DATEVALUE(Sheet1!A1103)</f>
        <v>46175</v>
      </c>
      <c r="B1104" s="2">
        <f>VALUE(Sheet1!B1103)</f>
        <v>64.540000000000006</v>
      </c>
      <c r="C1104" s="9">
        <f>(B1104-B1103)/B1103</f>
        <v>-3.397158739962922E-3</v>
      </c>
      <c r="D1104" s="2">
        <f>MAX(D1103,B1104)</f>
        <v>103.9</v>
      </c>
      <c r="E1104" s="9">
        <f>(B1104-D1104)/D1104</f>
        <v>-0.37882579403272376</v>
      </c>
      <c r="AB1104" s="1">
        <f>A1104</f>
        <v>46175</v>
      </c>
      <c r="AC1104" s="2">
        <f>B1104</f>
        <v>64.540000000000006</v>
      </c>
      <c r="AD1104" s="2">
        <f>1102</f>
        <v>1102</v>
      </c>
      <c r="AE1104" s="2">
        <f>INTERCEPT($AC$3:$AC$1136,$AD$3:$AD$1136)+SLOPE($AC$3:$AC$1136,$AD$3:$AD$1136)*AD1104</f>
        <v>61.683984656576285</v>
      </c>
      <c r="AF1104" s="2">
        <f t="shared" si="34"/>
        <v>64.335644256978981</v>
      </c>
      <c r="AG1104" s="2">
        <f t="shared" si="35"/>
        <v>59.03232505617359</v>
      </c>
      <c r="AH1104" s="22">
        <f>AC1104-AE1104</f>
        <v>2.8560153434237208</v>
      </c>
    </row>
    <row r="1105" spans="1:34" x14ac:dyDescent="0.25">
      <c r="A1105" s="1">
        <f>DATEVALUE(Sheet1!A1104)</f>
        <v>46176</v>
      </c>
      <c r="B1105" s="2">
        <f>VALUE(Sheet1!B1104)</f>
        <v>64.510000000000005</v>
      </c>
      <c r="C1105" s="9">
        <f>(B1105-B1104)/B1104</f>
        <v>-4.6482801363497263E-4</v>
      </c>
      <c r="D1105" s="2">
        <f>MAX(D1104,B1105)</f>
        <v>103.9</v>
      </c>
      <c r="E1105" s="9">
        <f>(B1105-D1105)/D1105</f>
        <v>-0.37911453320500482</v>
      </c>
      <c r="AB1105" s="1">
        <f>A1105</f>
        <v>46176</v>
      </c>
      <c r="AC1105" s="2">
        <f>B1105</f>
        <v>64.510000000000005</v>
      </c>
      <c r="AD1105" s="2">
        <f>1103</f>
        <v>1103</v>
      </c>
      <c r="AE1105" s="2">
        <f>INTERCEPT($AC$3:$AC$1136,$AD$3:$AD$1136)+SLOPE($AC$3:$AC$1136,$AD$3:$AD$1136)*AD1105</f>
        <v>61.665272693163836</v>
      </c>
      <c r="AF1105" s="2">
        <f t="shared" si="34"/>
        <v>64.316932293566538</v>
      </c>
      <c r="AG1105" s="2">
        <f t="shared" si="35"/>
        <v>59.01361309276114</v>
      </c>
      <c r="AH1105" s="22">
        <f>AC1105-AE1105</f>
        <v>2.8447273068361696</v>
      </c>
    </row>
    <row r="1106" spans="1:34" x14ac:dyDescent="0.25">
      <c r="A1106" s="1">
        <f>DATEVALUE(Sheet1!A1105)</f>
        <v>46178</v>
      </c>
      <c r="B1106" s="2">
        <f>VALUE(Sheet1!B1105)</f>
        <v>64.5</v>
      </c>
      <c r="C1106" s="9">
        <f>(B1106-B1105)/B1105</f>
        <v>-1.5501472639908721E-4</v>
      </c>
      <c r="D1106" s="2">
        <f>MAX(D1105,B1106)</f>
        <v>103.9</v>
      </c>
      <c r="E1106" s="9">
        <f>(B1106-D1106)/D1106</f>
        <v>-0.37921077959576521</v>
      </c>
      <c r="AB1106" s="1">
        <f>A1106</f>
        <v>46178</v>
      </c>
      <c r="AC1106" s="2">
        <f>B1106</f>
        <v>64.5</v>
      </c>
      <c r="AD1106" s="2">
        <f>1104</f>
        <v>1104</v>
      </c>
      <c r="AE1106" s="2">
        <f>INTERCEPT($AC$3:$AC$1136,$AD$3:$AD$1136)+SLOPE($AC$3:$AC$1136,$AD$3:$AD$1136)*AD1106</f>
        <v>61.646560729751386</v>
      </c>
      <c r="AF1106" s="2">
        <f t="shared" si="34"/>
        <v>64.298220330154081</v>
      </c>
      <c r="AG1106" s="2">
        <f t="shared" si="35"/>
        <v>58.99490112934869</v>
      </c>
      <c r="AH1106" s="22">
        <f>AC1106-AE1106</f>
        <v>2.8534392702486144</v>
      </c>
    </row>
    <row r="1107" spans="1:34" x14ac:dyDescent="0.25">
      <c r="A1107" s="1">
        <f>DATEVALUE(Sheet1!A1106)</f>
        <v>46181</v>
      </c>
      <c r="B1107" s="2">
        <f>VALUE(Sheet1!B1106)</f>
        <v>64.540000000000006</v>
      </c>
      <c r="C1107" s="9">
        <f>(B1107-B1106)/B1106</f>
        <v>6.2015503875978688E-4</v>
      </c>
      <c r="D1107" s="2">
        <f>MAX(D1106,B1107)</f>
        <v>103.9</v>
      </c>
      <c r="E1107" s="9">
        <f>(B1107-D1107)/D1107</f>
        <v>-0.37882579403272376</v>
      </c>
      <c r="AB1107" s="1">
        <f>A1107</f>
        <v>46181</v>
      </c>
      <c r="AC1107" s="2">
        <f>B1107</f>
        <v>64.540000000000006</v>
      </c>
      <c r="AD1107" s="2">
        <f>1105</f>
        <v>1105</v>
      </c>
      <c r="AE1107" s="2">
        <f>INTERCEPT($AC$3:$AC$1136,$AD$3:$AD$1136)+SLOPE($AC$3:$AC$1136,$AD$3:$AD$1136)*AD1107</f>
        <v>61.627848766338943</v>
      </c>
      <c r="AF1107" s="2">
        <f t="shared" si="34"/>
        <v>64.279508366741638</v>
      </c>
      <c r="AG1107" s="2">
        <f t="shared" si="35"/>
        <v>58.976189165936248</v>
      </c>
      <c r="AH1107" s="22">
        <f>AC1107-AE1107</f>
        <v>2.9121512336610635</v>
      </c>
    </row>
    <row r="1108" spans="1:34" x14ac:dyDescent="0.25">
      <c r="A1108" s="1">
        <f>DATEVALUE(Sheet1!A1107)</f>
        <v>46182</v>
      </c>
      <c r="B1108" s="2">
        <f>VALUE(Sheet1!B1107)</f>
        <v>64.260000000000005</v>
      </c>
      <c r="C1108" s="9">
        <f>(B1108-B1107)/B1107</f>
        <v>-4.3383947939262648E-3</v>
      </c>
      <c r="D1108" s="2">
        <f>MAX(D1107,B1108)</f>
        <v>103.9</v>
      </c>
      <c r="E1108" s="9">
        <f>(B1108-D1108)/D1108</f>
        <v>-0.38152069297401348</v>
      </c>
      <c r="AB1108" s="1">
        <f>A1108</f>
        <v>46182</v>
      </c>
      <c r="AC1108" s="2">
        <f>B1108</f>
        <v>64.260000000000005</v>
      </c>
      <c r="AD1108" s="2">
        <f>1106</f>
        <v>1106</v>
      </c>
      <c r="AE1108" s="2">
        <f>INTERCEPT($AC$3:$AC$1136,$AD$3:$AD$1136)+SLOPE($AC$3:$AC$1136,$AD$3:$AD$1136)*AD1108</f>
        <v>61.6091368029265</v>
      </c>
      <c r="AF1108" s="2">
        <f t="shared" si="34"/>
        <v>64.260796403329195</v>
      </c>
      <c r="AG1108" s="2">
        <f t="shared" si="35"/>
        <v>58.957477202523805</v>
      </c>
      <c r="AH1108" s="22">
        <f>AC1108-AE1108</f>
        <v>2.6508631970735053</v>
      </c>
    </row>
    <row r="1109" spans="1:34" x14ac:dyDescent="0.25">
      <c r="A1109" s="1">
        <f>DATEVALUE(Sheet1!A1108)</f>
        <v>46183</v>
      </c>
      <c r="B1109" s="2">
        <f>VALUE(Sheet1!B1108)</f>
        <v>64.09</v>
      </c>
      <c r="C1109" s="9">
        <f>(B1109-B1108)/B1108</f>
        <v>-2.6455026455026718E-3</v>
      </c>
      <c r="D1109" s="2">
        <f>MAX(D1108,B1109)</f>
        <v>103.9</v>
      </c>
      <c r="E1109" s="9">
        <f>(B1109-D1109)/D1109</f>
        <v>-0.38315688161693939</v>
      </c>
      <c r="AB1109" s="1">
        <f>A1109</f>
        <v>46183</v>
      </c>
      <c r="AC1109" s="2">
        <f>B1109</f>
        <v>64.09</v>
      </c>
      <c r="AD1109" s="2">
        <f>1107</f>
        <v>1107</v>
      </c>
      <c r="AE1109" s="2">
        <f>INTERCEPT($AC$3:$AC$1136,$AD$3:$AD$1136)+SLOPE($AC$3:$AC$1136,$AD$3:$AD$1136)*AD1109</f>
        <v>61.59042483951405</v>
      </c>
      <c r="AF1109" s="2">
        <f t="shared" si="34"/>
        <v>64.242084439916752</v>
      </c>
      <c r="AG1109" s="2">
        <f t="shared" si="35"/>
        <v>58.938765239111355</v>
      </c>
      <c r="AH1109" s="22">
        <f>AC1109-AE1109</f>
        <v>2.4995751604859535</v>
      </c>
    </row>
    <row r="1110" spans="1:34" x14ac:dyDescent="0.25">
      <c r="A1110" s="1">
        <f>DATEVALUE(Sheet1!A1109)</f>
        <v>46184</v>
      </c>
      <c r="B1110" s="2">
        <f>VALUE(Sheet1!B1109)</f>
        <v>64.03</v>
      </c>
      <c r="C1110" s="9">
        <f>(B1110-B1109)/B1109</f>
        <v>-9.3618349196446043E-4</v>
      </c>
      <c r="D1110" s="2">
        <f>MAX(D1109,B1110)</f>
        <v>103.9</v>
      </c>
      <c r="E1110" s="9">
        <f>(B1110-D1110)/D1110</f>
        <v>-0.38373435996150146</v>
      </c>
      <c r="AB1110" s="1">
        <f>A1110</f>
        <v>46184</v>
      </c>
      <c r="AC1110" s="2">
        <f>B1110</f>
        <v>64.03</v>
      </c>
      <c r="AD1110" s="2">
        <f>1108</f>
        <v>1108</v>
      </c>
      <c r="AE1110" s="2">
        <f>INTERCEPT($AC$3:$AC$1136,$AD$3:$AD$1136)+SLOPE($AC$3:$AC$1136,$AD$3:$AD$1136)*AD1110</f>
        <v>61.5717128761016</v>
      </c>
      <c r="AF1110" s="2">
        <f t="shared" si="34"/>
        <v>64.223372476504295</v>
      </c>
      <c r="AG1110" s="2">
        <f t="shared" si="35"/>
        <v>58.920053275698905</v>
      </c>
      <c r="AH1110" s="22">
        <f>AC1110-AE1110</f>
        <v>2.4582871238984012</v>
      </c>
    </row>
    <row r="1111" spans="1:34" x14ac:dyDescent="0.25">
      <c r="A1111" s="1">
        <f>DATEVALUE(Sheet1!A1110)</f>
        <v>46185</v>
      </c>
      <c r="B1111" s="2">
        <f>VALUE(Sheet1!B1110)</f>
        <v>64.209999999999994</v>
      </c>
      <c r="C1111" s="9">
        <f>(B1111-B1110)/B1110</f>
        <v>2.8111822583162987E-3</v>
      </c>
      <c r="D1111" s="2">
        <f>MAX(D1110,B1111)</f>
        <v>103.9</v>
      </c>
      <c r="E1111" s="9">
        <f>(B1111-D1111)/D1111</f>
        <v>-0.38200192492781532</v>
      </c>
      <c r="AB1111" s="1">
        <f>A1111</f>
        <v>46185</v>
      </c>
      <c r="AC1111" s="2">
        <f>B1111</f>
        <v>64.209999999999994</v>
      </c>
      <c r="AD1111" s="2">
        <f>1109</f>
        <v>1109</v>
      </c>
      <c r="AE1111" s="2">
        <f>INTERCEPT($AC$3:$AC$1136,$AD$3:$AD$1136)+SLOPE($AC$3:$AC$1136,$AD$3:$AD$1136)*AD1111</f>
        <v>61.553000912689157</v>
      </c>
      <c r="AF1111" s="2">
        <f t="shared" si="34"/>
        <v>64.204660513091852</v>
      </c>
      <c r="AG1111" s="2">
        <f t="shared" si="35"/>
        <v>58.901341312286462</v>
      </c>
      <c r="AH1111" s="22">
        <f>AC1111-AE1111</f>
        <v>2.6569990873108367</v>
      </c>
    </row>
    <row r="1112" spans="1:34" x14ac:dyDescent="0.25">
      <c r="A1112" s="1">
        <f>DATEVALUE(Sheet1!A1111)</f>
        <v>46188</v>
      </c>
      <c r="B1112" s="2">
        <f>VALUE(Sheet1!B1111)</f>
        <v>62.97</v>
      </c>
      <c r="C1112" s="9">
        <f>(B1112-B1111)/B1111</f>
        <v>-1.931163370191551E-2</v>
      </c>
      <c r="D1112" s="2">
        <f>MAX(D1111,B1112)</f>
        <v>103.9</v>
      </c>
      <c r="E1112" s="9">
        <f>(B1112-D1112)/D1112</f>
        <v>-0.39393647738209819</v>
      </c>
      <c r="AB1112" s="1">
        <f>A1112</f>
        <v>46188</v>
      </c>
      <c r="AC1112" s="2">
        <f>B1112</f>
        <v>62.97</v>
      </c>
      <c r="AD1112" s="2">
        <f>1110</f>
        <v>1110</v>
      </c>
      <c r="AE1112" s="2">
        <f>INTERCEPT($AC$3:$AC$1136,$AD$3:$AD$1136)+SLOPE($AC$3:$AC$1136,$AD$3:$AD$1136)*AD1112</f>
        <v>61.534288949276714</v>
      </c>
      <c r="AF1112" s="2">
        <f t="shared" si="34"/>
        <v>64.185948549679409</v>
      </c>
      <c r="AG1112" s="2">
        <f t="shared" si="35"/>
        <v>58.882629348874019</v>
      </c>
      <c r="AH1112" s="22">
        <f>AC1112-AE1112</f>
        <v>1.4357110507232846</v>
      </c>
    </row>
    <row r="1113" spans="1:34" x14ac:dyDescent="0.25">
      <c r="A1113" s="1">
        <f>DATEVALUE(Sheet1!A1112)</f>
        <v>46189</v>
      </c>
      <c r="B1113" s="2">
        <f>VALUE(Sheet1!B1112)</f>
        <v>63.05</v>
      </c>
      <c r="C1113" s="9">
        <f>(B1113-B1112)/B1112</f>
        <v>1.2704462442432634E-3</v>
      </c>
      <c r="D1113" s="2">
        <f>MAX(D1112,B1113)</f>
        <v>103.9</v>
      </c>
      <c r="E1113" s="9">
        <f>(B1113-D1113)/D1113</f>
        <v>-0.39316650625601546</v>
      </c>
      <c r="AB1113" s="1">
        <f>A1113</f>
        <v>46189</v>
      </c>
      <c r="AC1113" s="2">
        <f>B1113</f>
        <v>63.05</v>
      </c>
      <c r="AD1113" s="2">
        <f>1111</f>
        <v>1111</v>
      </c>
      <c r="AE1113" s="2">
        <f>INTERCEPT($AC$3:$AC$1136,$AD$3:$AD$1136)+SLOPE($AC$3:$AC$1136,$AD$3:$AD$1136)*AD1113</f>
        <v>61.515576985864264</v>
      </c>
      <c r="AF1113" s="2">
        <f t="shared" si="34"/>
        <v>64.167236586266966</v>
      </c>
      <c r="AG1113" s="2">
        <f t="shared" si="35"/>
        <v>58.863917385461569</v>
      </c>
      <c r="AH1113" s="22">
        <f>AC1113-AE1113</f>
        <v>1.5344230141357329</v>
      </c>
    </row>
    <row r="1114" spans="1:34" x14ac:dyDescent="0.25">
      <c r="A1114" s="1">
        <f>DATEVALUE(Sheet1!A1113)</f>
        <v>46190</v>
      </c>
      <c r="B1114" s="2">
        <f>VALUE(Sheet1!B1113)</f>
        <v>62.99</v>
      </c>
      <c r="C1114" s="9">
        <f>(B1114-B1113)/B1113</f>
        <v>-9.5162569389365857E-4</v>
      </c>
      <c r="D1114" s="2">
        <f>MAX(D1113,B1114)</f>
        <v>103.9</v>
      </c>
      <c r="E1114" s="9">
        <f>(B1114-D1114)/D1114</f>
        <v>-0.39374398460057747</v>
      </c>
      <c r="AB1114" s="1">
        <f>A1114</f>
        <v>46190</v>
      </c>
      <c r="AC1114" s="2">
        <f>B1114</f>
        <v>62.99</v>
      </c>
      <c r="AD1114" s="2">
        <f>1112</f>
        <v>1112</v>
      </c>
      <c r="AE1114" s="2">
        <f>INTERCEPT($AC$3:$AC$1136,$AD$3:$AD$1136)+SLOPE($AC$3:$AC$1136,$AD$3:$AD$1136)*AD1114</f>
        <v>61.496865022451814</v>
      </c>
      <c r="AF1114" s="2">
        <f t="shared" si="34"/>
        <v>64.148524622854509</v>
      </c>
      <c r="AG1114" s="2">
        <f t="shared" si="35"/>
        <v>58.845205422049119</v>
      </c>
      <c r="AH1114" s="22">
        <f>AC1114-AE1114</f>
        <v>1.4931349775481877</v>
      </c>
    </row>
    <row r="1115" spans="1:34" x14ac:dyDescent="0.25">
      <c r="A1115" s="1">
        <f>DATEVALUE(Sheet1!A1114)</f>
        <v>46191</v>
      </c>
      <c r="B1115" s="2">
        <f>VALUE(Sheet1!B1114)</f>
        <v>62.89</v>
      </c>
      <c r="C1115" s="9">
        <f>(B1115-B1114)/B1114</f>
        <v>-1.5875535799333453E-3</v>
      </c>
      <c r="D1115" s="2">
        <f>MAX(D1114,B1115)</f>
        <v>103.9</v>
      </c>
      <c r="E1115" s="9">
        <f>(B1115-D1115)/D1115</f>
        <v>-0.39470644850818098</v>
      </c>
      <c r="AB1115" s="1">
        <f>A1115</f>
        <v>46191</v>
      </c>
      <c r="AC1115" s="2">
        <f>B1115</f>
        <v>62.89</v>
      </c>
      <c r="AD1115" s="2">
        <f>1113</f>
        <v>1113</v>
      </c>
      <c r="AE1115" s="2">
        <f>INTERCEPT($AC$3:$AC$1136,$AD$3:$AD$1136)+SLOPE($AC$3:$AC$1136,$AD$3:$AD$1136)*AD1115</f>
        <v>61.478153059039371</v>
      </c>
      <c r="AF1115" s="2">
        <f t="shared" si="34"/>
        <v>64.129812659442067</v>
      </c>
      <c r="AG1115" s="2">
        <f t="shared" si="35"/>
        <v>58.826493458636676</v>
      </c>
      <c r="AH1115" s="22">
        <f>AC1115-AE1115</f>
        <v>1.4118469409606291</v>
      </c>
    </row>
    <row r="1116" spans="1:34" x14ac:dyDescent="0.25">
      <c r="A1116" s="1">
        <f>DATEVALUE(Sheet1!A1115)</f>
        <v>46192</v>
      </c>
      <c r="B1116" s="2">
        <f>VALUE(Sheet1!B1115)</f>
        <v>62.97</v>
      </c>
      <c r="C1116" s="9">
        <f>(B1116-B1115)/B1115</f>
        <v>1.2720623310541945E-3</v>
      </c>
      <c r="D1116" s="2">
        <f>MAX(D1115,B1116)</f>
        <v>103.9</v>
      </c>
      <c r="E1116" s="9">
        <f>(B1116-D1116)/D1116</f>
        <v>-0.39393647738209819</v>
      </c>
      <c r="AB1116" s="1">
        <f>A1116</f>
        <v>46192</v>
      </c>
      <c r="AC1116" s="2">
        <f>B1116</f>
        <v>62.97</v>
      </c>
      <c r="AD1116" s="2">
        <f>1114</f>
        <v>1114</v>
      </c>
      <c r="AE1116" s="2">
        <f>INTERCEPT($AC$3:$AC$1136,$AD$3:$AD$1136)+SLOPE($AC$3:$AC$1136,$AD$3:$AD$1136)*AD1116</f>
        <v>61.459441095626921</v>
      </c>
      <c r="AF1116" s="2">
        <f t="shared" si="34"/>
        <v>64.111100696029624</v>
      </c>
      <c r="AG1116" s="2">
        <f t="shared" si="35"/>
        <v>58.807781495224226</v>
      </c>
      <c r="AH1116" s="22">
        <f>AC1116-AE1116</f>
        <v>1.5105589043730774</v>
      </c>
    </row>
    <row r="1117" spans="1:34" x14ac:dyDescent="0.25">
      <c r="A1117" s="1">
        <f>DATEVALUE(Sheet1!A1116)</f>
        <v>46195</v>
      </c>
      <c r="B1117" s="2">
        <f>VALUE(Sheet1!B1116)</f>
        <v>63.04</v>
      </c>
      <c r="C1117" s="9">
        <f>(B1117-B1116)/B1116</f>
        <v>1.1116404637128837E-3</v>
      </c>
      <c r="D1117" s="2">
        <f>MAX(D1116,B1117)</f>
        <v>103.9</v>
      </c>
      <c r="E1117" s="9">
        <f>(B1117-D1117)/D1117</f>
        <v>-0.39326275264677579</v>
      </c>
      <c r="AB1117" s="1">
        <f>A1117</f>
        <v>46195</v>
      </c>
      <c r="AC1117" s="2">
        <f>B1117</f>
        <v>63.04</v>
      </c>
      <c r="AD1117" s="2">
        <f>1115</f>
        <v>1115</v>
      </c>
      <c r="AE1117" s="2">
        <f>INTERCEPT($AC$3:$AC$1136,$AD$3:$AD$1136)+SLOPE($AC$3:$AC$1136,$AD$3:$AD$1136)*AD1117</f>
        <v>61.440729132214472</v>
      </c>
      <c r="AF1117" s="2">
        <f t="shared" si="34"/>
        <v>64.092388732617167</v>
      </c>
      <c r="AG1117" s="2">
        <f t="shared" si="35"/>
        <v>58.789069531811776</v>
      </c>
      <c r="AH1117" s="22">
        <f>AC1117-AE1117</f>
        <v>1.5992708677855276</v>
      </c>
    </row>
    <row r="1118" spans="1:34" x14ac:dyDescent="0.25">
      <c r="A1118" s="1">
        <f>DATEVALUE(Sheet1!A1117)</f>
        <v>46196</v>
      </c>
      <c r="B1118" s="2">
        <f>VALUE(Sheet1!B1117)</f>
        <v>63.12</v>
      </c>
      <c r="C1118" s="9">
        <f>(B1118-B1117)/B1117</f>
        <v>1.2690355329948969E-3</v>
      </c>
      <c r="D1118" s="2">
        <f>MAX(D1117,B1118)</f>
        <v>103.9</v>
      </c>
      <c r="E1118" s="9">
        <f>(B1118-D1118)/D1118</f>
        <v>-0.39249278152069306</v>
      </c>
      <c r="AB1118" s="1">
        <f>A1118</f>
        <v>46196</v>
      </c>
      <c r="AC1118" s="2">
        <f>B1118</f>
        <v>63.12</v>
      </c>
      <c r="AD1118" s="2">
        <f>1116</f>
        <v>1116</v>
      </c>
      <c r="AE1118" s="2">
        <f>INTERCEPT($AC$3:$AC$1136,$AD$3:$AD$1136)+SLOPE($AC$3:$AC$1136,$AD$3:$AD$1136)*AD1118</f>
        <v>61.422017168802029</v>
      </c>
      <c r="AF1118" s="2">
        <f t="shared" si="34"/>
        <v>64.073676769204724</v>
      </c>
      <c r="AG1118" s="2">
        <f t="shared" si="35"/>
        <v>58.770357568399334</v>
      </c>
      <c r="AH1118" s="22">
        <f>AC1118-AE1118</f>
        <v>1.6979828311979688</v>
      </c>
    </row>
    <row r="1119" spans="1:34" x14ac:dyDescent="0.25">
      <c r="A1119" s="1">
        <f>DATEVALUE(Sheet1!A1118)</f>
        <v>46197</v>
      </c>
      <c r="B1119" s="2">
        <f>VALUE(Sheet1!B1118)</f>
        <v>63.09</v>
      </c>
      <c r="C1119" s="9">
        <f>(B1119-B1118)/B1118</f>
        <v>-4.7528517110256705E-4</v>
      </c>
      <c r="D1119" s="2">
        <f>MAX(D1118,B1119)</f>
        <v>103.9</v>
      </c>
      <c r="E1119" s="9">
        <f>(B1119-D1119)/D1119</f>
        <v>-0.39278152069297401</v>
      </c>
      <c r="AB1119" s="1">
        <f>A1119</f>
        <v>46197</v>
      </c>
      <c r="AC1119" s="2">
        <f>B1119</f>
        <v>63.09</v>
      </c>
      <c r="AD1119" s="2">
        <f>1117</f>
        <v>1117</v>
      </c>
      <c r="AE1119" s="2">
        <f>INTERCEPT($AC$3:$AC$1136,$AD$3:$AD$1136)+SLOPE($AC$3:$AC$1136,$AD$3:$AD$1136)*AD1119</f>
        <v>61.403305205389586</v>
      </c>
      <c r="AF1119" s="2">
        <f t="shared" si="34"/>
        <v>64.054964805792281</v>
      </c>
      <c r="AG1119" s="2">
        <f t="shared" si="35"/>
        <v>58.751645604986891</v>
      </c>
      <c r="AH1119" s="22">
        <f>AC1119-AE1119</f>
        <v>1.6866947946104176</v>
      </c>
    </row>
    <row r="1120" spans="1:34" x14ac:dyDescent="0.25">
      <c r="A1120" s="1">
        <f>DATEVALUE(Sheet1!A1119)</f>
        <v>46198</v>
      </c>
      <c r="B1120" s="2">
        <f>VALUE(Sheet1!B1119)</f>
        <v>63.27</v>
      </c>
      <c r="C1120" s="9">
        <f>(B1120-B1119)/B1119</f>
        <v>2.8530670470756016E-3</v>
      </c>
      <c r="D1120" s="2">
        <f>MAX(D1119,B1120)</f>
        <v>103.9</v>
      </c>
      <c r="E1120" s="9">
        <f>(B1120-D1120)/D1120</f>
        <v>-0.39104908565928775</v>
      </c>
      <c r="AB1120" s="1">
        <f>A1120</f>
        <v>46198</v>
      </c>
      <c r="AC1120" s="2">
        <f>B1120</f>
        <v>63.27</v>
      </c>
      <c r="AD1120" s="2">
        <f>1118</f>
        <v>1118</v>
      </c>
      <c r="AE1120" s="2">
        <f>INTERCEPT($AC$3:$AC$1136,$AD$3:$AD$1136)+SLOPE($AC$3:$AC$1136,$AD$3:$AD$1136)*AD1120</f>
        <v>61.384593241977136</v>
      </c>
      <c r="AF1120" s="2">
        <f t="shared" si="34"/>
        <v>64.036252842379838</v>
      </c>
      <c r="AG1120" s="2">
        <f t="shared" si="35"/>
        <v>58.732933641574441</v>
      </c>
      <c r="AH1120" s="22">
        <f>AC1120-AE1120</f>
        <v>1.8854067580228673</v>
      </c>
    </row>
    <row r="1121" spans="1:34" x14ac:dyDescent="0.25">
      <c r="A1121" s="1">
        <f>DATEVALUE(Sheet1!A1120)</f>
        <v>46199</v>
      </c>
      <c r="B1121" s="2">
        <f>VALUE(Sheet1!B1120)</f>
        <v>63.45</v>
      </c>
      <c r="C1121" s="9">
        <f>(B1121-B1120)/B1120</f>
        <v>2.8449502133712614E-3</v>
      </c>
      <c r="D1121" s="2">
        <f>MAX(D1120,B1121)</f>
        <v>103.9</v>
      </c>
      <c r="E1121" s="9">
        <f>(B1121-D1121)/D1121</f>
        <v>-0.38931665062560156</v>
      </c>
      <c r="AB1121" s="1">
        <f>A1121</f>
        <v>46199</v>
      </c>
      <c r="AC1121" s="2">
        <f>B1121</f>
        <v>63.45</v>
      </c>
      <c r="AD1121" s="2">
        <f>1119</f>
        <v>1119</v>
      </c>
      <c r="AE1121" s="2">
        <f>INTERCEPT($AC$3:$AC$1136,$AD$3:$AD$1136)+SLOPE($AC$3:$AC$1136,$AD$3:$AD$1136)*AD1121</f>
        <v>61.365881278564686</v>
      </c>
      <c r="AF1121" s="2">
        <f t="shared" si="34"/>
        <v>64.017540878967381</v>
      </c>
      <c r="AG1121" s="2">
        <f t="shared" si="35"/>
        <v>58.714221678161991</v>
      </c>
      <c r="AH1121" s="22">
        <f>AC1121-AE1121</f>
        <v>2.084118721435317</v>
      </c>
    </row>
    <row r="1122" spans="1:34" x14ac:dyDescent="0.25">
      <c r="A1122" s="1">
        <f>DATEVALUE(Sheet1!A1121)</f>
        <v>46202</v>
      </c>
      <c r="B1122" s="2">
        <f>VALUE(Sheet1!B1121)</f>
        <v>63.4</v>
      </c>
      <c r="C1122" s="9">
        <f>(B1122-B1121)/B1121</f>
        <v>-7.8802206461787646E-4</v>
      </c>
      <c r="D1122" s="2">
        <f>MAX(D1121,B1122)</f>
        <v>103.9</v>
      </c>
      <c r="E1122" s="9">
        <f>(B1122-D1122)/D1122</f>
        <v>-0.38979788257940334</v>
      </c>
      <c r="AB1122" s="1">
        <f>A1122</f>
        <v>46202</v>
      </c>
      <c r="AC1122" s="2">
        <f>B1122</f>
        <v>63.4</v>
      </c>
      <c r="AD1122" s="2">
        <f>1120</f>
        <v>1120</v>
      </c>
      <c r="AE1122" s="2">
        <f>INTERCEPT($AC$3:$AC$1136,$AD$3:$AD$1136)+SLOPE($AC$3:$AC$1136,$AD$3:$AD$1136)*AD1122</f>
        <v>61.347169315152243</v>
      </c>
      <c r="AF1122" s="2">
        <f t="shared" si="34"/>
        <v>63.998828915554938</v>
      </c>
      <c r="AG1122" s="2">
        <f t="shared" si="35"/>
        <v>58.695509714749548</v>
      </c>
      <c r="AH1122" s="22">
        <f>AC1122-AE1122</f>
        <v>2.0528306848477555</v>
      </c>
    </row>
    <row r="1123" spans="1:34" x14ac:dyDescent="0.25">
      <c r="A1123" s="1">
        <f>DATEVALUE(Sheet1!A1122)</f>
        <v>46203</v>
      </c>
      <c r="B1123" s="2">
        <f>VALUE(Sheet1!B1122)</f>
        <v>63.58</v>
      </c>
      <c r="C1123" s="9">
        <f>(B1123-B1122)/B1122</f>
        <v>2.8391167192428979E-3</v>
      </c>
      <c r="D1123" s="2">
        <f>MAX(D1122,B1123)</f>
        <v>103.9</v>
      </c>
      <c r="E1123" s="9">
        <f>(B1123-D1123)/D1123</f>
        <v>-0.38806544754571709</v>
      </c>
      <c r="AB1123" s="1">
        <f>A1123</f>
        <v>46203</v>
      </c>
      <c r="AC1123" s="2">
        <f>B1123</f>
        <v>63.58</v>
      </c>
      <c r="AD1123" s="2">
        <f>1121</f>
        <v>1121</v>
      </c>
      <c r="AE1123" s="2">
        <f>INTERCEPT($AC$3:$AC$1136,$AD$3:$AD$1136)+SLOPE($AC$3:$AC$1136,$AD$3:$AD$1136)*AD1123</f>
        <v>61.3284573517398</v>
      </c>
      <c r="AF1123" s="2">
        <f t="shared" si="34"/>
        <v>63.980116952142495</v>
      </c>
      <c r="AG1123" s="2">
        <f t="shared" si="35"/>
        <v>58.676797751337105</v>
      </c>
      <c r="AH1123" s="22">
        <f>AC1123-AE1123</f>
        <v>2.2515426482601981</v>
      </c>
    </row>
    <row r="1124" spans="1:34" x14ac:dyDescent="0.25">
      <c r="A1124" s="1">
        <f>DATEVALUE(Sheet1!A1123)</f>
        <v>46204</v>
      </c>
      <c r="B1124" s="2">
        <f>VALUE(Sheet1!B1123)</f>
        <v>64.02</v>
      </c>
      <c r="C1124" s="9">
        <f>(B1124-B1123)/B1123</f>
        <v>6.9204152249134595E-3</v>
      </c>
      <c r="D1124" s="2">
        <f>MAX(D1123,B1124)</f>
        <v>103.9</v>
      </c>
      <c r="E1124" s="9">
        <f>(B1124-D1124)/D1124</f>
        <v>-0.38383060635226185</v>
      </c>
      <c r="AB1124" s="1">
        <f>A1124</f>
        <v>46204</v>
      </c>
      <c r="AC1124" s="2">
        <f>B1124</f>
        <v>64.02</v>
      </c>
      <c r="AD1124" s="2">
        <f>1122</f>
        <v>1122</v>
      </c>
      <c r="AE1124" s="2">
        <f>INTERCEPT($AC$3:$AC$1136,$AD$3:$AD$1136)+SLOPE($AC$3:$AC$1136,$AD$3:$AD$1136)*AD1124</f>
        <v>61.30974538832735</v>
      </c>
      <c r="AF1124" s="2">
        <f t="shared" si="34"/>
        <v>63.961404988730045</v>
      </c>
      <c r="AG1124" s="2">
        <f t="shared" si="35"/>
        <v>58.658085787924655</v>
      </c>
      <c r="AH1124" s="22">
        <f>AC1124-AE1124</f>
        <v>2.7102546116726458</v>
      </c>
    </row>
    <row r="1125" spans="1:34" x14ac:dyDescent="0.25">
      <c r="A1125" s="1">
        <f>DATEVALUE(Sheet1!A1124)</f>
        <v>46205</v>
      </c>
      <c r="B1125" s="2">
        <f>VALUE(Sheet1!B1124)</f>
        <v>64.13</v>
      </c>
      <c r="C1125" s="9">
        <f>(B1125-B1124)/B1124</f>
        <v>1.7182130584192353E-3</v>
      </c>
      <c r="D1125" s="2">
        <f>MAX(D1124,B1125)</f>
        <v>103.9</v>
      </c>
      <c r="E1125" s="9">
        <f>(B1125-D1125)/D1125</f>
        <v>-0.38277189605389805</v>
      </c>
      <c r="AB1125" s="1">
        <f>A1125</f>
        <v>46205</v>
      </c>
      <c r="AC1125" s="2">
        <f>B1125</f>
        <v>64.13</v>
      </c>
      <c r="AD1125" s="2">
        <f>1123</f>
        <v>1123</v>
      </c>
      <c r="AE1125" s="2">
        <f>INTERCEPT($AC$3:$AC$1136,$AD$3:$AD$1136)+SLOPE($AC$3:$AC$1136,$AD$3:$AD$1136)*AD1125</f>
        <v>61.2910334249149</v>
      </c>
      <c r="AF1125" s="2">
        <f t="shared" si="34"/>
        <v>63.942693025317595</v>
      </c>
      <c r="AG1125" s="2">
        <f t="shared" si="35"/>
        <v>58.639373824512205</v>
      </c>
      <c r="AH1125" s="22">
        <f>AC1125-AE1125</f>
        <v>2.8389665750850952</v>
      </c>
    </row>
    <row r="1126" spans="1:34" x14ac:dyDescent="0.25">
      <c r="A1126" s="1">
        <f>DATEVALUE(Sheet1!A1125)</f>
        <v>46206</v>
      </c>
      <c r="B1126" s="2">
        <f>VALUE(Sheet1!B1125)</f>
        <v>64.05</v>
      </c>
      <c r="C1126" s="9">
        <f>(B1126-B1125)/B1125</f>
        <v>-1.2474660845158006E-3</v>
      </c>
      <c r="D1126" s="2">
        <f>MAX(D1125,B1126)</f>
        <v>103.9</v>
      </c>
      <c r="E1126" s="9">
        <f>(B1126-D1126)/D1126</f>
        <v>-0.38354186717998079</v>
      </c>
      <c r="AB1126" s="1">
        <f>A1126</f>
        <v>46206</v>
      </c>
      <c r="AC1126" s="2">
        <f>B1126</f>
        <v>64.05</v>
      </c>
      <c r="AD1126" s="2">
        <f>1124</f>
        <v>1124</v>
      </c>
      <c r="AE1126" s="2">
        <f>INTERCEPT($AC$3:$AC$1136,$AD$3:$AD$1136)+SLOPE($AC$3:$AC$1136,$AD$3:$AD$1136)*AD1126</f>
        <v>61.272321461502457</v>
      </c>
      <c r="AF1126" s="2">
        <f t="shared" si="34"/>
        <v>63.923981061905153</v>
      </c>
      <c r="AG1126" s="2">
        <f t="shared" si="35"/>
        <v>58.620661861099762</v>
      </c>
      <c r="AH1126" s="22">
        <f>AC1126-AE1126</f>
        <v>2.7776785384975398</v>
      </c>
    </row>
    <row r="1127" spans="1:34" x14ac:dyDescent="0.25">
      <c r="A1127" s="1">
        <f>DATEVALUE(Sheet1!A1126)</f>
        <v>46209</v>
      </c>
      <c r="B1127" s="2">
        <f>VALUE(Sheet1!B1126)</f>
        <v>64</v>
      </c>
      <c r="C1127" s="9">
        <f>(B1127-B1126)/B1126</f>
        <v>-7.8064012490237564E-4</v>
      </c>
      <c r="D1127" s="2">
        <f>MAX(D1126,B1127)</f>
        <v>103.9</v>
      </c>
      <c r="E1127" s="9">
        <f>(B1127-D1127)/D1127</f>
        <v>-0.38402309913378252</v>
      </c>
      <c r="AB1127" s="1">
        <f>A1127</f>
        <v>46209</v>
      </c>
      <c r="AC1127" s="2">
        <f>B1127</f>
        <v>64</v>
      </c>
      <c r="AD1127" s="2">
        <f>1125</f>
        <v>1125</v>
      </c>
      <c r="AE1127" s="2">
        <f>INTERCEPT($AC$3:$AC$1136,$AD$3:$AD$1136)+SLOPE($AC$3:$AC$1136,$AD$3:$AD$1136)*AD1127</f>
        <v>61.253609498090007</v>
      </c>
      <c r="AF1127" s="2">
        <f t="shared" si="34"/>
        <v>63.905269098492703</v>
      </c>
      <c r="AG1127" s="2">
        <f t="shared" si="35"/>
        <v>58.601949897687312</v>
      </c>
      <c r="AH1127" s="22">
        <f>AC1127-AE1127</f>
        <v>2.7463905019099926</v>
      </c>
    </row>
    <row r="1128" spans="1:34" x14ac:dyDescent="0.25">
      <c r="A1128" s="1">
        <f>DATEVALUE(Sheet1!A1127)</f>
        <v>46210</v>
      </c>
      <c r="B1128" s="2">
        <f>VALUE(Sheet1!B1127)</f>
        <v>64.31</v>
      </c>
      <c r="C1128" s="9">
        <f>(B1128-B1127)/B1127</f>
        <v>4.8437500000000355E-3</v>
      </c>
      <c r="D1128" s="2">
        <f>MAX(D1127,B1128)</f>
        <v>103.9</v>
      </c>
      <c r="E1128" s="9">
        <f>(B1128-D1128)/D1128</f>
        <v>-0.38103946102021174</v>
      </c>
      <c r="AB1128" s="1">
        <f>A1128</f>
        <v>46210</v>
      </c>
      <c r="AC1128" s="2">
        <f>B1128</f>
        <v>64.31</v>
      </c>
      <c r="AD1128" s="2">
        <f>1126</f>
        <v>1126</v>
      </c>
      <c r="AE1128" s="2">
        <f>INTERCEPT($AC$3:$AC$1136,$AD$3:$AD$1136)+SLOPE($AC$3:$AC$1136,$AD$3:$AD$1136)*AD1128</f>
        <v>61.234897534677557</v>
      </c>
      <c r="AF1128" s="2">
        <f t="shared" si="34"/>
        <v>63.886557135080253</v>
      </c>
      <c r="AG1128" s="2">
        <f t="shared" si="35"/>
        <v>58.583237934274862</v>
      </c>
      <c r="AH1128" s="22">
        <f>AC1128-AE1128</f>
        <v>3.0751024653224448</v>
      </c>
    </row>
    <row r="1129" spans="1:34" x14ac:dyDescent="0.25">
      <c r="A1129" s="1">
        <f>DATEVALUE(Sheet1!A1128)</f>
        <v>46211</v>
      </c>
      <c r="B1129" s="2">
        <f>VALUE(Sheet1!B1128)</f>
        <v>64.37</v>
      </c>
      <c r="C1129" s="9">
        <f>(B1129-B1128)/B1128</f>
        <v>9.3298087389212059E-4</v>
      </c>
      <c r="D1129" s="2">
        <f>MAX(D1128,B1129)</f>
        <v>103.9</v>
      </c>
      <c r="E1129" s="9">
        <f>(B1129-D1129)/D1129</f>
        <v>-0.38046198267564968</v>
      </c>
      <c r="AB1129" s="1">
        <f>A1129</f>
        <v>46211</v>
      </c>
      <c r="AC1129" s="2">
        <f>B1129</f>
        <v>64.37</v>
      </c>
      <c r="AD1129" s="2">
        <f>1127</f>
        <v>1127</v>
      </c>
      <c r="AE1129" s="2">
        <f>INTERCEPT($AC$3:$AC$1136,$AD$3:$AD$1136)+SLOPE($AC$3:$AC$1136,$AD$3:$AD$1136)*AD1129</f>
        <v>61.216185571265115</v>
      </c>
      <c r="AF1129" s="2">
        <f t="shared" si="34"/>
        <v>63.86784517166781</v>
      </c>
      <c r="AG1129" s="2">
        <f t="shared" si="35"/>
        <v>58.56452597086242</v>
      </c>
      <c r="AH1129" s="22">
        <f>AC1129-AE1129</f>
        <v>3.1538144287348899</v>
      </c>
    </row>
    <row r="1130" spans="1:34" x14ac:dyDescent="0.25">
      <c r="A1130" s="1">
        <f>DATEVALUE(Sheet1!A1129)</f>
        <v>46212</v>
      </c>
      <c r="B1130" s="2">
        <f>VALUE(Sheet1!B1129)</f>
        <v>64.37</v>
      </c>
      <c r="C1130" s="9">
        <f>(B1130-B1129)/B1129</f>
        <v>0</v>
      </c>
      <c r="D1130" s="2">
        <f>MAX(D1129,B1130)</f>
        <v>103.9</v>
      </c>
      <c r="E1130" s="9">
        <f>(B1130-D1130)/D1130</f>
        <v>-0.38046198267564968</v>
      </c>
      <c r="AB1130" s="1">
        <f>A1130</f>
        <v>46212</v>
      </c>
      <c r="AC1130" s="2">
        <f>B1130</f>
        <v>64.37</v>
      </c>
      <c r="AD1130" s="2">
        <f>1128</f>
        <v>1128</v>
      </c>
      <c r="AE1130" s="2">
        <f>INTERCEPT($AC$3:$AC$1136,$AD$3:$AD$1136)+SLOPE($AC$3:$AC$1136,$AD$3:$AD$1136)*AD1130</f>
        <v>61.197473607852672</v>
      </c>
      <c r="AF1130" s="2">
        <f t="shared" si="34"/>
        <v>63.849133208255367</v>
      </c>
      <c r="AG1130" s="2">
        <f t="shared" si="35"/>
        <v>58.545814007449977</v>
      </c>
      <c r="AH1130" s="22">
        <f>AC1130-AE1130</f>
        <v>3.1725263921473328</v>
      </c>
    </row>
    <row r="1131" spans="1:34" x14ac:dyDescent="0.25">
      <c r="A1131" s="1">
        <f>DATEVALUE(Sheet1!A1130)</f>
        <v>46213</v>
      </c>
      <c r="B1131" s="2">
        <f>VALUE(Sheet1!B1130)</f>
        <v>64.510000000000005</v>
      </c>
      <c r="C1131" s="9">
        <f>(B1131-B1130)/B1130</f>
        <v>2.1749262078608134E-3</v>
      </c>
      <c r="D1131" s="2">
        <f>MAX(D1130,B1131)</f>
        <v>103.9</v>
      </c>
      <c r="E1131" s="9">
        <f>(B1131-D1131)/D1131</f>
        <v>-0.37911453320500482</v>
      </c>
      <c r="AB1131" s="1">
        <f>A1131</f>
        <v>46213</v>
      </c>
      <c r="AC1131" s="2">
        <f>B1131</f>
        <v>64.510000000000005</v>
      </c>
      <c r="AD1131" s="2">
        <f>1129</f>
        <v>1129</v>
      </c>
      <c r="AE1131" s="2">
        <f>INTERCEPT($AC$3:$AC$1136,$AD$3:$AD$1136)+SLOPE($AC$3:$AC$1136,$AD$3:$AD$1136)*AD1131</f>
        <v>61.178761644440222</v>
      </c>
      <c r="AF1131" s="2">
        <f t="shared" si="34"/>
        <v>63.830421244842917</v>
      </c>
      <c r="AG1131" s="2">
        <f t="shared" si="35"/>
        <v>58.527102044037527</v>
      </c>
      <c r="AH1131" s="22">
        <f>AC1131-AE1131</f>
        <v>3.3312383555597833</v>
      </c>
    </row>
    <row r="1132" spans="1:34" x14ac:dyDescent="0.25">
      <c r="A1132" s="1">
        <f>DATEVALUE(Sheet1!A1131)</f>
        <v>46216</v>
      </c>
      <c r="B1132" s="2">
        <f>VALUE(Sheet1!B1131)</f>
        <v>64.62</v>
      </c>
      <c r="C1132" s="9">
        <f>(B1132-B1131)/B1131</f>
        <v>1.705161990389078E-3</v>
      </c>
      <c r="D1132" s="2">
        <f>MAX(D1131,B1132)</f>
        <v>103.9</v>
      </c>
      <c r="E1132" s="9">
        <f>(B1132-D1132)/D1132</f>
        <v>-0.37805582290664097</v>
      </c>
      <c r="AB1132" s="1">
        <f>A1132</f>
        <v>46216</v>
      </c>
      <c r="AC1132" s="2">
        <f>B1132</f>
        <v>64.62</v>
      </c>
      <c r="AD1132" s="2">
        <f>1130</f>
        <v>1130</v>
      </c>
      <c r="AE1132" s="2">
        <f>INTERCEPT($AC$3:$AC$1136,$AD$3:$AD$1136)+SLOPE($AC$3:$AC$1136,$AD$3:$AD$1136)*AD1132</f>
        <v>61.160049681027772</v>
      </c>
      <c r="AF1132" s="2">
        <f t="shared" si="34"/>
        <v>63.811709281430467</v>
      </c>
      <c r="AG1132" s="2">
        <f t="shared" si="35"/>
        <v>58.508390080625077</v>
      </c>
      <c r="AH1132" s="22">
        <f>AC1132-AE1132</f>
        <v>3.4599503189722327</v>
      </c>
    </row>
    <row r="1133" spans="1:34" x14ac:dyDescent="0.25">
      <c r="A1133" s="1">
        <f>DATEVALUE(Sheet1!A1132)</f>
        <v>46217</v>
      </c>
      <c r="B1133" s="2">
        <f>VALUE(Sheet1!B1132)</f>
        <v>64.64</v>
      </c>
      <c r="C1133" s="9">
        <f>(B1133-B1132)/B1132</f>
        <v>3.0950170225930084E-4</v>
      </c>
      <c r="D1133" s="2">
        <f>MAX(D1132,B1133)</f>
        <v>103.9</v>
      </c>
      <c r="E1133" s="9">
        <f>(B1133-D1133)/D1133</f>
        <v>-0.37786333012512036</v>
      </c>
      <c r="AB1133" s="1">
        <f>A1133</f>
        <v>46217</v>
      </c>
      <c r="AC1133" s="2">
        <f>B1133</f>
        <v>64.64</v>
      </c>
      <c r="AD1133" s="2">
        <f>1131</f>
        <v>1131</v>
      </c>
      <c r="AE1133" s="2">
        <f>INTERCEPT($AC$3:$AC$1136,$AD$3:$AD$1136)+SLOPE($AC$3:$AC$1136,$AD$3:$AD$1136)*AD1133</f>
        <v>61.141337717615329</v>
      </c>
      <c r="AF1133" s="2">
        <f t="shared" si="34"/>
        <v>63.792997318018024</v>
      </c>
      <c r="AG1133" s="2">
        <f t="shared" si="35"/>
        <v>58.489678117212634</v>
      </c>
      <c r="AH1133" s="22">
        <f>AC1133-AE1133</f>
        <v>3.4986622823846716</v>
      </c>
    </row>
    <row r="1134" spans="1:34" x14ac:dyDescent="0.25">
      <c r="A1134" s="1">
        <f>DATEVALUE(Sheet1!A1133)</f>
        <v>46218</v>
      </c>
      <c r="B1134" s="2">
        <f>VALUE(Sheet1!B1133)</f>
        <v>64.77</v>
      </c>
      <c r="C1134" s="9">
        <f>(B1134-B1133)/B1133</f>
        <v>2.0111386138613159E-3</v>
      </c>
      <c r="D1134" s="2">
        <f>MAX(D1133,B1134)</f>
        <v>103.9</v>
      </c>
      <c r="E1134" s="9">
        <f>(B1134-D1134)/D1134</f>
        <v>-0.37661212704523589</v>
      </c>
      <c r="AB1134" s="1">
        <f>A1134</f>
        <v>46218</v>
      </c>
      <c r="AC1134" s="2">
        <f>B1134</f>
        <v>64.77</v>
      </c>
      <c r="AD1134" s="2">
        <f>1132</f>
        <v>1132</v>
      </c>
      <c r="AE1134" s="2">
        <f>INTERCEPT($AC$3:$AC$1136,$AD$3:$AD$1136)+SLOPE($AC$3:$AC$1136,$AD$3:$AD$1136)*AD1134</f>
        <v>61.122625754202886</v>
      </c>
      <c r="AF1134" s="2">
        <f t="shared" si="34"/>
        <v>63.774285354605581</v>
      </c>
      <c r="AG1134" s="2">
        <f t="shared" si="35"/>
        <v>58.470966153800191</v>
      </c>
      <c r="AH1134" s="22">
        <f>AC1134-AE1134</f>
        <v>3.6473742457971099</v>
      </c>
    </row>
    <row r="1135" spans="1:34" x14ac:dyDescent="0.25">
      <c r="A1135" s="1">
        <f>DATEVALUE(Sheet1!A1134)</f>
        <v>46219</v>
      </c>
      <c r="B1135" s="2">
        <f>VALUE(Sheet1!B1134)</f>
        <v>64.87</v>
      </c>
      <c r="C1135" s="9">
        <f>(B1135-B1134)/B1134</f>
        <v>1.5439246564768958E-3</v>
      </c>
      <c r="D1135" s="2">
        <f>MAX(D1134,B1135)</f>
        <v>103.9</v>
      </c>
      <c r="E1135" s="9">
        <f>(B1135-D1135)/D1135</f>
        <v>-0.37564966313763232</v>
      </c>
      <c r="AB1135" s="1">
        <f>A1135</f>
        <v>46219</v>
      </c>
      <c r="AC1135" s="2">
        <f>B1135</f>
        <v>64.87</v>
      </c>
      <c r="AD1135" s="2">
        <f>1133</f>
        <v>1133</v>
      </c>
      <c r="AE1135" s="2">
        <f>INTERCEPT($AC$3:$AC$1136,$AD$3:$AD$1136)+SLOPE($AC$3:$AC$1136,$AD$3:$AD$1136)*AD1135</f>
        <v>61.103913790790436</v>
      </c>
      <c r="AF1135" s="2">
        <f t="shared" si="34"/>
        <v>63.755573391193131</v>
      </c>
      <c r="AG1135" s="2">
        <f t="shared" si="35"/>
        <v>58.452254190387741</v>
      </c>
      <c r="AH1135" s="22">
        <f>AC1135-AE1135</f>
        <v>3.7660862092095684</v>
      </c>
    </row>
    <row r="1136" spans="1:34" x14ac:dyDescent="0.25">
      <c r="A1136" s="1">
        <f>DATEVALUE(Sheet1!A1135)</f>
        <v>46220</v>
      </c>
      <c r="B1136" s="2">
        <f>VALUE(Sheet1!B1135)</f>
        <v>64.94</v>
      </c>
      <c r="C1136" s="9">
        <f>(B1136-B1135)/B1135</f>
        <v>1.0790812394017755E-3</v>
      </c>
      <c r="D1136" s="2">
        <f>MAX(D1135,B1136)</f>
        <v>103.9</v>
      </c>
      <c r="E1136" s="9">
        <f>(B1136-D1136)/D1136</f>
        <v>-0.37497593840230997</v>
      </c>
      <c r="AB1136" s="1">
        <f>A1136</f>
        <v>46220</v>
      </c>
      <c r="AC1136" s="2">
        <f>B1136</f>
        <v>64.94</v>
      </c>
      <c r="AD1136" s="2">
        <f>1134</f>
        <v>1134</v>
      </c>
      <c r="AE1136" s="2">
        <f>INTERCEPT($AC$3:$AC$1136,$AD$3:$AD$1136)+SLOPE($AC$3:$AC$1136,$AD$3:$AD$1136)*AD1136</f>
        <v>61.085201827377986</v>
      </c>
      <c r="AF1136" s="2">
        <f t="shared" si="34"/>
        <v>63.736861427780681</v>
      </c>
      <c r="AG1136" s="2">
        <f t="shared" si="35"/>
        <v>58.433542226975291</v>
      </c>
      <c r="AH1136" s="22">
        <f>AC1136-AE1136</f>
        <v>3.8547981726220115</v>
      </c>
    </row>
  </sheetData>
  <mergeCells count="39">
    <mergeCell ref="BC42:BH42"/>
    <mergeCell ref="BC43:BH43"/>
    <mergeCell ref="BC44:BH44"/>
    <mergeCell ref="BC45:BH45"/>
    <mergeCell ref="BC46:BH46"/>
    <mergeCell ref="BD23:BN23"/>
    <mergeCell ref="BD24:BN24"/>
    <mergeCell ref="BB26:BN26"/>
    <mergeCell ref="BD31:BN31"/>
    <mergeCell ref="BB33:BH33"/>
    <mergeCell ref="BB41:BH41"/>
    <mergeCell ref="AO45:AV45"/>
    <mergeCell ref="AO46:AV46"/>
    <mergeCell ref="AO47:AV47"/>
    <mergeCell ref="AO48:AV48"/>
    <mergeCell ref="BB1:BN1"/>
    <mergeCell ref="BB10:BG10"/>
    <mergeCell ref="BI10:BN10"/>
    <mergeCell ref="BB20:BN20"/>
    <mergeCell ref="BD21:BN21"/>
    <mergeCell ref="BD22:BN22"/>
    <mergeCell ref="AL20:AZ20"/>
    <mergeCell ref="AL32:AV32"/>
    <mergeCell ref="AL40:AV40"/>
    <mergeCell ref="AO41:AV41"/>
    <mergeCell ref="AO42:AV42"/>
    <mergeCell ref="AO43:AV43"/>
    <mergeCell ref="V1:Z1"/>
    <mergeCell ref="V11:Y11"/>
    <mergeCell ref="AB1:AG1"/>
    <mergeCell ref="AI1:AJ1"/>
    <mergeCell ref="AL1:AZ1"/>
    <mergeCell ref="AL10:AZ10"/>
    <mergeCell ref="A1:E1"/>
    <mergeCell ref="G1:K1"/>
    <mergeCell ref="M1:Q1"/>
    <mergeCell ref="S1:U1"/>
    <mergeCell ref="S14:U14"/>
    <mergeCell ref="S27:U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5066-BFE2-4A2D-8F09-817E54C5236D}">
  <dimension ref="B2:Q72"/>
  <sheetViews>
    <sheetView workbookViewId="0">
      <selection sqref="A1:E1"/>
    </sheetView>
  </sheetViews>
  <sheetFormatPr defaultRowHeight="15" x14ac:dyDescent="0.25"/>
  <cols>
    <col min="2" max="2" width="16.4257812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20.85546875" bestFit="1" customWidth="1"/>
    <col min="8" max="8" width="22.5703125" bestFit="1" customWidth="1"/>
    <col min="9" max="9" width="7.85546875" bestFit="1" customWidth="1"/>
    <col min="10" max="10" width="16.42578125" bestFit="1" customWidth="1"/>
    <col min="11" max="11" width="7.85546875" bestFit="1" customWidth="1"/>
    <col min="12" max="12" width="30" bestFit="1" customWidth="1"/>
    <col min="14" max="14" width="11" bestFit="1" customWidth="1"/>
    <col min="15" max="15" width="7.85546875" bestFit="1" customWidth="1"/>
    <col min="16" max="16" width="8.7109375" bestFit="1" customWidth="1"/>
    <col min="17" max="17" width="7.85546875" bestFit="1" customWidth="1"/>
  </cols>
  <sheetData>
    <row r="2" spans="2:12" ht="26.25" x14ac:dyDescent="0.4">
      <c r="B2" s="74" t="s">
        <v>2493</v>
      </c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2:12" ht="15.75" x14ac:dyDescent="0.25">
      <c r="B3" s="75" t="s">
        <v>2494</v>
      </c>
      <c r="C3" s="75"/>
      <c r="D3" s="75"/>
      <c r="E3" s="75"/>
      <c r="F3" s="75"/>
      <c r="G3" s="75"/>
      <c r="H3" s="75"/>
      <c r="I3" s="75"/>
      <c r="J3" s="75"/>
      <c r="K3" s="75"/>
      <c r="L3" s="75"/>
    </row>
    <row r="6" spans="2:12" x14ac:dyDescent="0.25">
      <c r="B6" s="77" t="s">
        <v>164</v>
      </c>
      <c r="C6" s="77"/>
      <c r="D6" s="77"/>
      <c r="F6" s="78" t="s">
        <v>168</v>
      </c>
      <c r="G6" s="78"/>
      <c r="H6" s="78"/>
      <c r="J6" s="79" t="s">
        <v>170</v>
      </c>
      <c r="K6" s="79"/>
      <c r="L6" s="79"/>
    </row>
    <row r="7" spans="2:12" x14ac:dyDescent="0.25">
      <c r="B7" t="s">
        <v>142</v>
      </c>
      <c r="D7" s="80">
        <f>Análise_À_Vista!T3</f>
        <v>-2.852482534302303E-4</v>
      </c>
      <c r="F7" t="s">
        <v>142</v>
      </c>
      <c r="H7" s="80">
        <f>Análise_À_Vista!T16</f>
        <v>-1.2502724909121599E-3</v>
      </c>
      <c r="J7" t="s">
        <v>142</v>
      </c>
      <c r="L7" s="80">
        <f>Análise_À_Vista!T29</f>
        <v>-5.4346471911545869E-3</v>
      </c>
    </row>
    <row r="8" spans="2:12" x14ac:dyDescent="0.25">
      <c r="B8" t="s">
        <v>165</v>
      </c>
      <c r="D8" s="80">
        <f>Análise_À_Vista!T4</f>
        <v>6.6642326650755198E-3</v>
      </c>
      <c r="F8" t="s">
        <v>165</v>
      </c>
      <c r="H8" s="80">
        <f>Análise_À_Vista!T17</f>
        <v>2.0828963664218016E-2</v>
      </c>
      <c r="J8" t="s">
        <v>165</v>
      </c>
      <c r="L8" s="80">
        <f>Análise_À_Vista!T30</f>
        <v>6.269951084535462E-2</v>
      </c>
    </row>
    <row r="9" spans="2:12" x14ac:dyDescent="0.25">
      <c r="B9" t="s">
        <v>166</v>
      </c>
      <c r="D9" s="80">
        <f>Análise_À_Vista!T11</f>
        <v>-0.49326275264677577</v>
      </c>
      <c r="F9" t="s">
        <v>166</v>
      </c>
      <c r="H9" s="80">
        <f>Análise_À_Vista!T24</f>
        <v>-0.48864292589027913</v>
      </c>
      <c r="J9" t="s">
        <v>166</v>
      </c>
      <c r="L9" s="80">
        <f>Análise_À_Vista!T37</f>
        <v>-0.44815195071868585</v>
      </c>
    </row>
    <row r="10" spans="2:12" x14ac:dyDescent="0.25">
      <c r="B10" t="s">
        <v>151</v>
      </c>
      <c r="D10" s="80">
        <f>Análise_À_Vista!T12</f>
        <v>-0.31308798867956</v>
      </c>
      <c r="F10" t="s">
        <v>151</v>
      </c>
      <c r="H10" s="80">
        <f>Análise_À_Vista!T25</f>
        <v>-0.31415362971527272</v>
      </c>
      <c r="J10" t="s">
        <v>151</v>
      </c>
      <c r="L10" s="80">
        <f>Análise_À_Vista!T38</f>
        <v>-0.27134763099855508</v>
      </c>
    </row>
    <row r="11" spans="2:12" x14ac:dyDescent="0.25">
      <c r="B11" t="s">
        <v>167</v>
      </c>
      <c r="D11" s="59">
        <v>1134</v>
      </c>
      <c r="F11" t="s">
        <v>169</v>
      </c>
      <c r="H11" s="59">
        <v>238</v>
      </c>
      <c r="J11" t="s">
        <v>171</v>
      </c>
      <c r="L11" s="59">
        <v>55</v>
      </c>
    </row>
    <row r="13" spans="2:12" x14ac:dyDescent="0.25">
      <c r="B13" s="82" t="s">
        <v>172</v>
      </c>
      <c r="C13" s="82"/>
      <c r="D13" s="82"/>
      <c r="E13" s="82"/>
      <c r="F13" s="82"/>
      <c r="H13" s="83" t="s">
        <v>179</v>
      </c>
      <c r="I13" s="83"/>
      <c r="J13" s="83"/>
      <c r="K13" s="83"/>
      <c r="L13" s="83"/>
    </row>
    <row r="14" spans="2:12" x14ac:dyDescent="0.25">
      <c r="B14" s="71" t="s">
        <v>156</v>
      </c>
      <c r="C14" s="71" t="s">
        <v>157</v>
      </c>
      <c r="D14" s="71" t="s">
        <v>158</v>
      </c>
      <c r="E14" s="71" t="s">
        <v>159</v>
      </c>
      <c r="F14" s="71" t="s">
        <v>173</v>
      </c>
      <c r="H14" s="73" t="s">
        <v>141</v>
      </c>
      <c r="I14" s="73" t="s">
        <v>157</v>
      </c>
      <c r="J14" s="73" t="s">
        <v>158</v>
      </c>
      <c r="K14" s="73" t="s">
        <v>159</v>
      </c>
      <c r="L14" s="73" t="s">
        <v>180</v>
      </c>
    </row>
    <row r="15" spans="2:12" x14ac:dyDescent="0.25">
      <c r="B15" t="s">
        <v>148</v>
      </c>
      <c r="C15" s="9">
        <f>Análise_À_Vista!T9</f>
        <v>-2.0277946248656788E-2</v>
      </c>
      <c r="D15" s="9">
        <f>Análise_À_Vista!T22</f>
        <v>-6.37371634835662E-2</v>
      </c>
      <c r="E15" s="9">
        <f>Análise_À_Vista!T35</f>
        <v>-0.19353317972721842</v>
      </c>
      <c r="F15" t="s">
        <v>174</v>
      </c>
      <c r="H15" t="s">
        <v>150</v>
      </c>
      <c r="I15" s="9">
        <f>Análise_À_Vista!T11</f>
        <v>-0.49326275264677577</v>
      </c>
      <c r="J15" s="9">
        <f>Análise_À_Vista!T24</f>
        <v>-0.48864292589027913</v>
      </c>
      <c r="K15" s="9">
        <f>Análise_À_Vista!T37</f>
        <v>-0.44815195071868585</v>
      </c>
      <c r="L15" t="s">
        <v>181</v>
      </c>
    </row>
    <row r="16" spans="2:12" x14ac:dyDescent="0.25">
      <c r="B16" t="s">
        <v>146</v>
      </c>
      <c r="C16" s="9">
        <f>Análise_À_Vista!T7</f>
        <v>-1.361371358358127E-2</v>
      </c>
      <c r="D16" s="9">
        <f>Análise_À_Vista!T20</f>
        <v>-4.2908199819348194E-2</v>
      </c>
      <c r="E16" s="9">
        <f>Análise_À_Vista!T33</f>
        <v>-0.13083366888186382</v>
      </c>
      <c r="F16" t="s">
        <v>175</v>
      </c>
      <c r="H16" t="s">
        <v>151</v>
      </c>
      <c r="I16" s="9">
        <f>Análise_À_Vista!T12</f>
        <v>-0.31308798867956</v>
      </c>
      <c r="J16" s="9">
        <f>Análise_À_Vista!T25</f>
        <v>-0.31415362971527272</v>
      </c>
      <c r="K16" s="9">
        <f>Análise_À_Vista!T38</f>
        <v>-0.27134763099855508</v>
      </c>
      <c r="L16" t="s">
        <v>182</v>
      </c>
    </row>
    <row r="17" spans="2:17" x14ac:dyDescent="0.25">
      <c r="B17" t="s">
        <v>144</v>
      </c>
      <c r="C17" s="9">
        <f>Análise_À_Vista!T5</f>
        <v>-6.9494809185057498E-3</v>
      </c>
      <c r="D17" s="9">
        <f>Análise_À_Vista!T18</f>
        <v>-2.2079236155130175E-2</v>
      </c>
      <c r="E17" s="9">
        <f>Análise_À_Vista!T31</f>
        <v>-6.8134158036509213E-2</v>
      </c>
      <c r="F17" t="s">
        <v>176</v>
      </c>
    </row>
    <row r="18" spans="2:17" x14ac:dyDescent="0.25">
      <c r="B18" t="s">
        <v>160</v>
      </c>
      <c r="C18" s="9">
        <f>Análise_À_Vista!T3</f>
        <v>-2.852482534302303E-4</v>
      </c>
      <c r="D18" s="9">
        <f>Análise_À_Vista!T16</f>
        <v>-1.2502724909121599E-3</v>
      </c>
      <c r="E18" s="9">
        <f>Análise_À_Vista!T29</f>
        <v>-5.4346471911545869E-3</v>
      </c>
      <c r="F18" t="s">
        <v>177</v>
      </c>
      <c r="H18" s="84" t="s">
        <v>183</v>
      </c>
      <c r="I18" s="84"/>
      <c r="J18" s="84"/>
      <c r="K18" s="84"/>
      <c r="L18" s="84"/>
    </row>
    <row r="19" spans="2:17" x14ac:dyDescent="0.25">
      <c r="B19" t="s">
        <v>145</v>
      </c>
      <c r="C19" s="9">
        <f>Análise_À_Vista!T6</f>
        <v>6.3789844116452898E-3</v>
      </c>
      <c r="D19" s="9">
        <f>Análise_À_Vista!T19</f>
        <v>1.9578691173305858E-2</v>
      </c>
      <c r="E19" s="9">
        <f>Análise_À_Vista!T32</f>
        <v>5.7264863654200034E-2</v>
      </c>
      <c r="F19" t="s">
        <v>178</v>
      </c>
      <c r="H19" t="s">
        <v>184</v>
      </c>
      <c r="J19" s="9">
        <f>Análise_À_Vista!T4*SQRT(252)</f>
        <v>0.10579141386517817</v>
      </c>
      <c r="K19" t="s">
        <v>187</v>
      </c>
      <c r="L19" t="s">
        <v>188</v>
      </c>
    </row>
    <row r="20" spans="2:17" x14ac:dyDescent="0.25">
      <c r="B20" t="s">
        <v>147</v>
      </c>
      <c r="C20" s="9">
        <f>Análise_À_Vista!T8</f>
        <v>1.304321707672081E-2</v>
      </c>
      <c r="D20" s="9">
        <f>Análise_À_Vista!T21</f>
        <v>4.0407654837523871E-2</v>
      </c>
      <c r="E20" s="9">
        <f>Análise_À_Vista!T34</f>
        <v>0.11996437449955465</v>
      </c>
      <c r="F20" t="s">
        <v>175</v>
      </c>
      <c r="H20" t="s">
        <v>185</v>
      </c>
      <c r="J20" s="22">
        <f>Análise_À_Vista!T3*SQRT(252)/Análise_À_Vista!T4</f>
        <v>-0.67947442271663028</v>
      </c>
      <c r="K20" t="s">
        <v>189</v>
      </c>
      <c r="L20" t="s">
        <v>190</v>
      </c>
    </row>
    <row r="21" spans="2:17" x14ac:dyDescent="0.25">
      <c r="B21" t="s">
        <v>149</v>
      </c>
      <c r="C21" s="9">
        <f>Análise_À_Vista!T10</f>
        <v>1.9707449741796328E-2</v>
      </c>
      <c r="D21" s="9">
        <f>Análise_À_Vista!T23</f>
        <v>6.1236618501741884E-2</v>
      </c>
      <c r="E21" s="9">
        <f>Análise_À_Vista!T36</f>
        <v>0.18266388534490927</v>
      </c>
      <c r="F21" t="s">
        <v>174</v>
      </c>
      <c r="H21" t="s">
        <v>2495</v>
      </c>
      <c r="J21" s="9">
        <f>Análise_À_Vista!T3-1.645*Análise_À_Vista!T4</f>
        <v>-1.1247910987479461E-2</v>
      </c>
      <c r="K21" t="s">
        <v>191</v>
      </c>
      <c r="L21" t="s">
        <v>192</v>
      </c>
    </row>
    <row r="24" spans="2:17" x14ac:dyDescent="0.25">
      <c r="N24" t="s">
        <v>156</v>
      </c>
      <c r="O24" t="s">
        <v>157</v>
      </c>
      <c r="P24" t="s">
        <v>158</v>
      </c>
      <c r="Q24" t="s">
        <v>159</v>
      </c>
    </row>
    <row r="25" spans="2:17" x14ac:dyDescent="0.25">
      <c r="N25" t="s">
        <v>193</v>
      </c>
      <c r="O25" s="9">
        <f>Análise_À_Vista!W3</f>
        <v>-2.0277946248656788E-2</v>
      </c>
      <c r="P25" s="9">
        <f>Análise_À_Vista!X3</f>
        <v>-6.37371634835662E-2</v>
      </c>
      <c r="Q25" s="9">
        <f>Análise_À_Vista!Y3</f>
        <v>-0.19353317972721842</v>
      </c>
    </row>
    <row r="26" spans="2:17" x14ac:dyDescent="0.25">
      <c r="N26" t="s">
        <v>194</v>
      </c>
      <c r="O26" s="9">
        <f>Análise_À_Vista!W4</f>
        <v>-1.361371358358127E-2</v>
      </c>
      <c r="P26" s="9">
        <f>Análise_À_Vista!X4</f>
        <v>-4.2908199819348194E-2</v>
      </c>
      <c r="Q26" s="9">
        <f>Análise_À_Vista!Y4</f>
        <v>-0.13083366888186382</v>
      </c>
    </row>
    <row r="27" spans="2:17" x14ac:dyDescent="0.25">
      <c r="N27" t="s">
        <v>195</v>
      </c>
      <c r="O27" s="9">
        <f>Análise_À_Vista!W5</f>
        <v>-6.9494809185057498E-3</v>
      </c>
      <c r="P27" s="9">
        <f>Análise_À_Vista!X5</f>
        <v>-2.2079236155130175E-2</v>
      </c>
      <c r="Q27" s="9">
        <f>Análise_À_Vista!Y5</f>
        <v>-6.8134158036509213E-2</v>
      </c>
    </row>
    <row r="28" spans="2:17" x14ac:dyDescent="0.25">
      <c r="N28" t="s">
        <v>160</v>
      </c>
      <c r="O28" s="9">
        <f>Análise_À_Vista!W6</f>
        <v>-2.852482534302303E-4</v>
      </c>
      <c r="P28" s="9">
        <f>Análise_À_Vista!X6</f>
        <v>-1.2502724909121599E-3</v>
      </c>
      <c r="Q28" s="9">
        <f>Análise_À_Vista!Y6</f>
        <v>-5.4346471911545869E-3</v>
      </c>
    </row>
    <row r="29" spans="2:17" x14ac:dyDescent="0.25">
      <c r="N29" t="s">
        <v>196</v>
      </c>
      <c r="O29" s="9">
        <f>Análise_À_Vista!W7</f>
        <v>6.3789844116452898E-3</v>
      </c>
      <c r="P29" s="9">
        <f>Análise_À_Vista!X7</f>
        <v>1.9578691173305858E-2</v>
      </c>
      <c r="Q29" s="9">
        <f>Análise_À_Vista!Y7</f>
        <v>5.7264863654200034E-2</v>
      </c>
    </row>
    <row r="30" spans="2:17" x14ac:dyDescent="0.25">
      <c r="N30" t="s">
        <v>197</v>
      </c>
      <c r="O30" s="9">
        <f>Análise_À_Vista!W8</f>
        <v>1.304321707672081E-2</v>
      </c>
      <c r="P30" s="9">
        <f>Análise_À_Vista!X8</f>
        <v>4.0407654837523871E-2</v>
      </c>
      <c r="Q30" s="9">
        <f>Análise_À_Vista!Y8</f>
        <v>0.11996437449955465</v>
      </c>
    </row>
    <row r="31" spans="2:17" x14ac:dyDescent="0.25">
      <c r="N31" t="s">
        <v>198</v>
      </c>
      <c r="O31" s="9">
        <f>Análise_À_Vista!W9</f>
        <v>1.9707449741796328E-2</v>
      </c>
      <c r="P31" s="9">
        <f>Análise_À_Vista!X9</f>
        <v>6.1236618501741884E-2</v>
      </c>
      <c r="Q31" s="9">
        <f>Análise_À_Vista!Y9</f>
        <v>0.18266388534490927</v>
      </c>
    </row>
    <row r="54" spans="14:17" x14ac:dyDescent="0.25">
      <c r="N54" t="s">
        <v>199</v>
      </c>
      <c r="O54" t="s">
        <v>157</v>
      </c>
      <c r="P54" t="s">
        <v>158</v>
      </c>
      <c r="Q54" t="s">
        <v>159</v>
      </c>
    </row>
    <row r="55" spans="14:17" x14ac:dyDescent="0.25">
      <c r="N55" t="s">
        <v>200</v>
      </c>
      <c r="O55" s="9">
        <f>Análise_À_Vista!W13</f>
        <v>-0.49326275264677577</v>
      </c>
      <c r="P55" s="9">
        <f>Análise_À_Vista!X13</f>
        <v>-0.48864292589027913</v>
      </c>
      <c r="Q55" s="9">
        <f>Análise_À_Vista!Y13</f>
        <v>-0.44815195071868585</v>
      </c>
    </row>
    <row r="56" spans="14:17" x14ac:dyDescent="0.25">
      <c r="N56" t="s">
        <v>201</v>
      </c>
      <c r="O56" s="9">
        <f>Análise_À_Vista!W14</f>
        <v>-0.31308798867956</v>
      </c>
      <c r="P56" s="9">
        <f>Análise_À_Vista!X14</f>
        <v>-0.31415362971527272</v>
      </c>
      <c r="Q56" s="9">
        <f>Análise_À_Vista!Y14</f>
        <v>-0.27134763099855508</v>
      </c>
    </row>
    <row r="72" spans="2:12" x14ac:dyDescent="0.25">
      <c r="B72" s="85" t="s">
        <v>2496</v>
      </c>
      <c r="C72" s="85"/>
      <c r="D72" s="85"/>
      <c r="E72" s="85"/>
      <c r="F72" s="85"/>
      <c r="G72" s="85"/>
      <c r="H72" s="85"/>
      <c r="I72" s="85"/>
      <c r="J72" s="85"/>
      <c r="K72" s="85"/>
      <c r="L72" s="85"/>
    </row>
  </sheetData>
  <mergeCells count="9">
    <mergeCell ref="H18:L18"/>
    <mergeCell ref="B72:L72"/>
    <mergeCell ref="B2:L2"/>
    <mergeCell ref="B3:L3"/>
    <mergeCell ref="B6:D6"/>
    <mergeCell ref="F6:H6"/>
    <mergeCell ref="J6:L6"/>
    <mergeCell ref="B13:F13"/>
    <mergeCell ref="H13:L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B0CA-B7BF-4B24-9744-222C04BCA031}">
  <sheetPr>
    <tabColor rgb="FF1F4E79"/>
    <pageSetUpPr fitToPage="1"/>
  </sheetPr>
  <dimension ref="A1:Q75"/>
  <sheetViews>
    <sheetView showGridLines="0" workbookViewId="0">
      <selection activeCell="B2" sqref="B2:L2"/>
    </sheetView>
  </sheetViews>
  <sheetFormatPr defaultRowHeight="15" x14ac:dyDescent="0.25"/>
  <cols>
    <col min="1" max="1" width="3.85546875" customWidth="1"/>
    <col min="2" max="2" width="19" customWidth="1"/>
    <col min="3" max="3" width="15.28515625" customWidth="1"/>
    <col min="4" max="5" width="13.28515625" customWidth="1"/>
    <col min="6" max="6" width="21" customWidth="1"/>
    <col min="7" max="7" width="3.85546875" customWidth="1"/>
    <col min="8" max="8" width="19" customWidth="1"/>
    <col min="9" max="11" width="13.28515625" customWidth="1"/>
    <col min="12" max="12" width="22.85546875" customWidth="1"/>
  </cols>
  <sheetData>
    <row r="1" spans="1:13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1.5" x14ac:dyDescent="0.5">
      <c r="A2" s="25"/>
      <c r="B2" s="26" t="s">
        <v>162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5"/>
    </row>
    <row r="3" spans="1:13" ht="15.75" x14ac:dyDescent="0.25">
      <c r="A3" s="25"/>
      <c r="B3" s="28" t="s">
        <v>163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5"/>
    </row>
    <row r="4" spans="1:13" ht="15.75" thickBot="1" x14ac:dyDescent="0.3">
      <c r="A4" s="25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5"/>
    </row>
    <row r="5" spans="1:13" ht="15.75" thickTop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ht="18.75" x14ac:dyDescent="0.3">
      <c r="A6" s="25"/>
      <c r="B6" s="30" t="s">
        <v>164</v>
      </c>
      <c r="C6" s="31"/>
      <c r="D6" s="32"/>
      <c r="E6" s="25"/>
      <c r="F6" s="30" t="s">
        <v>168</v>
      </c>
      <c r="G6" s="31"/>
      <c r="H6" s="32"/>
      <c r="I6" s="25"/>
      <c r="J6" s="30" t="s">
        <v>170</v>
      </c>
      <c r="K6" s="31"/>
      <c r="L6" s="32"/>
      <c r="M6" s="25"/>
    </row>
    <row r="7" spans="1:13" x14ac:dyDescent="0.25">
      <c r="A7" s="25"/>
      <c r="B7" s="33" t="s">
        <v>142</v>
      </c>
      <c r="C7" s="34"/>
      <c r="D7" s="35">
        <f>Análise_Variação!T3</f>
        <v>2.2604586726699218E-4</v>
      </c>
      <c r="E7" s="25"/>
      <c r="F7" s="33" t="s">
        <v>142</v>
      </c>
      <c r="G7" s="34"/>
      <c r="H7" s="35">
        <f>Análise_Variação!T16</f>
        <v>8.904387019372579E-4</v>
      </c>
      <c r="I7" s="25"/>
      <c r="J7" s="33" t="s">
        <v>142</v>
      </c>
      <c r="K7" s="34"/>
      <c r="L7" s="35">
        <f>Análise_Variação!T29</f>
        <v>3.2737215224279991E-3</v>
      </c>
      <c r="M7" s="25"/>
    </row>
    <row r="8" spans="1:13" x14ac:dyDescent="0.25">
      <c r="A8" s="25"/>
      <c r="B8" s="33" t="s">
        <v>165</v>
      </c>
      <c r="C8" s="34"/>
      <c r="D8" s="35">
        <f>Análise_Variação!T4</f>
        <v>1.0342025620720584E-2</v>
      </c>
      <c r="E8" s="25"/>
      <c r="F8" s="33" t="s">
        <v>165</v>
      </c>
      <c r="G8" s="34"/>
      <c r="H8" s="35">
        <f>Análise_Variação!T17</f>
        <v>2.1227215840375072E-2</v>
      </c>
      <c r="I8" s="25"/>
      <c r="J8" s="33" t="s">
        <v>165</v>
      </c>
      <c r="K8" s="34"/>
      <c r="L8" s="35">
        <f>Análise_Variação!T30</f>
        <v>5.3624320560105569E-2</v>
      </c>
      <c r="M8" s="25"/>
    </row>
    <row r="9" spans="1:13" x14ac:dyDescent="0.25">
      <c r="A9" s="25"/>
      <c r="B9" s="33" t="s">
        <v>166</v>
      </c>
      <c r="C9" s="34"/>
      <c r="D9" s="35">
        <f>Análise_Variação!T11</f>
        <v>-0.27429569775060064</v>
      </c>
      <c r="E9" s="25"/>
      <c r="F9" s="33" t="s">
        <v>166</v>
      </c>
      <c r="G9" s="34"/>
      <c r="H9" s="35">
        <f>Análise_Variação!T24</f>
        <v>-0.22810261150912881</v>
      </c>
      <c r="I9" s="25"/>
      <c r="J9" s="33" t="s">
        <v>166</v>
      </c>
      <c r="K9" s="34"/>
      <c r="L9" s="35">
        <f>Análise_Variação!T37</f>
        <v>-0.20741693963500238</v>
      </c>
      <c r="M9" s="25"/>
    </row>
    <row r="10" spans="1:13" x14ac:dyDescent="0.25">
      <c r="A10" s="25"/>
      <c r="B10" s="33" t="s">
        <v>151</v>
      </c>
      <c r="C10" s="34"/>
      <c r="D10" s="35">
        <f>Análise_Variação!T12</f>
        <v>-0.11457431134581388</v>
      </c>
      <c r="E10" s="25"/>
      <c r="F10" s="33" t="s">
        <v>151</v>
      </c>
      <c r="G10" s="34"/>
      <c r="H10" s="35">
        <f>Análise_Variação!T25</f>
        <v>-7.9455481849291146E-2</v>
      </c>
      <c r="I10" s="25"/>
      <c r="J10" s="33" t="s">
        <v>151</v>
      </c>
      <c r="K10" s="34"/>
      <c r="L10" s="35">
        <f>Análise_Variação!T38</f>
        <v>-7.432665289363799E-2</v>
      </c>
      <c r="M10" s="25"/>
    </row>
    <row r="11" spans="1:13" x14ac:dyDescent="0.25">
      <c r="A11" s="25"/>
      <c r="B11" s="36" t="s">
        <v>167</v>
      </c>
      <c r="C11" s="37"/>
      <c r="D11" s="38">
        <f>COUNTA(Análise_Variação!A3:A501)</f>
        <v>499</v>
      </c>
      <c r="E11" s="25"/>
      <c r="F11" s="36" t="s">
        <v>169</v>
      </c>
      <c r="G11" s="37"/>
      <c r="H11" s="38">
        <f>COUNTA(Análise_Variação!G3:G109)</f>
        <v>107</v>
      </c>
      <c r="I11" s="25"/>
      <c r="J11" s="36" t="s">
        <v>171</v>
      </c>
      <c r="K11" s="37"/>
      <c r="L11" s="38">
        <f>COUNTA(Análise_Variação!M3:M27)</f>
        <v>25</v>
      </c>
      <c r="M11" s="25"/>
    </row>
    <row r="12" spans="1:13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ht="15.75" x14ac:dyDescent="0.25">
      <c r="A13" s="25"/>
      <c r="B13" s="39" t="s">
        <v>172</v>
      </c>
      <c r="C13" s="40"/>
      <c r="D13" s="40"/>
      <c r="E13" s="40"/>
      <c r="F13" s="41"/>
      <c r="G13" s="25"/>
      <c r="H13" s="39" t="s">
        <v>179</v>
      </c>
      <c r="I13" s="31"/>
      <c r="J13" s="31"/>
      <c r="K13" s="31"/>
      <c r="L13" s="32"/>
      <c r="M13" s="25"/>
    </row>
    <row r="14" spans="1:13" x14ac:dyDescent="0.25">
      <c r="A14" s="25"/>
      <c r="B14" s="42" t="s">
        <v>156</v>
      </c>
      <c r="C14" s="42" t="s">
        <v>157</v>
      </c>
      <c r="D14" s="42" t="s">
        <v>158</v>
      </c>
      <c r="E14" s="42" t="s">
        <v>159</v>
      </c>
      <c r="F14" s="42" t="s">
        <v>173</v>
      </c>
      <c r="G14" s="25"/>
      <c r="H14" s="42" t="s">
        <v>141</v>
      </c>
      <c r="I14" s="42" t="s">
        <v>157</v>
      </c>
      <c r="J14" s="42" t="s">
        <v>158</v>
      </c>
      <c r="K14" s="42" t="s">
        <v>159</v>
      </c>
      <c r="L14" s="42" t="s">
        <v>180</v>
      </c>
      <c r="M14" s="25"/>
    </row>
    <row r="15" spans="1:13" x14ac:dyDescent="0.25">
      <c r="A15" s="25"/>
      <c r="B15" s="43" t="s">
        <v>148</v>
      </c>
      <c r="C15" s="44">
        <f>Análise_Variação!T9</f>
        <v>-3.0800030994894759E-2</v>
      </c>
      <c r="D15" s="44">
        <f>Análise_Variação!T22</f>
        <v>-6.2791208819187969E-2</v>
      </c>
      <c r="E15" s="44">
        <f>Análise_Variação!T35</f>
        <v>-0.1575992401578887</v>
      </c>
      <c r="F15" s="45" t="s">
        <v>174</v>
      </c>
      <c r="G15" s="25"/>
      <c r="H15" s="43" t="s">
        <v>150</v>
      </c>
      <c r="I15" s="46">
        <f>Análise_Variação!T11</f>
        <v>-0.27429569775060064</v>
      </c>
      <c r="J15" s="46">
        <f>Análise_Variação!T24</f>
        <v>-0.22810261150912881</v>
      </c>
      <c r="K15" s="46">
        <f>Análise_Variação!T37</f>
        <v>-0.20741693963500238</v>
      </c>
      <c r="L15" s="45" t="s">
        <v>181</v>
      </c>
      <c r="M15" s="25"/>
    </row>
    <row r="16" spans="1:13" x14ac:dyDescent="0.25">
      <c r="A16" s="25"/>
      <c r="B16" s="43" t="s">
        <v>146</v>
      </c>
      <c r="C16" s="44">
        <f>Análise_Variação!T7</f>
        <v>-2.0458005374174176E-2</v>
      </c>
      <c r="D16" s="44">
        <f>Análise_Variação!T20</f>
        <v>-4.1563992978812886E-2</v>
      </c>
      <c r="E16" s="44">
        <f>Análise_Variação!T33</f>
        <v>-0.10397491959778314</v>
      </c>
      <c r="F16" s="45" t="s">
        <v>175</v>
      </c>
      <c r="G16" s="25"/>
      <c r="H16" s="43" t="s">
        <v>151</v>
      </c>
      <c r="I16" s="46">
        <f>Análise_Variação!T12</f>
        <v>-0.11457431134581388</v>
      </c>
      <c r="J16" s="46">
        <f>Análise_Variação!T25</f>
        <v>-7.9455481849291146E-2</v>
      </c>
      <c r="K16" s="46">
        <f>Análise_Variação!T38</f>
        <v>-7.432665289363799E-2</v>
      </c>
      <c r="L16" s="45" t="s">
        <v>182</v>
      </c>
      <c r="M16" s="25"/>
    </row>
    <row r="17" spans="1:17" x14ac:dyDescent="0.25">
      <c r="A17" s="25"/>
      <c r="B17" s="43" t="s">
        <v>144</v>
      </c>
      <c r="C17" s="44">
        <f>Análise_Variação!T5</f>
        <v>-1.0115979753453592E-2</v>
      </c>
      <c r="D17" s="44">
        <f>Análise_Variação!T18</f>
        <v>-2.0336777138437814E-2</v>
      </c>
      <c r="E17" s="44">
        <f>Análise_Variação!T31</f>
        <v>-5.0350599037677572E-2</v>
      </c>
      <c r="F17" s="45" t="s">
        <v>176</v>
      </c>
      <c r="G17" s="25"/>
      <c r="H17" s="25"/>
      <c r="I17" s="25"/>
      <c r="J17" s="25"/>
      <c r="K17" s="25"/>
      <c r="L17" s="25"/>
      <c r="M17" s="25"/>
    </row>
    <row r="18" spans="1:17" ht="15.75" x14ac:dyDescent="0.25">
      <c r="A18" s="25"/>
      <c r="B18" s="47" t="s">
        <v>160</v>
      </c>
      <c r="C18" s="48">
        <f>Análise_Variação!T3</f>
        <v>2.2604586726699218E-4</v>
      </c>
      <c r="D18" s="48">
        <f>Análise_Variação!T16</f>
        <v>8.904387019372579E-4</v>
      </c>
      <c r="E18" s="48">
        <f>Análise_Variação!T29</f>
        <v>3.2737215224279991E-3</v>
      </c>
      <c r="F18" s="49" t="s">
        <v>177</v>
      </c>
      <c r="G18" s="25"/>
      <c r="H18" s="39" t="s">
        <v>183</v>
      </c>
      <c r="I18" s="31"/>
      <c r="J18" s="31"/>
      <c r="K18" s="31"/>
      <c r="L18" s="32"/>
      <c r="M18" s="25"/>
    </row>
    <row r="19" spans="1:17" x14ac:dyDescent="0.25">
      <c r="A19" s="25"/>
      <c r="B19" s="43" t="s">
        <v>145</v>
      </c>
      <c r="C19" s="44">
        <f>Análise_Variação!T6</f>
        <v>1.0568071487987576E-2</v>
      </c>
      <c r="D19" s="44">
        <f>Análise_Variação!T19</f>
        <v>2.2117654542312331E-2</v>
      </c>
      <c r="E19" s="44">
        <f>Análise_Variação!T32</f>
        <v>5.6898042082533566E-2</v>
      </c>
      <c r="F19" s="45" t="s">
        <v>178</v>
      </c>
      <c r="G19" s="25"/>
      <c r="H19" s="50" t="s">
        <v>184</v>
      </c>
      <c r="I19" s="50"/>
      <c r="J19" s="51">
        <f>Análise_Variação!T4*SQRT(252)</f>
        <v>0.16417456707051042</v>
      </c>
      <c r="K19" s="52" t="s">
        <v>187</v>
      </c>
      <c r="L19" s="53" t="s">
        <v>188</v>
      </c>
      <c r="M19" s="25"/>
    </row>
    <row r="20" spans="1:17" x14ac:dyDescent="0.25">
      <c r="A20" s="25"/>
      <c r="B20" s="43" t="s">
        <v>147</v>
      </c>
      <c r="C20" s="44">
        <f>Análise_Variação!T8</f>
        <v>2.091009710870816E-2</v>
      </c>
      <c r="D20" s="44">
        <f>Análise_Variação!T21</f>
        <v>4.3344870382687403E-2</v>
      </c>
      <c r="E20" s="44">
        <f>Análise_Variação!T34</f>
        <v>0.11052236264263914</v>
      </c>
      <c r="F20" s="45" t="s">
        <v>175</v>
      </c>
      <c r="G20" s="25"/>
      <c r="H20" s="43" t="s">
        <v>185</v>
      </c>
      <c r="I20" s="43"/>
      <c r="J20" s="54">
        <f>(Análise_Variação!T3*252)/J19</f>
        <v>0.34696944580226646</v>
      </c>
      <c r="K20" s="55" t="s">
        <v>189</v>
      </c>
      <c r="L20" s="45" t="s">
        <v>190</v>
      </c>
      <c r="M20" s="25"/>
    </row>
    <row r="21" spans="1:17" x14ac:dyDescent="0.25">
      <c r="A21" s="25"/>
      <c r="B21" s="43" t="s">
        <v>149</v>
      </c>
      <c r="C21" s="44">
        <f>Análise_Variação!T10</f>
        <v>3.1252122729428747E-2</v>
      </c>
      <c r="D21" s="44">
        <f>Análise_Variação!T23</f>
        <v>6.4572086223062472E-2</v>
      </c>
      <c r="E21" s="44">
        <f>Análise_Variação!T36</f>
        <v>0.1641466832027447</v>
      </c>
      <c r="F21" s="45" t="s">
        <v>174</v>
      </c>
      <c r="G21" s="25"/>
      <c r="H21" s="43" t="s">
        <v>186</v>
      </c>
      <c r="I21" s="43"/>
      <c r="J21" s="48">
        <f>Análise_Variação!T3 - 1.645*Análise_Variação!T4</f>
        <v>-1.6786586278818367E-2</v>
      </c>
      <c r="K21" s="55" t="s">
        <v>191</v>
      </c>
      <c r="L21" s="45" t="s">
        <v>192</v>
      </c>
      <c r="M21" s="25"/>
    </row>
    <row r="22" spans="1:1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spans="1:1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3" t="s">
        <v>156</v>
      </c>
      <c r="O23" s="23" t="s">
        <v>157</v>
      </c>
      <c r="P23" s="23" t="s">
        <v>158</v>
      </c>
      <c r="Q23" s="23" t="s">
        <v>159</v>
      </c>
    </row>
    <row r="24" spans="1:17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3" t="s">
        <v>193</v>
      </c>
      <c r="O24" s="24">
        <f>Análise_Variação!T9</f>
        <v>-3.0800030994894759E-2</v>
      </c>
      <c r="P24" s="24">
        <f>Análise_Variação!T22</f>
        <v>-6.2791208819187969E-2</v>
      </c>
      <c r="Q24" s="24">
        <f>Análise_Variação!T35</f>
        <v>-0.1575992401578887</v>
      </c>
    </row>
    <row r="25" spans="1:1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3" t="s">
        <v>194</v>
      </c>
      <c r="O25" s="24">
        <f>Análise_Variação!T7</f>
        <v>-2.0458005374174176E-2</v>
      </c>
      <c r="P25" s="24">
        <f>Análise_Variação!T20</f>
        <v>-4.1563992978812886E-2</v>
      </c>
      <c r="Q25" s="24">
        <f>Análise_Variação!T33</f>
        <v>-0.10397491959778314</v>
      </c>
    </row>
    <row r="26" spans="1:17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3" t="s">
        <v>195</v>
      </c>
      <c r="O26" s="24">
        <f>Análise_Variação!T5</f>
        <v>-1.0115979753453592E-2</v>
      </c>
      <c r="P26" s="24">
        <f>Análise_Variação!T18</f>
        <v>-2.0336777138437814E-2</v>
      </c>
      <c r="Q26" s="24">
        <f>Análise_Variação!T31</f>
        <v>-5.0350599037677572E-2</v>
      </c>
    </row>
    <row r="27" spans="1:17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3" t="s">
        <v>160</v>
      </c>
      <c r="O27" s="24">
        <f>Análise_Variação!T3</f>
        <v>2.2604586726699218E-4</v>
      </c>
      <c r="P27" s="24">
        <f>Análise_Variação!T16</f>
        <v>8.904387019372579E-4</v>
      </c>
      <c r="Q27" s="24">
        <f>Análise_Variação!T29</f>
        <v>3.2737215224279991E-3</v>
      </c>
    </row>
    <row r="28" spans="1:17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3" t="s">
        <v>196</v>
      </c>
      <c r="O28" s="24">
        <f>Análise_Variação!T6</f>
        <v>1.0568071487987576E-2</v>
      </c>
      <c r="P28" s="24">
        <f>Análise_Variação!T19</f>
        <v>2.2117654542312331E-2</v>
      </c>
      <c r="Q28" s="24">
        <f>Análise_Variação!T32</f>
        <v>5.6898042082533566E-2</v>
      </c>
    </row>
    <row r="29" spans="1:17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3" t="s">
        <v>197</v>
      </c>
      <c r="O29" s="24">
        <f>Análise_Variação!T8</f>
        <v>2.091009710870816E-2</v>
      </c>
      <c r="P29" s="24">
        <f>Análise_Variação!T21</f>
        <v>4.3344870382687403E-2</v>
      </c>
      <c r="Q29" s="24">
        <f>Análise_Variação!T34</f>
        <v>0.11052236264263914</v>
      </c>
    </row>
    <row r="30" spans="1:17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3" t="s">
        <v>198</v>
      </c>
      <c r="O30" s="24">
        <f>Análise_Variação!T10</f>
        <v>3.1252122729428747E-2</v>
      </c>
      <c r="P30" s="24">
        <f>Análise_Variação!T23</f>
        <v>6.4572086223062472E-2</v>
      </c>
      <c r="Q30" s="24">
        <f>Análise_Variação!T36</f>
        <v>0.1641466832027447</v>
      </c>
    </row>
    <row r="31" spans="1:17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7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3" t="s">
        <v>199</v>
      </c>
      <c r="O32" s="23" t="s">
        <v>157</v>
      </c>
      <c r="P32" s="23" t="s">
        <v>158</v>
      </c>
      <c r="Q32" s="23" t="s">
        <v>159</v>
      </c>
    </row>
    <row r="33" spans="1:17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3" t="s">
        <v>200</v>
      </c>
      <c r="O33" s="24">
        <f>Análise_Variação!T11</f>
        <v>-0.27429569775060064</v>
      </c>
      <c r="P33" s="24">
        <f>Análise_Variação!T24</f>
        <v>-0.22810261150912881</v>
      </c>
      <c r="Q33" s="24">
        <f>Análise_Variação!T37</f>
        <v>-0.20741693963500238</v>
      </c>
    </row>
    <row r="34" spans="1:17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3" t="s">
        <v>201</v>
      </c>
      <c r="O34" s="24">
        <f>Análise_Variação!T12</f>
        <v>-0.11457431134581388</v>
      </c>
      <c r="P34" s="24">
        <f>Análise_Variação!T25</f>
        <v>-7.9455481849291146E-2</v>
      </c>
      <c r="Q34" s="24">
        <f>Análise_Variação!T38</f>
        <v>-7.432665289363799E-2</v>
      </c>
    </row>
    <row r="35" spans="1:17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7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7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7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7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7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7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7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7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7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7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7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</row>
    <row r="47" spans="1:17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7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</row>
    <row r="49" spans="1:13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</row>
    <row r="53" spans="1:13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</row>
    <row r="55" spans="1:13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</row>
    <row r="57" spans="1:13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</row>
    <row r="59" spans="1:13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</row>
    <row r="61" spans="1:13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</row>
    <row r="63" spans="1:13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5" spans="1:13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</row>
    <row r="67" spans="1:13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</row>
    <row r="69" spans="1:13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</row>
    <row r="71" spans="1:13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</row>
    <row r="73" spans="1:13" x14ac:dyDescent="0.25">
      <c r="A73" s="25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25"/>
    </row>
    <row r="74" spans="1:13" x14ac:dyDescent="0.25">
      <c r="A74" s="25"/>
      <c r="B74" s="57" t="s">
        <v>202</v>
      </c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25"/>
    </row>
    <row r="75" spans="1:13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</row>
  </sheetData>
  <mergeCells count="9">
    <mergeCell ref="H18:L18"/>
    <mergeCell ref="B74:L74"/>
    <mergeCell ref="B2:L2"/>
    <mergeCell ref="B3:L3"/>
    <mergeCell ref="B6:D6"/>
    <mergeCell ref="F6:H6"/>
    <mergeCell ref="J6:L6"/>
    <mergeCell ref="B13:F13"/>
    <mergeCell ref="H13:L13"/>
  </mergeCells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C1BE-69D1-4257-ACCE-E44BE5913987}">
  <dimension ref="A1:B1135"/>
  <sheetViews>
    <sheetView workbookViewId="0">
      <selection sqref="A1:B1135"/>
    </sheetView>
  </sheetViews>
  <sheetFormatPr defaultRowHeight="15" x14ac:dyDescent="0.25"/>
  <cols>
    <col min="2" max="2" width="15.85546875" bestFit="1" customWidth="1"/>
  </cols>
  <sheetData>
    <row r="1" spans="1:2" ht="17.25" x14ac:dyDescent="0.3">
      <c r="A1" s="58" t="s">
        <v>1</v>
      </c>
      <c r="B1" s="58" t="s">
        <v>203</v>
      </c>
    </row>
    <row r="2" spans="1:2" x14ac:dyDescent="0.25">
      <c r="A2" s="59" t="s">
        <v>204</v>
      </c>
      <c r="B2" s="59" t="s">
        <v>205</v>
      </c>
    </row>
    <row r="3" spans="1:2" x14ac:dyDescent="0.25">
      <c r="A3" s="59" t="s">
        <v>206</v>
      </c>
      <c r="B3" s="59" t="s">
        <v>207</v>
      </c>
    </row>
    <row r="4" spans="1:2" x14ac:dyDescent="0.25">
      <c r="A4" s="59" t="s">
        <v>208</v>
      </c>
      <c r="B4" s="59" t="s">
        <v>209</v>
      </c>
    </row>
    <row r="5" spans="1:2" x14ac:dyDescent="0.25">
      <c r="A5" s="59" t="s">
        <v>210</v>
      </c>
      <c r="B5" s="59" t="s">
        <v>211</v>
      </c>
    </row>
    <row r="6" spans="1:2" x14ac:dyDescent="0.25">
      <c r="A6" s="59" t="s">
        <v>212</v>
      </c>
      <c r="B6" s="59" t="s">
        <v>213</v>
      </c>
    </row>
    <row r="7" spans="1:2" x14ac:dyDescent="0.25">
      <c r="A7" s="59" t="s">
        <v>214</v>
      </c>
      <c r="B7" s="59" t="s">
        <v>215</v>
      </c>
    </row>
    <row r="8" spans="1:2" x14ac:dyDescent="0.25">
      <c r="A8" s="59" t="s">
        <v>216</v>
      </c>
      <c r="B8" s="59" t="s">
        <v>217</v>
      </c>
    </row>
    <row r="9" spans="1:2" x14ac:dyDescent="0.25">
      <c r="A9" s="59" t="s">
        <v>218</v>
      </c>
      <c r="B9" s="59" t="s">
        <v>219</v>
      </c>
    </row>
    <row r="10" spans="1:2" x14ac:dyDescent="0.25">
      <c r="A10" s="59" t="s">
        <v>220</v>
      </c>
      <c r="B10" s="59" t="s">
        <v>221</v>
      </c>
    </row>
    <row r="11" spans="1:2" x14ac:dyDescent="0.25">
      <c r="A11" s="59" t="s">
        <v>222</v>
      </c>
      <c r="B11" s="59" t="s">
        <v>223</v>
      </c>
    </row>
    <row r="12" spans="1:2" x14ac:dyDescent="0.25">
      <c r="A12" s="59" t="s">
        <v>224</v>
      </c>
      <c r="B12" s="59" t="s">
        <v>225</v>
      </c>
    </row>
    <row r="13" spans="1:2" x14ac:dyDescent="0.25">
      <c r="A13" s="59" t="s">
        <v>226</v>
      </c>
      <c r="B13" s="59" t="s">
        <v>227</v>
      </c>
    </row>
    <row r="14" spans="1:2" x14ac:dyDescent="0.25">
      <c r="A14" s="59" t="s">
        <v>228</v>
      </c>
      <c r="B14" s="59" t="s">
        <v>229</v>
      </c>
    </row>
    <row r="15" spans="1:2" x14ac:dyDescent="0.25">
      <c r="A15" s="59" t="s">
        <v>230</v>
      </c>
      <c r="B15" s="59" t="s">
        <v>231</v>
      </c>
    </row>
    <row r="16" spans="1:2" x14ac:dyDescent="0.25">
      <c r="A16" s="59" t="s">
        <v>232</v>
      </c>
      <c r="B16" s="59" t="s">
        <v>233</v>
      </c>
    </row>
    <row r="17" spans="1:2" x14ac:dyDescent="0.25">
      <c r="A17" s="59" t="s">
        <v>234</v>
      </c>
      <c r="B17" s="59" t="s">
        <v>235</v>
      </c>
    </row>
    <row r="18" spans="1:2" x14ac:dyDescent="0.25">
      <c r="A18" s="59" t="s">
        <v>236</v>
      </c>
      <c r="B18" s="59" t="s">
        <v>237</v>
      </c>
    </row>
    <row r="19" spans="1:2" x14ac:dyDescent="0.25">
      <c r="A19" s="59" t="s">
        <v>238</v>
      </c>
      <c r="B19" s="59" t="s">
        <v>239</v>
      </c>
    </row>
    <row r="20" spans="1:2" x14ac:dyDescent="0.25">
      <c r="A20" s="59" t="s">
        <v>240</v>
      </c>
      <c r="B20" s="59" t="s">
        <v>241</v>
      </c>
    </row>
    <row r="21" spans="1:2" x14ac:dyDescent="0.25">
      <c r="A21" s="59" t="s">
        <v>242</v>
      </c>
      <c r="B21" s="59" t="s">
        <v>243</v>
      </c>
    </row>
    <row r="22" spans="1:2" x14ac:dyDescent="0.25">
      <c r="A22" s="59" t="s">
        <v>244</v>
      </c>
      <c r="B22" s="59" t="s">
        <v>245</v>
      </c>
    </row>
    <row r="23" spans="1:2" x14ac:dyDescent="0.25">
      <c r="A23" s="59" t="s">
        <v>246</v>
      </c>
      <c r="B23" s="59" t="s">
        <v>243</v>
      </c>
    </row>
    <row r="24" spans="1:2" x14ac:dyDescent="0.25">
      <c r="A24" s="59" t="s">
        <v>247</v>
      </c>
      <c r="B24" s="59" t="s">
        <v>248</v>
      </c>
    </row>
    <row r="25" spans="1:2" x14ac:dyDescent="0.25">
      <c r="A25" s="59" t="s">
        <v>249</v>
      </c>
      <c r="B25" s="59" t="s">
        <v>250</v>
      </c>
    </row>
    <row r="26" spans="1:2" x14ac:dyDescent="0.25">
      <c r="A26" s="59" t="s">
        <v>251</v>
      </c>
      <c r="B26" s="59" t="s">
        <v>252</v>
      </c>
    </row>
    <row r="27" spans="1:2" x14ac:dyDescent="0.25">
      <c r="A27" s="59" t="s">
        <v>253</v>
      </c>
      <c r="B27" s="59" t="s">
        <v>254</v>
      </c>
    </row>
    <row r="28" spans="1:2" x14ac:dyDescent="0.25">
      <c r="A28" s="59" t="s">
        <v>255</v>
      </c>
      <c r="B28" s="59" t="s">
        <v>248</v>
      </c>
    </row>
    <row r="29" spans="1:2" x14ac:dyDescent="0.25">
      <c r="A29" s="59" t="s">
        <v>256</v>
      </c>
      <c r="B29" s="59" t="s">
        <v>257</v>
      </c>
    </row>
    <row r="30" spans="1:2" x14ac:dyDescent="0.25">
      <c r="A30" s="59" t="s">
        <v>258</v>
      </c>
      <c r="B30" s="59" t="s">
        <v>259</v>
      </c>
    </row>
    <row r="31" spans="1:2" x14ac:dyDescent="0.25">
      <c r="A31" s="59" t="s">
        <v>260</v>
      </c>
      <c r="B31" s="59" t="s">
        <v>261</v>
      </c>
    </row>
    <row r="32" spans="1:2" x14ac:dyDescent="0.25">
      <c r="A32" s="59" t="s">
        <v>262</v>
      </c>
      <c r="B32" s="59" t="s">
        <v>263</v>
      </c>
    </row>
    <row r="33" spans="1:2" x14ac:dyDescent="0.25">
      <c r="A33" s="59" t="s">
        <v>264</v>
      </c>
      <c r="B33" s="59" t="s">
        <v>265</v>
      </c>
    </row>
    <row r="34" spans="1:2" x14ac:dyDescent="0.25">
      <c r="A34" s="59" t="s">
        <v>266</v>
      </c>
      <c r="B34" s="59" t="s">
        <v>267</v>
      </c>
    </row>
    <row r="35" spans="1:2" x14ac:dyDescent="0.25">
      <c r="A35" s="59" t="s">
        <v>268</v>
      </c>
      <c r="B35" s="59" t="s">
        <v>269</v>
      </c>
    </row>
    <row r="36" spans="1:2" x14ac:dyDescent="0.25">
      <c r="A36" s="59" t="s">
        <v>270</v>
      </c>
      <c r="B36" s="59" t="s">
        <v>271</v>
      </c>
    </row>
    <row r="37" spans="1:2" x14ac:dyDescent="0.25">
      <c r="A37" s="59" t="s">
        <v>272</v>
      </c>
      <c r="B37" s="59" t="s">
        <v>273</v>
      </c>
    </row>
    <row r="38" spans="1:2" x14ac:dyDescent="0.25">
      <c r="A38" s="59" t="s">
        <v>274</v>
      </c>
      <c r="B38" s="59" t="s">
        <v>275</v>
      </c>
    </row>
    <row r="39" spans="1:2" x14ac:dyDescent="0.25">
      <c r="A39" s="59" t="s">
        <v>276</v>
      </c>
      <c r="B39" s="59" t="s">
        <v>277</v>
      </c>
    </row>
    <row r="40" spans="1:2" x14ac:dyDescent="0.25">
      <c r="A40" s="59" t="s">
        <v>278</v>
      </c>
      <c r="B40" s="59" t="s">
        <v>279</v>
      </c>
    </row>
    <row r="41" spans="1:2" x14ac:dyDescent="0.25">
      <c r="A41" s="59" t="s">
        <v>280</v>
      </c>
      <c r="B41" s="59" t="s">
        <v>281</v>
      </c>
    </row>
    <row r="42" spans="1:2" x14ac:dyDescent="0.25">
      <c r="A42" s="59" t="s">
        <v>282</v>
      </c>
      <c r="B42" s="59" t="s">
        <v>283</v>
      </c>
    </row>
    <row r="43" spans="1:2" x14ac:dyDescent="0.25">
      <c r="A43" s="59" t="s">
        <v>284</v>
      </c>
      <c r="B43" s="59" t="s">
        <v>285</v>
      </c>
    </row>
    <row r="44" spans="1:2" x14ac:dyDescent="0.25">
      <c r="A44" s="59" t="s">
        <v>286</v>
      </c>
      <c r="B44" s="59" t="s">
        <v>287</v>
      </c>
    </row>
    <row r="45" spans="1:2" x14ac:dyDescent="0.25">
      <c r="A45" s="59" t="s">
        <v>288</v>
      </c>
      <c r="B45" s="59" t="s">
        <v>289</v>
      </c>
    </row>
    <row r="46" spans="1:2" x14ac:dyDescent="0.25">
      <c r="A46" s="59" t="s">
        <v>290</v>
      </c>
      <c r="B46" s="59" t="s">
        <v>291</v>
      </c>
    </row>
    <row r="47" spans="1:2" x14ac:dyDescent="0.25">
      <c r="A47" s="59" t="s">
        <v>292</v>
      </c>
      <c r="B47" s="59" t="s">
        <v>293</v>
      </c>
    </row>
    <row r="48" spans="1:2" x14ac:dyDescent="0.25">
      <c r="A48" s="59" t="s">
        <v>294</v>
      </c>
      <c r="B48" s="59" t="s">
        <v>295</v>
      </c>
    </row>
    <row r="49" spans="1:2" x14ac:dyDescent="0.25">
      <c r="A49" s="59" t="s">
        <v>296</v>
      </c>
      <c r="B49" s="59" t="s">
        <v>297</v>
      </c>
    </row>
    <row r="50" spans="1:2" x14ac:dyDescent="0.25">
      <c r="A50" s="59" t="s">
        <v>298</v>
      </c>
      <c r="B50" s="59" t="s">
        <v>299</v>
      </c>
    </row>
    <row r="51" spans="1:2" x14ac:dyDescent="0.25">
      <c r="A51" s="59" t="s">
        <v>300</v>
      </c>
      <c r="B51" s="59" t="s">
        <v>301</v>
      </c>
    </row>
    <row r="52" spans="1:2" x14ac:dyDescent="0.25">
      <c r="A52" s="59" t="s">
        <v>302</v>
      </c>
      <c r="B52" s="59" t="s">
        <v>303</v>
      </c>
    </row>
    <row r="53" spans="1:2" x14ac:dyDescent="0.25">
      <c r="A53" s="59" t="s">
        <v>304</v>
      </c>
      <c r="B53" s="59" t="s">
        <v>297</v>
      </c>
    </row>
    <row r="54" spans="1:2" x14ac:dyDescent="0.25">
      <c r="A54" s="59" t="s">
        <v>305</v>
      </c>
      <c r="B54" s="59" t="s">
        <v>306</v>
      </c>
    </row>
    <row r="55" spans="1:2" x14ac:dyDescent="0.25">
      <c r="A55" s="59" t="s">
        <v>307</v>
      </c>
      <c r="B55" s="59" t="s">
        <v>308</v>
      </c>
    </row>
    <row r="56" spans="1:2" x14ac:dyDescent="0.25">
      <c r="A56" s="59" t="s">
        <v>309</v>
      </c>
      <c r="B56" s="59" t="s">
        <v>310</v>
      </c>
    </row>
    <row r="57" spans="1:2" x14ac:dyDescent="0.25">
      <c r="A57" s="59" t="s">
        <v>311</v>
      </c>
      <c r="B57" s="59" t="s">
        <v>312</v>
      </c>
    </row>
    <row r="58" spans="1:2" x14ac:dyDescent="0.25">
      <c r="A58" s="59" t="s">
        <v>313</v>
      </c>
      <c r="B58" s="59" t="s">
        <v>314</v>
      </c>
    </row>
    <row r="59" spans="1:2" x14ac:dyDescent="0.25">
      <c r="A59" s="59" t="s">
        <v>315</v>
      </c>
      <c r="B59" s="59" t="s">
        <v>316</v>
      </c>
    </row>
    <row r="60" spans="1:2" x14ac:dyDescent="0.25">
      <c r="A60" s="59" t="s">
        <v>317</v>
      </c>
      <c r="B60" s="59" t="s">
        <v>318</v>
      </c>
    </row>
    <row r="61" spans="1:2" x14ac:dyDescent="0.25">
      <c r="A61" s="59" t="s">
        <v>319</v>
      </c>
      <c r="B61" s="59" t="s">
        <v>320</v>
      </c>
    </row>
    <row r="62" spans="1:2" x14ac:dyDescent="0.25">
      <c r="A62" s="59" t="s">
        <v>321</v>
      </c>
      <c r="B62" s="59" t="s">
        <v>322</v>
      </c>
    </row>
    <row r="63" spans="1:2" x14ac:dyDescent="0.25">
      <c r="A63" s="59" t="s">
        <v>323</v>
      </c>
      <c r="B63" s="59" t="s">
        <v>324</v>
      </c>
    </row>
    <row r="64" spans="1:2" x14ac:dyDescent="0.25">
      <c r="A64" s="59" t="s">
        <v>325</v>
      </c>
      <c r="B64" s="59" t="s">
        <v>326</v>
      </c>
    </row>
    <row r="65" spans="1:2" x14ac:dyDescent="0.25">
      <c r="A65" s="59" t="s">
        <v>327</v>
      </c>
      <c r="B65" s="59" t="s">
        <v>328</v>
      </c>
    </row>
    <row r="66" spans="1:2" x14ac:dyDescent="0.25">
      <c r="A66" s="59" t="s">
        <v>329</v>
      </c>
      <c r="B66" s="59" t="s">
        <v>330</v>
      </c>
    </row>
    <row r="67" spans="1:2" x14ac:dyDescent="0.25">
      <c r="A67" s="59" t="s">
        <v>331</v>
      </c>
      <c r="B67" s="59" t="s">
        <v>332</v>
      </c>
    </row>
    <row r="68" spans="1:2" x14ac:dyDescent="0.25">
      <c r="A68" s="59" t="s">
        <v>333</v>
      </c>
      <c r="B68" s="59" t="s">
        <v>334</v>
      </c>
    </row>
    <row r="69" spans="1:2" x14ac:dyDescent="0.25">
      <c r="A69" s="59" t="s">
        <v>335</v>
      </c>
      <c r="B69" s="59" t="s">
        <v>336</v>
      </c>
    </row>
    <row r="70" spans="1:2" x14ac:dyDescent="0.25">
      <c r="A70" s="59" t="s">
        <v>337</v>
      </c>
      <c r="B70" s="59" t="s">
        <v>338</v>
      </c>
    </row>
    <row r="71" spans="1:2" x14ac:dyDescent="0.25">
      <c r="A71" s="59" t="s">
        <v>339</v>
      </c>
      <c r="B71" s="59" t="s">
        <v>340</v>
      </c>
    </row>
    <row r="72" spans="1:2" x14ac:dyDescent="0.25">
      <c r="A72" s="59" t="s">
        <v>341</v>
      </c>
      <c r="B72" s="59" t="s">
        <v>342</v>
      </c>
    </row>
    <row r="73" spans="1:2" x14ac:dyDescent="0.25">
      <c r="A73" s="59" t="s">
        <v>343</v>
      </c>
      <c r="B73" s="59" t="s">
        <v>344</v>
      </c>
    </row>
    <row r="74" spans="1:2" x14ac:dyDescent="0.25">
      <c r="A74" s="59" t="s">
        <v>345</v>
      </c>
      <c r="B74" s="59" t="s">
        <v>346</v>
      </c>
    </row>
    <row r="75" spans="1:2" x14ac:dyDescent="0.25">
      <c r="A75" s="59" t="s">
        <v>347</v>
      </c>
      <c r="B75" s="59" t="s">
        <v>348</v>
      </c>
    </row>
    <row r="76" spans="1:2" x14ac:dyDescent="0.25">
      <c r="A76" s="59" t="s">
        <v>349</v>
      </c>
      <c r="B76" s="59" t="s">
        <v>350</v>
      </c>
    </row>
    <row r="77" spans="1:2" x14ac:dyDescent="0.25">
      <c r="A77" s="59" t="s">
        <v>351</v>
      </c>
      <c r="B77" s="59" t="s">
        <v>352</v>
      </c>
    </row>
    <row r="78" spans="1:2" x14ac:dyDescent="0.25">
      <c r="A78" s="59" t="s">
        <v>353</v>
      </c>
      <c r="B78" s="59" t="s">
        <v>354</v>
      </c>
    </row>
    <row r="79" spans="1:2" x14ac:dyDescent="0.25">
      <c r="A79" s="59" t="s">
        <v>355</v>
      </c>
      <c r="B79" s="59" t="s">
        <v>356</v>
      </c>
    </row>
    <row r="80" spans="1:2" x14ac:dyDescent="0.25">
      <c r="A80" s="59" t="s">
        <v>357</v>
      </c>
      <c r="B80" s="59" t="s">
        <v>358</v>
      </c>
    </row>
    <row r="81" spans="1:2" x14ac:dyDescent="0.25">
      <c r="A81" s="59" t="s">
        <v>359</v>
      </c>
      <c r="B81" s="59" t="s">
        <v>360</v>
      </c>
    </row>
    <row r="82" spans="1:2" x14ac:dyDescent="0.25">
      <c r="A82" s="59" t="s">
        <v>361</v>
      </c>
      <c r="B82" s="59" t="s">
        <v>362</v>
      </c>
    </row>
    <row r="83" spans="1:2" x14ac:dyDescent="0.25">
      <c r="A83" s="59" t="s">
        <v>363</v>
      </c>
      <c r="B83" s="59" t="s">
        <v>350</v>
      </c>
    </row>
    <row r="84" spans="1:2" x14ac:dyDescent="0.25">
      <c r="A84" s="59" t="s">
        <v>364</v>
      </c>
      <c r="B84" s="59" t="s">
        <v>365</v>
      </c>
    </row>
    <row r="85" spans="1:2" x14ac:dyDescent="0.25">
      <c r="A85" s="59" t="s">
        <v>366</v>
      </c>
      <c r="B85" s="59" t="s">
        <v>367</v>
      </c>
    </row>
    <row r="86" spans="1:2" x14ac:dyDescent="0.25">
      <c r="A86" s="59" t="s">
        <v>368</v>
      </c>
      <c r="B86" s="59" t="s">
        <v>369</v>
      </c>
    </row>
    <row r="87" spans="1:2" x14ac:dyDescent="0.25">
      <c r="A87" s="59" t="s">
        <v>370</v>
      </c>
      <c r="B87" s="59" t="s">
        <v>371</v>
      </c>
    </row>
    <row r="88" spans="1:2" x14ac:dyDescent="0.25">
      <c r="A88" s="59" t="s">
        <v>372</v>
      </c>
      <c r="B88" s="59" t="s">
        <v>373</v>
      </c>
    </row>
    <row r="89" spans="1:2" x14ac:dyDescent="0.25">
      <c r="A89" s="59" t="s">
        <v>374</v>
      </c>
      <c r="B89" s="59" t="s">
        <v>375</v>
      </c>
    </row>
    <row r="90" spans="1:2" x14ac:dyDescent="0.25">
      <c r="A90" s="59" t="s">
        <v>376</v>
      </c>
      <c r="B90" s="59" t="s">
        <v>377</v>
      </c>
    </row>
    <row r="91" spans="1:2" x14ac:dyDescent="0.25">
      <c r="A91" s="59" t="s">
        <v>378</v>
      </c>
      <c r="B91" s="59" t="s">
        <v>379</v>
      </c>
    </row>
    <row r="92" spans="1:2" x14ac:dyDescent="0.25">
      <c r="A92" s="59" t="s">
        <v>380</v>
      </c>
      <c r="B92" s="59" t="s">
        <v>381</v>
      </c>
    </row>
    <row r="93" spans="1:2" x14ac:dyDescent="0.25">
      <c r="A93" s="59" t="s">
        <v>382</v>
      </c>
      <c r="B93" s="59" t="s">
        <v>383</v>
      </c>
    </row>
    <row r="94" spans="1:2" x14ac:dyDescent="0.25">
      <c r="A94" s="59" t="s">
        <v>384</v>
      </c>
      <c r="B94" s="59" t="s">
        <v>385</v>
      </c>
    </row>
    <row r="95" spans="1:2" x14ac:dyDescent="0.25">
      <c r="A95" s="59" t="s">
        <v>386</v>
      </c>
      <c r="B95" s="59" t="s">
        <v>387</v>
      </c>
    </row>
    <row r="96" spans="1:2" x14ac:dyDescent="0.25">
      <c r="A96" s="59" t="s">
        <v>388</v>
      </c>
      <c r="B96" s="59" t="s">
        <v>389</v>
      </c>
    </row>
    <row r="97" spans="1:2" x14ac:dyDescent="0.25">
      <c r="A97" s="59" t="s">
        <v>390</v>
      </c>
      <c r="B97" s="59" t="s">
        <v>391</v>
      </c>
    </row>
    <row r="98" spans="1:2" x14ac:dyDescent="0.25">
      <c r="A98" s="59" t="s">
        <v>392</v>
      </c>
      <c r="B98" s="59" t="s">
        <v>348</v>
      </c>
    </row>
    <row r="99" spans="1:2" x14ac:dyDescent="0.25">
      <c r="A99" s="59" t="s">
        <v>393</v>
      </c>
      <c r="B99" s="59" t="s">
        <v>394</v>
      </c>
    </row>
    <row r="100" spans="1:2" x14ac:dyDescent="0.25">
      <c r="A100" s="59" t="s">
        <v>395</v>
      </c>
      <c r="B100" s="59" t="s">
        <v>396</v>
      </c>
    </row>
    <row r="101" spans="1:2" x14ac:dyDescent="0.25">
      <c r="A101" s="59" t="s">
        <v>397</v>
      </c>
      <c r="B101" s="59" t="s">
        <v>398</v>
      </c>
    </row>
    <row r="102" spans="1:2" x14ac:dyDescent="0.25">
      <c r="A102" s="59" t="s">
        <v>399</v>
      </c>
      <c r="B102" s="59" t="s">
        <v>400</v>
      </c>
    </row>
    <row r="103" spans="1:2" x14ac:dyDescent="0.25">
      <c r="A103" s="59" t="s">
        <v>401</v>
      </c>
      <c r="B103" s="59" t="s">
        <v>402</v>
      </c>
    </row>
    <row r="104" spans="1:2" x14ac:dyDescent="0.25">
      <c r="A104" s="59" t="s">
        <v>403</v>
      </c>
      <c r="B104" s="59" t="s">
        <v>404</v>
      </c>
    </row>
    <row r="105" spans="1:2" x14ac:dyDescent="0.25">
      <c r="A105" s="59" t="s">
        <v>405</v>
      </c>
      <c r="B105" s="59" t="s">
        <v>406</v>
      </c>
    </row>
    <row r="106" spans="1:2" x14ac:dyDescent="0.25">
      <c r="A106" s="59" t="s">
        <v>407</v>
      </c>
      <c r="B106" s="59" t="s">
        <v>408</v>
      </c>
    </row>
    <row r="107" spans="1:2" x14ac:dyDescent="0.25">
      <c r="A107" s="59" t="s">
        <v>409</v>
      </c>
      <c r="B107" s="59" t="s">
        <v>410</v>
      </c>
    </row>
    <row r="108" spans="1:2" x14ac:dyDescent="0.25">
      <c r="A108" s="59" t="s">
        <v>411</v>
      </c>
      <c r="B108" s="59" t="s">
        <v>412</v>
      </c>
    </row>
    <row r="109" spans="1:2" x14ac:dyDescent="0.25">
      <c r="A109" s="59" t="s">
        <v>413</v>
      </c>
      <c r="B109" s="59" t="s">
        <v>414</v>
      </c>
    </row>
    <row r="110" spans="1:2" x14ac:dyDescent="0.25">
      <c r="A110" s="59" t="s">
        <v>415</v>
      </c>
      <c r="B110" s="59" t="s">
        <v>416</v>
      </c>
    </row>
    <row r="111" spans="1:2" x14ac:dyDescent="0.25">
      <c r="A111" s="59" t="s">
        <v>417</v>
      </c>
      <c r="B111" s="59" t="s">
        <v>418</v>
      </c>
    </row>
    <row r="112" spans="1:2" x14ac:dyDescent="0.25">
      <c r="A112" s="59" t="s">
        <v>419</v>
      </c>
      <c r="B112" s="59" t="s">
        <v>420</v>
      </c>
    </row>
    <row r="113" spans="1:2" x14ac:dyDescent="0.25">
      <c r="A113" s="59" t="s">
        <v>421</v>
      </c>
      <c r="B113" s="59" t="s">
        <v>422</v>
      </c>
    </row>
    <row r="114" spans="1:2" x14ac:dyDescent="0.25">
      <c r="A114" s="59" t="s">
        <v>423</v>
      </c>
      <c r="B114" s="59" t="s">
        <v>424</v>
      </c>
    </row>
    <row r="115" spans="1:2" x14ac:dyDescent="0.25">
      <c r="A115" s="59" t="s">
        <v>425</v>
      </c>
      <c r="B115" s="59" t="s">
        <v>404</v>
      </c>
    </row>
    <row r="116" spans="1:2" x14ac:dyDescent="0.25">
      <c r="A116" s="59" t="s">
        <v>426</v>
      </c>
      <c r="B116" s="59" t="s">
        <v>427</v>
      </c>
    </row>
    <row r="117" spans="1:2" x14ac:dyDescent="0.25">
      <c r="A117" s="59" t="s">
        <v>428</v>
      </c>
      <c r="B117" s="59" t="s">
        <v>429</v>
      </c>
    </row>
    <row r="118" spans="1:2" x14ac:dyDescent="0.25">
      <c r="A118" s="59" t="s">
        <v>430</v>
      </c>
      <c r="B118" s="59" t="s">
        <v>431</v>
      </c>
    </row>
    <row r="119" spans="1:2" x14ac:dyDescent="0.25">
      <c r="A119" s="59" t="s">
        <v>432</v>
      </c>
      <c r="B119" s="59" t="s">
        <v>433</v>
      </c>
    </row>
    <row r="120" spans="1:2" x14ac:dyDescent="0.25">
      <c r="A120" s="59" t="s">
        <v>434</v>
      </c>
      <c r="B120" s="59" t="s">
        <v>435</v>
      </c>
    </row>
    <row r="121" spans="1:2" x14ac:dyDescent="0.25">
      <c r="A121" s="59" t="s">
        <v>436</v>
      </c>
      <c r="B121" s="59" t="s">
        <v>437</v>
      </c>
    </row>
    <row r="122" spans="1:2" x14ac:dyDescent="0.25">
      <c r="A122" s="59" t="s">
        <v>438</v>
      </c>
      <c r="B122" s="59" t="s">
        <v>439</v>
      </c>
    </row>
    <row r="123" spans="1:2" x14ac:dyDescent="0.25">
      <c r="A123" s="59" t="s">
        <v>440</v>
      </c>
      <c r="B123" s="59" t="s">
        <v>441</v>
      </c>
    </row>
    <row r="124" spans="1:2" x14ac:dyDescent="0.25">
      <c r="A124" s="59" t="s">
        <v>442</v>
      </c>
      <c r="B124" s="59" t="s">
        <v>443</v>
      </c>
    </row>
    <row r="125" spans="1:2" x14ac:dyDescent="0.25">
      <c r="A125" s="59" t="s">
        <v>444</v>
      </c>
      <c r="B125" s="59" t="s">
        <v>445</v>
      </c>
    </row>
    <row r="126" spans="1:2" x14ac:dyDescent="0.25">
      <c r="A126" s="59" t="s">
        <v>446</v>
      </c>
      <c r="B126" s="59" t="s">
        <v>447</v>
      </c>
    </row>
    <row r="127" spans="1:2" x14ac:dyDescent="0.25">
      <c r="A127" s="59" t="s">
        <v>448</v>
      </c>
      <c r="B127" s="59" t="s">
        <v>449</v>
      </c>
    </row>
    <row r="128" spans="1:2" x14ac:dyDescent="0.25">
      <c r="A128" s="59" t="s">
        <v>450</v>
      </c>
      <c r="B128" s="59" t="s">
        <v>451</v>
      </c>
    </row>
    <row r="129" spans="1:2" x14ac:dyDescent="0.25">
      <c r="A129" s="59" t="s">
        <v>452</v>
      </c>
      <c r="B129" s="59" t="s">
        <v>453</v>
      </c>
    </row>
    <row r="130" spans="1:2" x14ac:dyDescent="0.25">
      <c r="A130" s="59" t="s">
        <v>454</v>
      </c>
      <c r="B130" s="59" t="s">
        <v>455</v>
      </c>
    </row>
    <row r="131" spans="1:2" x14ac:dyDescent="0.25">
      <c r="A131" s="59" t="s">
        <v>456</v>
      </c>
      <c r="B131" s="59" t="s">
        <v>457</v>
      </c>
    </row>
    <row r="132" spans="1:2" x14ac:dyDescent="0.25">
      <c r="A132" s="59" t="s">
        <v>458</v>
      </c>
      <c r="B132" s="59" t="s">
        <v>459</v>
      </c>
    </row>
    <row r="133" spans="1:2" x14ac:dyDescent="0.25">
      <c r="A133" s="59" t="s">
        <v>460</v>
      </c>
      <c r="B133" s="59" t="s">
        <v>461</v>
      </c>
    </row>
    <row r="134" spans="1:2" x14ac:dyDescent="0.25">
      <c r="A134" s="59" t="s">
        <v>462</v>
      </c>
      <c r="B134" s="59" t="s">
        <v>463</v>
      </c>
    </row>
    <row r="135" spans="1:2" x14ac:dyDescent="0.25">
      <c r="A135" s="59" t="s">
        <v>464</v>
      </c>
      <c r="B135" s="59" t="s">
        <v>465</v>
      </c>
    </row>
    <row r="136" spans="1:2" x14ac:dyDescent="0.25">
      <c r="A136" s="59" t="s">
        <v>466</v>
      </c>
      <c r="B136" s="59" t="s">
        <v>467</v>
      </c>
    </row>
    <row r="137" spans="1:2" x14ac:dyDescent="0.25">
      <c r="A137" s="59" t="s">
        <v>468</v>
      </c>
      <c r="B137" s="59" t="s">
        <v>459</v>
      </c>
    </row>
    <row r="138" spans="1:2" x14ac:dyDescent="0.25">
      <c r="A138" s="59" t="s">
        <v>469</v>
      </c>
      <c r="B138" s="59" t="s">
        <v>470</v>
      </c>
    </row>
    <row r="139" spans="1:2" x14ac:dyDescent="0.25">
      <c r="A139" s="59" t="s">
        <v>471</v>
      </c>
      <c r="B139" s="59" t="s">
        <v>472</v>
      </c>
    </row>
    <row r="140" spans="1:2" x14ac:dyDescent="0.25">
      <c r="A140" s="59" t="s">
        <v>473</v>
      </c>
      <c r="B140" s="59" t="s">
        <v>474</v>
      </c>
    </row>
    <row r="141" spans="1:2" x14ac:dyDescent="0.25">
      <c r="A141" s="59" t="s">
        <v>475</v>
      </c>
      <c r="B141" s="59" t="s">
        <v>476</v>
      </c>
    </row>
    <row r="142" spans="1:2" x14ac:dyDescent="0.25">
      <c r="A142" s="59" t="s">
        <v>477</v>
      </c>
      <c r="B142" s="59" t="s">
        <v>478</v>
      </c>
    </row>
    <row r="143" spans="1:2" x14ac:dyDescent="0.25">
      <c r="A143" s="59" t="s">
        <v>479</v>
      </c>
      <c r="B143" s="59" t="s">
        <v>480</v>
      </c>
    </row>
    <row r="144" spans="1:2" x14ac:dyDescent="0.25">
      <c r="A144" s="59" t="s">
        <v>481</v>
      </c>
      <c r="B144" s="59" t="s">
        <v>482</v>
      </c>
    </row>
    <row r="145" spans="1:2" x14ac:dyDescent="0.25">
      <c r="A145" s="59" t="s">
        <v>483</v>
      </c>
      <c r="B145" s="59" t="s">
        <v>484</v>
      </c>
    </row>
    <row r="146" spans="1:2" x14ac:dyDescent="0.25">
      <c r="A146" s="59" t="s">
        <v>485</v>
      </c>
      <c r="B146" s="59" t="s">
        <v>486</v>
      </c>
    </row>
    <row r="147" spans="1:2" x14ac:dyDescent="0.25">
      <c r="A147" s="59" t="s">
        <v>487</v>
      </c>
      <c r="B147" s="59" t="s">
        <v>488</v>
      </c>
    </row>
    <row r="148" spans="1:2" x14ac:dyDescent="0.25">
      <c r="A148" s="59" t="s">
        <v>489</v>
      </c>
      <c r="B148" s="59" t="s">
        <v>465</v>
      </c>
    </row>
    <row r="149" spans="1:2" x14ac:dyDescent="0.25">
      <c r="A149" s="59" t="s">
        <v>490</v>
      </c>
      <c r="B149" s="59" t="s">
        <v>491</v>
      </c>
    </row>
    <row r="150" spans="1:2" x14ac:dyDescent="0.25">
      <c r="A150" s="59" t="s">
        <v>492</v>
      </c>
      <c r="B150" s="59" t="s">
        <v>493</v>
      </c>
    </row>
    <row r="151" spans="1:2" x14ac:dyDescent="0.25">
      <c r="A151" s="59" t="s">
        <v>494</v>
      </c>
      <c r="B151" s="59" t="s">
        <v>495</v>
      </c>
    </row>
    <row r="152" spans="1:2" x14ac:dyDescent="0.25">
      <c r="A152" s="59" t="s">
        <v>496</v>
      </c>
      <c r="B152" s="59" t="s">
        <v>497</v>
      </c>
    </row>
    <row r="153" spans="1:2" x14ac:dyDescent="0.25">
      <c r="A153" s="59" t="s">
        <v>498</v>
      </c>
      <c r="B153" s="59" t="s">
        <v>499</v>
      </c>
    </row>
    <row r="154" spans="1:2" x14ac:dyDescent="0.25">
      <c r="A154" s="59" t="s">
        <v>500</v>
      </c>
      <c r="B154" s="59" t="s">
        <v>501</v>
      </c>
    </row>
    <row r="155" spans="1:2" x14ac:dyDescent="0.25">
      <c r="A155" s="59" t="s">
        <v>502</v>
      </c>
      <c r="B155" s="59" t="s">
        <v>503</v>
      </c>
    </row>
    <row r="156" spans="1:2" x14ac:dyDescent="0.25">
      <c r="A156" s="59" t="s">
        <v>504</v>
      </c>
      <c r="B156" s="59" t="s">
        <v>505</v>
      </c>
    </row>
    <row r="157" spans="1:2" x14ac:dyDescent="0.25">
      <c r="A157" s="59" t="s">
        <v>506</v>
      </c>
      <c r="B157" s="59" t="s">
        <v>472</v>
      </c>
    </row>
    <row r="158" spans="1:2" x14ac:dyDescent="0.25">
      <c r="A158" s="59" t="s">
        <v>507</v>
      </c>
      <c r="B158" s="59" t="s">
        <v>508</v>
      </c>
    </row>
    <row r="159" spans="1:2" x14ac:dyDescent="0.25">
      <c r="A159" s="59" t="s">
        <v>509</v>
      </c>
      <c r="B159" s="59" t="s">
        <v>510</v>
      </c>
    </row>
    <row r="160" spans="1:2" x14ac:dyDescent="0.25">
      <c r="A160" s="59" t="s">
        <v>511</v>
      </c>
      <c r="B160" s="59" t="s">
        <v>512</v>
      </c>
    </row>
    <row r="161" spans="1:2" x14ac:dyDescent="0.25">
      <c r="A161" s="59" t="s">
        <v>513</v>
      </c>
      <c r="B161" s="59" t="s">
        <v>514</v>
      </c>
    </row>
    <row r="162" spans="1:2" x14ac:dyDescent="0.25">
      <c r="A162" s="59" t="s">
        <v>515</v>
      </c>
      <c r="B162" s="59" t="s">
        <v>516</v>
      </c>
    </row>
    <row r="163" spans="1:2" x14ac:dyDescent="0.25">
      <c r="A163" s="59" t="s">
        <v>517</v>
      </c>
      <c r="B163" s="59" t="s">
        <v>518</v>
      </c>
    </row>
    <row r="164" spans="1:2" x14ac:dyDescent="0.25">
      <c r="A164" s="59" t="s">
        <v>519</v>
      </c>
      <c r="B164" s="59" t="s">
        <v>510</v>
      </c>
    </row>
    <row r="165" spans="1:2" x14ac:dyDescent="0.25">
      <c r="A165" s="59" t="s">
        <v>520</v>
      </c>
      <c r="B165" s="59" t="s">
        <v>521</v>
      </c>
    </row>
    <row r="166" spans="1:2" x14ac:dyDescent="0.25">
      <c r="A166" s="59" t="s">
        <v>522</v>
      </c>
      <c r="B166" s="59" t="s">
        <v>523</v>
      </c>
    </row>
    <row r="167" spans="1:2" x14ac:dyDescent="0.25">
      <c r="A167" s="59" t="s">
        <v>524</v>
      </c>
      <c r="B167" s="59" t="s">
        <v>525</v>
      </c>
    </row>
    <row r="168" spans="1:2" x14ac:dyDescent="0.25">
      <c r="A168" s="59" t="s">
        <v>526</v>
      </c>
      <c r="B168" s="59" t="s">
        <v>527</v>
      </c>
    </row>
    <row r="169" spans="1:2" x14ac:dyDescent="0.25">
      <c r="A169" s="59" t="s">
        <v>528</v>
      </c>
      <c r="B169" s="59" t="s">
        <v>529</v>
      </c>
    </row>
    <row r="170" spans="1:2" x14ac:dyDescent="0.25">
      <c r="A170" s="59" t="s">
        <v>530</v>
      </c>
      <c r="B170" s="59" t="s">
        <v>531</v>
      </c>
    </row>
    <row r="171" spans="1:2" x14ac:dyDescent="0.25">
      <c r="A171" s="59" t="s">
        <v>532</v>
      </c>
      <c r="B171" s="59" t="s">
        <v>533</v>
      </c>
    </row>
    <row r="172" spans="1:2" x14ac:dyDescent="0.25">
      <c r="A172" s="59" t="s">
        <v>534</v>
      </c>
      <c r="B172" s="59" t="s">
        <v>535</v>
      </c>
    </row>
    <row r="173" spans="1:2" x14ac:dyDescent="0.25">
      <c r="A173" s="59" t="s">
        <v>536</v>
      </c>
      <c r="B173" s="59" t="s">
        <v>537</v>
      </c>
    </row>
    <row r="174" spans="1:2" x14ac:dyDescent="0.25">
      <c r="A174" s="59" t="s">
        <v>538</v>
      </c>
      <c r="B174" s="59" t="s">
        <v>539</v>
      </c>
    </row>
    <row r="175" spans="1:2" x14ac:dyDescent="0.25">
      <c r="A175" s="59" t="s">
        <v>540</v>
      </c>
      <c r="B175" s="59" t="s">
        <v>541</v>
      </c>
    </row>
    <row r="176" spans="1:2" x14ac:dyDescent="0.25">
      <c r="A176" s="59" t="s">
        <v>542</v>
      </c>
      <c r="B176" s="59" t="s">
        <v>543</v>
      </c>
    </row>
    <row r="177" spans="1:2" x14ac:dyDescent="0.25">
      <c r="A177" s="59" t="s">
        <v>544</v>
      </c>
      <c r="B177" s="59" t="s">
        <v>545</v>
      </c>
    </row>
    <row r="178" spans="1:2" x14ac:dyDescent="0.25">
      <c r="A178" s="59" t="s">
        <v>546</v>
      </c>
      <c r="B178" s="59" t="s">
        <v>547</v>
      </c>
    </row>
    <row r="179" spans="1:2" x14ac:dyDescent="0.25">
      <c r="A179" s="59" t="s">
        <v>548</v>
      </c>
      <c r="B179" s="59" t="s">
        <v>549</v>
      </c>
    </row>
    <row r="180" spans="1:2" x14ac:dyDescent="0.25">
      <c r="A180" s="59" t="s">
        <v>550</v>
      </c>
      <c r="B180" s="59" t="s">
        <v>551</v>
      </c>
    </row>
    <row r="181" spans="1:2" x14ac:dyDescent="0.25">
      <c r="A181" s="59" t="s">
        <v>552</v>
      </c>
      <c r="B181" s="59" t="s">
        <v>553</v>
      </c>
    </row>
    <row r="182" spans="1:2" x14ac:dyDescent="0.25">
      <c r="A182" s="59" t="s">
        <v>554</v>
      </c>
      <c r="B182" s="59" t="s">
        <v>555</v>
      </c>
    </row>
    <row r="183" spans="1:2" x14ac:dyDescent="0.25">
      <c r="A183" s="59" t="s">
        <v>556</v>
      </c>
      <c r="B183" s="59" t="s">
        <v>557</v>
      </c>
    </row>
    <row r="184" spans="1:2" x14ac:dyDescent="0.25">
      <c r="A184" s="59" t="s">
        <v>558</v>
      </c>
      <c r="B184" s="59" t="s">
        <v>559</v>
      </c>
    </row>
    <row r="185" spans="1:2" x14ac:dyDescent="0.25">
      <c r="A185" s="59" t="s">
        <v>560</v>
      </c>
      <c r="B185" s="59" t="s">
        <v>561</v>
      </c>
    </row>
    <row r="186" spans="1:2" x14ac:dyDescent="0.25">
      <c r="A186" s="59" t="s">
        <v>562</v>
      </c>
      <c r="B186" s="59" t="s">
        <v>563</v>
      </c>
    </row>
    <row r="187" spans="1:2" x14ac:dyDescent="0.25">
      <c r="A187" s="59" t="s">
        <v>564</v>
      </c>
      <c r="B187" s="59" t="s">
        <v>565</v>
      </c>
    </row>
    <row r="188" spans="1:2" x14ac:dyDescent="0.25">
      <c r="A188" s="59" t="s">
        <v>566</v>
      </c>
      <c r="B188" s="59" t="s">
        <v>567</v>
      </c>
    </row>
    <row r="189" spans="1:2" x14ac:dyDescent="0.25">
      <c r="A189" s="59" t="s">
        <v>568</v>
      </c>
      <c r="B189" s="59" t="s">
        <v>557</v>
      </c>
    </row>
    <row r="190" spans="1:2" x14ac:dyDescent="0.25">
      <c r="A190" s="59" t="s">
        <v>569</v>
      </c>
      <c r="B190" s="59" t="s">
        <v>570</v>
      </c>
    </row>
    <row r="191" spans="1:2" x14ac:dyDescent="0.25">
      <c r="A191" s="59" t="s">
        <v>571</v>
      </c>
      <c r="B191" s="59" t="s">
        <v>572</v>
      </c>
    </row>
    <row r="192" spans="1:2" x14ac:dyDescent="0.25">
      <c r="A192" s="59" t="s">
        <v>573</v>
      </c>
      <c r="B192" s="59" t="s">
        <v>574</v>
      </c>
    </row>
    <row r="193" spans="1:2" x14ac:dyDescent="0.25">
      <c r="A193" s="59" t="s">
        <v>575</v>
      </c>
      <c r="B193" s="59" t="s">
        <v>576</v>
      </c>
    </row>
    <row r="194" spans="1:2" x14ac:dyDescent="0.25">
      <c r="A194" s="59" t="s">
        <v>577</v>
      </c>
      <c r="B194" s="59" t="s">
        <v>578</v>
      </c>
    </row>
    <row r="195" spans="1:2" x14ac:dyDescent="0.25">
      <c r="A195" s="59" t="s">
        <v>579</v>
      </c>
      <c r="B195" s="59" t="s">
        <v>580</v>
      </c>
    </row>
    <row r="196" spans="1:2" x14ac:dyDescent="0.25">
      <c r="A196" s="59" t="s">
        <v>581</v>
      </c>
      <c r="B196" s="59" t="s">
        <v>582</v>
      </c>
    </row>
    <row r="197" spans="1:2" x14ac:dyDescent="0.25">
      <c r="A197" s="59" t="s">
        <v>583</v>
      </c>
      <c r="B197" s="59" t="s">
        <v>584</v>
      </c>
    </row>
    <row r="198" spans="1:2" x14ac:dyDescent="0.25">
      <c r="A198" s="59" t="s">
        <v>585</v>
      </c>
      <c r="B198" s="59" t="s">
        <v>570</v>
      </c>
    </row>
    <row r="199" spans="1:2" x14ac:dyDescent="0.25">
      <c r="A199" s="59" t="s">
        <v>586</v>
      </c>
      <c r="B199" s="59" t="s">
        <v>587</v>
      </c>
    </row>
    <row r="200" spans="1:2" x14ac:dyDescent="0.25">
      <c r="A200" s="59" t="s">
        <v>588</v>
      </c>
      <c r="B200" s="59" t="s">
        <v>589</v>
      </c>
    </row>
    <row r="201" spans="1:2" x14ac:dyDescent="0.25">
      <c r="A201" s="59" t="s">
        <v>590</v>
      </c>
      <c r="B201" s="59" t="s">
        <v>591</v>
      </c>
    </row>
    <row r="202" spans="1:2" x14ac:dyDescent="0.25">
      <c r="A202" s="59" t="s">
        <v>592</v>
      </c>
      <c r="B202" s="59" t="s">
        <v>422</v>
      </c>
    </row>
    <row r="203" spans="1:2" x14ac:dyDescent="0.25">
      <c r="A203" s="59" t="s">
        <v>593</v>
      </c>
      <c r="B203" s="59" t="s">
        <v>594</v>
      </c>
    </row>
    <row r="204" spans="1:2" x14ac:dyDescent="0.25">
      <c r="A204" s="59" t="s">
        <v>595</v>
      </c>
      <c r="B204" s="59" t="s">
        <v>596</v>
      </c>
    </row>
    <row r="205" spans="1:2" x14ac:dyDescent="0.25">
      <c r="A205" s="59" t="s">
        <v>597</v>
      </c>
      <c r="B205" s="59" t="s">
        <v>598</v>
      </c>
    </row>
    <row r="206" spans="1:2" x14ac:dyDescent="0.25">
      <c r="A206" s="59" t="s">
        <v>599</v>
      </c>
      <c r="B206" s="59" t="s">
        <v>600</v>
      </c>
    </row>
    <row r="207" spans="1:2" x14ac:dyDescent="0.25">
      <c r="A207" s="59" t="s">
        <v>601</v>
      </c>
      <c r="B207" s="59" t="s">
        <v>602</v>
      </c>
    </row>
    <row r="208" spans="1:2" x14ac:dyDescent="0.25">
      <c r="A208" s="59" t="s">
        <v>603</v>
      </c>
      <c r="B208" s="59" t="s">
        <v>604</v>
      </c>
    </row>
    <row r="209" spans="1:2" x14ac:dyDescent="0.25">
      <c r="A209" s="59" t="s">
        <v>605</v>
      </c>
      <c r="B209" s="59" t="s">
        <v>606</v>
      </c>
    </row>
    <row r="210" spans="1:2" x14ac:dyDescent="0.25">
      <c r="A210" s="59" t="s">
        <v>607</v>
      </c>
      <c r="B210" s="59" t="s">
        <v>604</v>
      </c>
    </row>
    <row r="211" spans="1:2" x14ac:dyDescent="0.25">
      <c r="A211" s="59" t="s">
        <v>608</v>
      </c>
      <c r="B211" s="59" t="s">
        <v>609</v>
      </c>
    </row>
    <row r="212" spans="1:2" x14ac:dyDescent="0.25">
      <c r="A212" s="59" t="s">
        <v>610</v>
      </c>
      <c r="B212" s="59" t="s">
        <v>611</v>
      </c>
    </row>
    <row r="213" spans="1:2" x14ac:dyDescent="0.25">
      <c r="A213" s="59" t="s">
        <v>612</v>
      </c>
      <c r="B213" s="59" t="s">
        <v>613</v>
      </c>
    </row>
    <row r="214" spans="1:2" x14ac:dyDescent="0.25">
      <c r="A214" s="59" t="s">
        <v>614</v>
      </c>
      <c r="B214" s="59" t="s">
        <v>615</v>
      </c>
    </row>
    <row r="215" spans="1:2" x14ac:dyDescent="0.25">
      <c r="A215" s="59" t="s">
        <v>616</v>
      </c>
      <c r="B215" s="59" t="s">
        <v>617</v>
      </c>
    </row>
    <row r="216" spans="1:2" x14ac:dyDescent="0.25">
      <c r="A216" s="59" t="s">
        <v>618</v>
      </c>
      <c r="B216" s="59" t="s">
        <v>611</v>
      </c>
    </row>
    <row r="217" spans="1:2" x14ac:dyDescent="0.25">
      <c r="A217" s="59" t="s">
        <v>619</v>
      </c>
      <c r="B217" s="59" t="s">
        <v>620</v>
      </c>
    </row>
    <row r="218" spans="1:2" x14ac:dyDescent="0.25">
      <c r="A218" s="59" t="s">
        <v>621</v>
      </c>
      <c r="B218" s="59" t="s">
        <v>622</v>
      </c>
    </row>
    <row r="219" spans="1:2" x14ac:dyDescent="0.25">
      <c r="A219" s="59" t="s">
        <v>623</v>
      </c>
      <c r="B219" s="59" t="s">
        <v>624</v>
      </c>
    </row>
    <row r="220" spans="1:2" x14ac:dyDescent="0.25">
      <c r="A220" s="59" t="s">
        <v>625</v>
      </c>
      <c r="B220" s="59" t="s">
        <v>626</v>
      </c>
    </row>
    <row r="221" spans="1:2" x14ac:dyDescent="0.25">
      <c r="A221" s="59" t="s">
        <v>627</v>
      </c>
      <c r="B221" s="59" t="s">
        <v>628</v>
      </c>
    </row>
    <row r="222" spans="1:2" x14ac:dyDescent="0.25">
      <c r="A222" s="59" t="s">
        <v>629</v>
      </c>
      <c r="B222" s="59" t="s">
        <v>630</v>
      </c>
    </row>
    <row r="223" spans="1:2" x14ac:dyDescent="0.25">
      <c r="A223" s="59" t="s">
        <v>631</v>
      </c>
      <c r="B223" s="59" t="s">
        <v>598</v>
      </c>
    </row>
    <row r="224" spans="1:2" x14ac:dyDescent="0.25">
      <c r="A224" s="59" t="s">
        <v>632</v>
      </c>
      <c r="B224" s="59" t="s">
        <v>615</v>
      </c>
    </row>
    <row r="225" spans="1:2" x14ac:dyDescent="0.25">
      <c r="A225" s="59" t="s">
        <v>633</v>
      </c>
      <c r="B225" s="59" t="s">
        <v>634</v>
      </c>
    </row>
    <row r="226" spans="1:2" x14ac:dyDescent="0.25">
      <c r="A226" s="59" t="s">
        <v>635</v>
      </c>
      <c r="B226" s="59" t="s">
        <v>636</v>
      </c>
    </row>
    <row r="227" spans="1:2" x14ac:dyDescent="0.25">
      <c r="A227" s="59" t="s">
        <v>637</v>
      </c>
      <c r="B227" s="59" t="s">
        <v>638</v>
      </c>
    </row>
    <row r="228" spans="1:2" x14ac:dyDescent="0.25">
      <c r="A228" s="59" t="s">
        <v>639</v>
      </c>
      <c r="B228" s="59" t="s">
        <v>640</v>
      </c>
    </row>
    <row r="229" spans="1:2" x14ac:dyDescent="0.25">
      <c r="A229" s="59" t="s">
        <v>641</v>
      </c>
      <c r="B229" s="59" t="s">
        <v>642</v>
      </c>
    </row>
    <row r="230" spans="1:2" x14ac:dyDescent="0.25">
      <c r="A230" s="59" t="s">
        <v>643</v>
      </c>
      <c r="B230" s="59" t="s">
        <v>644</v>
      </c>
    </row>
    <row r="231" spans="1:2" x14ac:dyDescent="0.25">
      <c r="A231" s="59" t="s">
        <v>645</v>
      </c>
      <c r="B231" s="59" t="s">
        <v>646</v>
      </c>
    </row>
    <row r="232" spans="1:2" x14ac:dyDescent="0.25">
      <c r="A232" s="59" t="s">
        <v>647</v>
      </c>
      <c r="B232" s="59" t="s">
        <v>648</v>
      </c>
    </row>
    <row r="233" spans="1:2" x14ac:dyDescent="0.25">
      <c r="A233" s="59" t="s">
        <v>649</v>
      </c>
      <c r="B233" s="59" t="s">
        <v>650</v>
      </c>
    </row>
    <row r="234" spans="1:2" x14ac:dyDescent="0.25">
      <c r="A234" s="59" t="s">
        <v>651</v>
      </c>
      <c r="B234" s="59" t="s">
        <v>652</v>
      </c>
    </row>
    <row r="235" spans="1:2" x14ac:dyDescent="0.25">
      <c r="A235" s="59" t="s">
        <v>653</v>
      </c>
      <c r="B235" s="59" t="s">
        <v>654</v>
      </c>
    </row>
    <row r="236" spans="1:2" x14ac:dyDescent="0.25">
      <c r="A236" s="59" t="s">
        <v>655</v>
      </c>
      <c r="B236" s="59" t="s">
        <v>656</v>
      </c>
    </row>
    <row r="237" spans="1:2" x14ac:dyDescent="0.25">
      <c r="A237" s="59" t="s">
        <v>657</v>
      </c>
      <c r="B237" s="59" t="s">
        <v>377</v>
      </c>
    </row>
    <row r="238" spans="1:2" x14ac:dyDescent="0.25">
      <c r="A238" s="59" t="s">
        <v>658</v>
      </c>
      <c r="B238" s="59" t="s">
        <v>373</v>
      </c>
    </row>
    <row r="239" spans="1:2" x14ac:dyDescent="0.25">
      <c r="A239" s="59" t="s">
        <v>659</v>
      </c>
      <c r="B239" s="59" t="s">
        <v>646</v>
      </c>
    </row>
    <row r="240" spans="1:2" x14ac:dyDescent="0.25">
      <c r="A240" s="59" t="s">
        <v>660</v>
      </c>
      <c r="B240" s="59" t="s">
        <v>661</v>
      </c>
    </row>
    <row r="241" spans="1:2" x14ac:dyDescent="0.25">
      <c r="A241" s="59" t="s">
        <v>662</v>
      </c>
      <c r="B241" s="59" t="s">
        <v>663</v>
      </c>
    </row>
    <row r="242" spans="1:2" x14ac:dyDescent="0.25">
      <c r="A242" s="59" t="s">
        <v>664</v>
      </c>
      <c r="B242" s="59" t="s">
        <v>665</v>
      </c>
    </row>
    <row r="243" spans="1:2" x14ac:dyDescent="0.25">
      <c r="A243" s="59" t="s">
        <v>666</v>
      </c>
      <c r="B243" s="59" t="s">
        <v>667</v>
      </c>
    </row>
    <row r="244" spans="1:2" x14ac:dyDescent="0.25">
      <c r="A244" s="59" t="s">
        <v>668</v>
      </c>
      <c r="B244" s="59" t="s">
        <v>669</v>
      </c>
    </row>
    <row r="245" spans="1:2" x14ac:dyDescent="0.25">
      <c r="A245" s="59" t="s">
        <v>670</v>
      </c>
      <c r="B245" s="59" t="s">
        <v>671</v>
      </c>
    </row>
    <row r="246" spans="1:2" x14ac:dyDescent="0.25">
      <c r="A246" s="59" t="s">
        <v>672</v>
      </c>
      <c r="B246" s="59" t="s">
        <v>673</v>
      </c>
    </row>
    <row r="247" spans="1:2" x14ac:dyDescent="0.25">
      <c r="A247" s="59" t="s">
        <v>674</v>
      </c>
      <c r="B247" s="59" t="s">
        <v>406</v>
      </c>
    </row>
    <row r="248" spans="1:2" x14ac:dyDescent="0.25">
      <c r="A248" s="59" t="s">
        <v>675</v>
      </c>
      <c r="B248" s="59" t="s">
        <v>661</v>
      </c>
    </row>
    <row r="249" spans="1:2" x14ac:dyDescent="0.25">
      <c r="A249" s="59" t="s">
        <v>676</v>
      </c>
      <c r="B249" s="59" t="s">
        <v>677</v>
      </c>
    </row>
    <row r="250" spans="1:2" x14ac:dyDescent="0.25">
      <c r="A250" s="59" t="s">
        <v>678</v>
      </c>
      <c r="B250" s="59" t="s">
        <v>424</v>
      </c>
    </row>
    <row r="251" spans="1:2" x14ac:dyDescent="0.25">
      <c r="A251" s="59" t="s">
        <v>679</v>
      </c>
      <c r="B251" s="59" t="s">
        <v>680</v>
      </c>
    </row>
    <row r="252" spans="1:2" x14ac:dyDescent="0.25">
      <c r="A252" s="59" t="s">
        <v>681</v>
      </c>
      <c r="B252" s="59" t="s">
        <v>682</v>
      </c>
    </row>
    <row r="253" spans="1:2" x14ac:dyDescent="0.25">
      <c r="A253" s="59" t="s">
        <v>683</v>
      </c>
      <c r="B253" s="59" t="s">
        <v>680</v>
      </c>
    </row>
    <row r="254" spans="1:2" x14ac:dyDescent="0.25">
      <c r="A254" s="59" t="s">
        <v>684</v>
      </c>
      <c r="B254" s="59" t="s">
        <v>685</v>
      </c>
    </row>
    <row r="255" spans="1:2" x14ac:dyDescent="0.25">
      <c r="A255" s="59" t="s">
        <v>686</v>
      </c>
      <c r="B255" s="59" t="s">
        <v>687</v>
      </c>
    </row>
    <row r="256" spans="1:2" x14ac:dyDescent="0.25">
      <c r="A256" s="59" t="s">
        <v>688</v>
      </c>
      <c r="B256" s="59" t="s">
        <v>689</v>
      </c>
    </row>
    <row r="257" spans="1:2" x14ac:dyDescent="0.25">
      <c r="A257" s="59" t="s">
        <v>690</v>
      </c>
      <c r="B257" s="59" t="s">
        <v>691</v>
      </c>
    </row>
    <row r="258" spans="1:2" x14ac:dyDescent="0.25">
      <c r="A258" s="59" t="s">
        <v>692</v>
      </c>
      <c r="B258" s="59" t="s">
        <v>396</v>
      </c>
    </row>
    <row r="259" spans="1:2" x14ac:dyDescent="0.25">
      <c r="A259" s="59" t="s">
        <v>693</v>
      </c>
      <c r="B259" s="59" t="s">
        <v>694</v>
      </c>
    </row>
    <row r="260" spans="1:2" x14ac:dyDescent="0.25">
      <c r="A260" s="59" t="s">
        <v>695</v>
      </c>
      <c r="B260" s="59" t="s">
        <v>696</v>
      </c>
    </row>
    <row r="261" spans="1:2" x14ac:dyDescent="0.25">
      <c r="A261" s="59" t="s">
        <v>697</v>
      </c>
      <c r="B261" s="59" t="s">
        <v>698</v>
      </c>
    </row>
    <row r="262" spans="1:2" x14ac:dyDescent="0.25">
      <c r="A262" s="59" t="s">
        <v>699</v>
      </c>
      <c r="B262" s="59" t="s">
        <v>700</v>
      </c>
    </row>
    <row r="263" spans="1:2" x14ac:dyDescent="0.25">
      <c r="A263" s="59" t="s">
        <v>701</v>
      </c>
      <c r="B263" s="59" t="s">
        <v>654</v>
      </c>
    </row>
    <row r="264" spans="1:2" x14ac:dyDescent="0.25">
      <c r="A264" s="59" t="s">
        <v>702</v>
      </c>
      <c r="B264" s="59" t="s">
        <v>656</v>
      </c>
    </row>
    <row r="265" spans="1:2" x14ac:dyDescent="0.25">
      <c r="A265" s="59" t="s">
        <v>703</v>
      </c>
      <c r="B265" s="59" t="s">
        <v>591</v>
      </c>
    </row>
    <row r="266" spans="1:2" x14ac:dyDescent="0.25">
      <c r="A266" s="59" t="s">
        <v>704</v>
      </c>
      <c r="B266" s="59" t="s">
        <v>705</v>
      </c>
    </row>
    <row r="267" spans="1:2" x14ac:dyDescent="0.25">
      <c r="A267" s="59" t="s">
        <v>706</v>
      </c>
      <c r="B267" s="59" t="s">
        <v>707</v>
      </c>
    </row>
    <row r="268" spans="1:2" x14ac:dyDescent="0.25">
      <c r="A268" s="59" t="s">
        <v>708</v>
      </c>
      <c r="B268" s="59" t="s">
        <v>709</v>
      </c>
    </row>
    <row r="269" spans="1:2" x14ac:dyDescent="0.25">
      <c r="A269" s="59" t="s">
        <v>710</v>
      </c>
      <c r="B269" s="59" t="s">
        <v>711</v>
      </c>
    </row>
    <row r="270" spans="1:2" x14ac:dyDescent="0.25">
      <c r="A270" s="59" t="s">
        <v>712</v>
      </c>
      <c r="B270" s="59" t="s">
        <v>713</v>
      </c>
    </row>
    <row r="271" spans="1:2" x14ac:dyDescent="0.25">
      <c r="A271" s="59" t="s">
        <v>714</v>
      </c>
      <c r="B271" s="59" t="s">
        <v>715</v>
      </c>
    </row>
    <row r="272" spans="1:2" x14ac:dyDescent="0.25">
      <c r="A272" s="59" t="s">
        <v>716</v>
      </c>
      <c r="B272" s="59" t="s">
        <v>613</v>
      </c>
    </row>
    <row r="273" spans="1:2" x14ac:dyDescent="0.25">
      <c r="A273" s="59" t="s">
        <v>717</v>
      </c>
      <c r="B273" s="59" t="s">
        <v>718</v>
      </c>
    </row>
    <row r="274" spans="1:2" x14ac:dyDescent="0.25">
      <c r="A274" s="59" t="s">
        <v>719</v>
      </c>
      <c r="B274" s="59" t="s">
        <v>642</v>
      </c>
    </row>
    <row r="275" spans="1:2" x14ac:dyDescent="0.25">
      <c r="A275" s="59" t="s">
        <v>720</v>
      </c>
      <c r="B275" s="59" t="s">
        <v>721</v>
      </c>
    </row>
    <row r="276" spans="1:2" x14ac:dyDescent="0.25">
      <c r="A276" s="59" t="s">
        <v>722</v>
      </c>
      <c r="B276" s="59" t="s">
        <v>723</v>
      </c>
    </row>
    <row r="277" spans="1:2" x14ac:dyDescent="0.25">
      <c r="A277" s="59" t="s">
        <v>724</v>
      </c>
      <c r="B277" s="59" t="s">
        <v>602</v>
      </c>
    </row>
    <row r="278" spans="1:2" x14ac:dyDescent="0.25">
      <c r="A278" s="59" t="s">
        <v>725</v>
      </c>
      <c r="B278" s="59" t="s">
        <v>726</v>
      </c>
    </row>
    <row r="279" spans="1:2" x14ac:dyDescent="0.25">
      <c r="A279" s="59" t="s">
        <v>727</v>
      </c>
      <c r="B279" s="59" t="s">
        <v>728</v>
      </c>
    </row>
    <row r="280" spans="1:2" x14ac:dyDescent="0.25">
      <c r="A280" s="59" t="s">
        <v>729</v>
      </c>
      <c r="B280" s="59" t="s">
        <v>640</v>
      </c>
    </row>
    <row r="281" spans="1:2" x14ac:dyDescent="0.25">
      <c r="A281" s="59" t="s">
        <v>730</v>
      </c>
      <c r="B281" s="59" t="s">
        <v>648</v>
      </c>
    </row>
    <row r="282" spans="1:2" x14ac:dyDescent="0.25">
      <c r="A282" s="59" t="s">
        <v>731</v>
      </c>
      <c r="B282" s="59" t="s">
        <v>416</v>
      </c>
    </row>
    <row r="283" spans="1:2" x14ac:dyDescent="0.25">
      <c r="A283" s="59" t="s">
        <v>732</v>
      </c>
      <c r="B283" s="59" t="s">
        <v>733</v>
      </c>
    </row>
    <row r="284" spans="1:2" x14ac:dyDescent="0.25">
      <c r="A284" s="59" t="s">
        <v>734</v>
      </c>
      <c r="B284" s="59" t="s">
        <v>735</v>
      </c>
    </row>
    <row r="285" spans="1:2" x14ac:dyDescent="0.25">
      <c r="A285" s="59" t="s">
        <v>736</v>
      </c>
      <c r="B285" s="59" t="s">
        <v>737</v>
      </c>
    </row>
    <row r="286" spans="1:2" x14ac:dyDescent="0.25">
      <c r="A286" s="59" t="s">
        <v>738</v>
      </c>
      <c r="B286" s="59" t="s">
        <v>739</v>
      </c>
    </row>
    <row r="287" spans="1:2" x14ac:dyDescent="0.25">
      <c r="A287" s="59" t="s">
        <v>740</v>
      </c>
      <c r="B287" s="59" t="s">
        <v>735</v>
      </c>
    </row>
    <row r="288" spans="1:2" x14ac:dyDescent="0.25">
      <c r="A288" s="59" t="s">
        <v>741</v>
      </c>
      <c r="B288" s="59" t="s">
        <v>742</v>
      </c>
    </row>
    <row r="289" spans="1:2" x14ac:dyDescent="0.25">
      <c r="A289" s="59" t="s">
        <v>743</v>
      </c>
      <c r="B289" s="59" t="s">
        <v>375</v>
      </c>
    </row>
    <row r="290" spans="1:2" x14ac:dyDescent="0.25">
      <c r="A290" s="59" t="s">
        <v>744</v>
      </c>
      <c r="B290" s="59" t="s">
        <v>379</v>
      </c>
    </row>
    <row r="291" spans="1:2" x14ac:dyDescent="0.25">
      <c r="A291" s="59" t="s">
        <v>745</v>
      </c>
      <c r="B291" s="59" t="s">
        <v>377</v>
      </c>
    </row>
    <row r="292" spans="1:2" x14ac:dyDescent="0.25">
      <c r="A292" s="59" t="s">
        <v>746</v>
      </c>
      <c r="B292" s="59" t="s">
        <v>747</v>
      </c>
    </row>
    <row r="293" spans="1:2" x14ac:dyDescent="0.25">
      <c r="A293" s="59" t="s">
        <v>748</v>
      </c>
      <c r="B293" s="59" t="s">
        <v>749</v>
      </c>
    </row>
    <row r="294" spans="1:2" x14ac:dyDescent="0.25">
      <c r="A294" s="59" t="s">
        <v>750</v>
      </c>
      <c r="B294" s="59" t="s">
        <v>742</v>
      </c>
    </row>
    <row r="295" spans="1:2" x14ac:dyDescent="0.25">
      <c r="A295" s="59" t="s">
        <v>751</v>
      </c>
      <c r="B295" s="59" t="s">
        <v>373</v>
      </c>
    </row>
    <row r="296" spans="1:2" x14ac:dyDescent="0.25">
      <c r="A296" s="59" t="s">
        <v>752</v>
      </c>
      <c r="B296" s="59" t="s">
        <v>753</v>
      </c>
    </row>
    <row r="297" spans="1:2" x14ac:dyDescent="0.25">
      <c r="A297" s="59" t="s">
        <v>754</v>
      </c>
      <c r="B297" s="59" t="s">
        <v>648</v>
      </c>
    </row>
    <row r="298" spans="1:2" x14ac:dyDescent="0.25">
      <c r="A298" s="59" t="s">
        <v>755</v>
      </c>
      <c r="B298" s="59" t="s">
        <v>756</v>
      </c>
    </row>
    <row r="299" spans="1:2" x14ac:dyDescent="0.25">
      <c r="A299" s="59" t="s">
        <v>757</v>
      </c>
      <c r="B299" s="59" t="s">
        <v>758</v>
      </c>
    </row>
    <row r="300" spans="1:2" x14ac:dyDescent="0.25">
      <c r="A300" s="59" t="s">
        <v>759</v>
      </c>
      <c r="B300" s="59" t="s">
        <v>760</v>
      </c>
    </row>
    <row r="301" spans="1:2" x14ac:dyDescent="0.25">
      <c r="A301" s="59" t="s">
        <v>761</v>
      </c>
      <c r="B301" s="59" t="s">
        <v>420</v>
      </c>
    </row>
    <row r="302" spans="1:2" x14ac:dyDescent="0.25">
      <c r="A302" s="59" t="s">
        <v>762</v>
      </c>
      <c r="B302" s="59" t="s">
        <v>718</v>
      </c>
    </row>
    <row r="303" spans="1:2" x14ac:dyDescent="0.25">
      <c r="A303" s="59" t="s">
        <v>763</v>
      </c>
      <c r="B303" s="59" t="s">
        <v>764</v>
      </c>
    </row>
    <row r="304" spans="1:2" x14ac:dyDescent="0.25">
      <c r="A304" s="59" t="s">
        <v>765</v>
      </c>
      <c r="B304" s="59" t="s">
        <v>766</v>
      </c>
    </row>
    <row r="305" spans="1:2" x14ac:dyDescent="0.25">
      <c r="A305" s="59" t="s">
        <v>767</v>
      </c>
      <c r="B305" s="59" t="s">
        <v>768</v>
      </c>
    </row>
    <row r="306" spans="1:2" x14ac:dyDescent="0.25">
      <c r="A306" s="59" t="s">
        <v>769</v>
      </c>
      <c r="B306" s="59" t="s">
        <v>770</v>
      </c>
    </row>
    <row r="307" spans="1:2" x14ac:dyDescent="0.25">
      <c r="A307" s="59" t="s">
        <v>771</v>
      </c>
      <c r="B307" s="59" t="s">
        <v>772</v>
      </c>
    </row>
    <row r="308" spans="1:2" x14ac:dyDescent="0.25">
      <c r="A308" s="59" t="s">
        <v>773</v>
      </c>
      <c r="B308" s="59" t="s">
        <v>774</v>
      </c>
    </row>
    <row r="309" spans="1:2" x14ac:dyDescent="0.25">
      <c r="A309" s="59" t="s">
        <v>775</v>
      </c>
      <c r="B309" s="59" t="s">
        <v>776</v>
      </c>
    </row>
    <row r="310" spans="1:2" x14ac:dyDescent="0.25">
      <c r="A310" s="59" t="s">
        <v>777</v>
      </c>
      <c r="B310" s="59" t="s">
        <v>624</v>
      </c>
    </row>
    <row r="311" spans="1:2" x14ac:dyDescent="0.25">
      <c r="A311" s="59" t="s">
        <v>778</v>
      </c>
      <c r="B311" s="59" t="s">
        <v>533</v>
      </c>
    </row>
    <row r="312" spans="1:2" x14ac:dyDescent="0.25">
      <c r="A312" s="59" t="s">
        <v>779</v>
      </c>
      <c r="B312" s="59" t="s">
        <v>780</v>
      </c>
    </row>
    <row r="313" spans="1:2" x14ac:dyDescent="0.25">
      <c r="A313" s="59" t="s">
        <v>781</v>
      </c>
      <c r="B313" s="59" t="s">
        <v>782</v>
      </c>
    </row>
    <row r="314" spans="1:2" x14ac:dyDescent="0.25">
      <c r="A314" s="59" t="s">
        <v>783</v>
      </c>
      <c r="B314" s="59" t="s">
        <v>451</v>
      </c>
    </row>
    <row r="315" spans="1:2" x14ac:dyDescent="0.25">
      <c r="A315" s="59" t="s">
        <v>784</v>
      </c>
      <c r="B315" s="59" t="s">
        <v>785</v>
      </c>
    </row>
    <row r="316" spans="1:2" x14ac:dyDescent="0.25">
      <c r="A316" s="59" t="s">
        <v>786</v>
      </c>
      <c r="B316" s="59" t="s">
        <v>787</v>
      </c>
    </row>
    <row r="317" spans="1:2" x14ac:dyDescent="0.25">
      <c r="A317" s="59" t="s">
        <v>788</v>
      </c>
      <c r="B317" s="59" t="s">
        <v>789</v>
      </c>
    </row>
    <row r="318" spans="1:2" x14ac:dyDescent="0.25">
      <c r="A318" s="59" t="s">
        <v>790</v>
      </c>
      <c r="B318" s="59" t="s">
        <v>791</v>
      </c>
    </row>
    <row r="319" spans="1:2" x14ac:dyDescent="0.25">
      <c r="A319" s="59" t="s">
        <v>792</v>
      </c>
      <c r="B319" s="59" t="s">
        <v>793</v>
      </c>
    </row>
    <row r="320" spans="1:2" x14ac:dyDescent="0.25">
      <c r="A320" s="59" t="s">
        <v>794</v>
      </c>
      <c r="B320" s="59" t="s">
        <v>795</v>
      </c>
    </row>
    <row r="321" spans="1:2" x14ac:dyDescent="0.25">
      <c r="A321" s="59" t="s">
        <v>796</v>
      </c>
      <c r="B321" s="59" t="s">
        <v>797</v>
      </c>
    </row>
    <row r="322" spans="1:2" x14ac:dyDescent="0.25">
      <c r="A322" s="59" t="s">
        <v>798</v>
      </c>
      <c r="B322" s="59" t="s">
        <v>799</v>
      </c>
    </row>
    <row r="323" spans="1:2" x14ac:dyDescent="0.25">
      <c r="A323" s="59" t="s">
        <v>800</v>
      </c>
      <c r="B323" s="59" t="s">
        <v>801</v>
      </c>
    </row>
    <row r="324" spans="1:2" x14ac:dyDescent="0.25">
      <c r="A324" s="59" t="s">
        <v>802</v>
      </c>
      <c r="B324" s="59" t="s">
        <v>803</v>
      </c>
    </row>
    <row r="325" spans="1:2" x14ac:dyDescent="0.25">
      <c r="A325" s="59" t="s">
        <v>804</v>
      </c>
      <c r="B325" s="59" t="s">
        <v>805</v>
      </c>
    </row>
    <row r="326" spans="1:2" x14ac:dyDescent="0.25">
      <c r="A326" s="59" t="s">
        <v>806</v>
      </c>
      <c r="B326" s="59" t="s">
        <v>807</v>
      </c>
    </row>
    <row r="327" spans="1:2" x14ac:dyDescent="0.25">
      <c r="A327" s="59" t="s">
        <v>808</v>
      </c>
      <c r="B327" s="59" t="s">
        <v>809</v>
      </c>
    </row>
    <row r="328" spans="1:2" x14ac:dyDescent="0.25">
      <c r="A328" s="59" t="s">
        <v>810</v>
      </c>
      <c r="B328" s="59" t="s">
        <v>811</v>
      </c>
    </row>
    <row r="329" spans="1:2" x14ac:dyDescent="0.25">
      <c r="A329" s="59" t="s">
        <v>812</v>
      </c>
      <c r="B329" s="59" t="s">
        <v>813</v>
      </c>
    </row>
    <row r="330" spans="1:2" x14ac:dyDescent="0.25">
      <c r="A330" s="59" t="s">
        <v>814</v>
      </c>
      <c r="B330" s="59" t="s">
        <v>815</v>
      </c>
    </row>
    <row r="331" spans="1:2" x14ac:dyDescent="0.25">
      <c r="A331" s="59" t="s">
        <v>816</v>
      </c>
      <c r="B331" s="59" t="s">
        <v>817</v>
      </c>
    </row>
    <row r="332" spans="1:2" x14ac:dyDescent="0.25">
      <c r="A332" s="59" t="s">
        <v>818</v>
      </c>
      <c r="B332" s="59" t="s">
        <v>819</v>
      </c>
    </row>
    <row r="333" spans="1:2" x14ac:dyDescent="0.25">
      <c r="A333" s="59" t="s">
        <v>820</v>
      </c>
      <c r="B333" s="59" t="s">
        <v>821</v>
      </c>
    </row>
    <row r="334" spans="1:2" x14ac:dyDescent="0.25">
      <c r="A334" s="59" t="s">
        <v>822</v>
      </c>
      <c r="B334" s="59" t="s">
        <v>823</v>
      </c>
    </row>
    <row r="335" spans="1:2" x14ac:dyDescent="0.25">
      <c r="A335" s="59" t="s">
        <v>824</v>
      </c>
      <c r="B335" s="59" t="s">
        <v>825</v>
      </c>
    </row>
    <row r="336" spans="1:2" x14ac:dyDescent="0.25">
      <c r="A336" s="59" t="s">
        <v>826</v>
      </c>
      <c r="B336" s="59" t="s">
        <v>827</v>
      </c>
    </row>
    <row r="337" spans="1:2" x14ac:dyDescent="0.25">
      <c r="A337" s="59" t="s">
        <v>828</v>
      </c>
      <c r="B337" s="59" t="s">
        <v>829</v>
      </c>
    </row>
    <row r="338" spans="1:2" x14ac:dyDescent="0.25">
      <c r="A338" s="59" t="s">
        <v>830</v>
      </c>
      <c r="B338" s="59" t="s">
        <v>831</v>
      </c>
    </row>
    <row r="339" spans="1:2" x14ac:dyDescent="0.25">
      <c r="A339" s="59" t="s">
        <v>832</v>
      </c>
      <c r="B339" s="59" t="s">
        <v>833</v>
      </c>
    </row>
    <row r="340" spans="1:2" x14ac:dyDescent="0.25">
      <c r="A340" s="59" t="s">
        <v>834</v>
      </c>
      <c r="B340" s="59" t="s">
        <v>835</v>
      </c>
    </row>
    <row r="341" spans="1:2" x14ac:dyDescent="0.25">
      <c r="A341" s="59" t="s">
        <v>836</v>
      </c>
      <c r="B341" s="59" t="s">
        <v>837</v>
      </c>
    </row>
    <row r="342" spans="1:2" x14ac:dyDescent="0.25">
      <c r="A342" s="59" t="s">
        <v>838</v>
      </c>
      <c r="B342" s="59" t="s">
        <v>839</v>
      </c>
    </row>
    <row r="343" spans="1:2" x14ac:dyDescent="0.25">
      <c r="A343" s="59" t="s">
        <v>840</v>
      </c>
      <c r="B343" s="59" t="s">
        <v>841</v>
      </c>
    </row>
    <row r="344" spans="1:2" x14ac:dyDescent="0.25">
      <c r="A344" s="59" t="s">
        <v>842</v>
      </c>
      <c r="B344" s="59" t="s">
        <v>843</v>
      </c>
    </row>
    <row r="345" spans="1:2" x14ac:dyDescent="0.25">
      <c r="A345" s="59" t="s">
        <v>844</v>
      </c>
      <c r="B345" s="59" t="s">
        <v>845</v>
      </c>
    </row>
    <row r="346" spans="1:2" x14ac:dyDescent="0.25">
      <c r="A346" s="59" t="s">
        <v>846</v>
      </c>
      <c r="B346" s="59" t="s">
        <v>847</v>
      </c>
    </row>
    <row r="347" spans="1:2" x14ac:dyDescent="0.25">
      <c r="A347" s="59" t="s">
        <v>848</v>
      </c>
      <c r="B347" s="59" t="s">
        <v>849</v>
      </c>
    </row>
    <row r="348" spans="1:2" x14ac:dyDescent="0.25">
      <c r="A348" s="59" t="s">
        <v>850</v>
      </c>
      <c r="B348" s="59" t="s">
        <v>851</v>
      </c>
    </row>
    <row r="349" spans="1:2" x14ac:dyDescent="0.25">
      <c r="A349" s="59" t="s">
        <v>852</v>
      </c>
      <c r="B349" s="59" t="s">
        <v>853</v>
      </c>
    </row>
    <row r="350" spans="1:2" x14ac:dyDescent="0.25">
      <c r="A350" s="59" t="s">
        <v>854</v>
      </c>
      <c r="B350" s="59" t="s">
        <v>855</v>
      </c>
    </row>
    <row r="351" spans="1:2" x14ac:dyDescent="0.25">
      <c r="A351" s="59" t="s">
        <v>856</v>
      </c>
      <c r="B351" s="59" t="s">
        <v>857</v>
      </c>
    </row>
    <row r="352" spans="1:2" x14ac:dyDescent="0.25">
      <c r="A352" s="59" t="s">
        <v>858</v>
      </c>
      <c r="B352" s="59" t="s">
        <v>859</v>
      </c>
    </row>
    <row r="353" spans="1:2" x14ac:dyDescent="0.25">
      <c r="A353" s="59" t="s">
        <v>860</v>
      </c>
      <c r="B353" s="59" t="s">
        <v>861</v>
      </c>
    </row>
    <row r="354" spans="1:2" x14ac:dyDescent="0.25">
      <c r="A354" s="59" t="s">
        <v>862</v>
      </c>
      <c r="B354" s="59" t="s">
        <v>863</v>
      </c>
    </row>
    <row r="355" spans="1:2" x14ac:dyDescent="0.25">
      <c r="A355" s="59" t="s">
        <v>864</v>
      </c>
      <c r="B355" s="59" t="s">
        <v>865</v>
      </c>
    </row>
    <row r="356" spans="1:2" x14ac:dyDescent="0.25">
      <c r="A356" s="59" t="s">
        <v>866</v>
      </c>
      <c r="B356" s="59" t="s">
        <v>867</v>
      </c>
    </row>
    <row r="357" spans="1:2" x14ac:dyDescent="0.25">
      <c r="A357" s="59" t="s">
        <v>868</v>
      </c>
      <c r="B357" s="59" t="s">
        <v>869</v>
      </c>
    </row>
    <row r="358" spans="1:2" x14ac:dyDescent="0.25">
      <c r="A358" s="59" t="s">
        <v>870</v>
      </c>
      <c r="B358" s="59" t="s">
        <v>871</v>
      </c>
    </row>
    <row r="359" spans="1:2" x14ac:dyDescent="0.25">
      <c r="A359" s="59" t="s">
        <v>872</v>
      </c>
      <c r="B359" s="59" t="s">
        <v>867</v>
      </c>
    </row>
    <row r="360" spans="1:2" x14ac:dyDescent="0.25">
      <c r="A360" s="59" t="s">
        <v>873</v>
      </c>
      <c r="B360" s="59" t="s">
        <v>874</v>
      </c>
    </row>
    <row r="361" spans="1:2" x14ac:dyDescent="0.25">
      <c r="A361" s="59" t="s">
        <v>875</v>
      </c>
      <c r="B361" s="59" t="s">
        <v>863</v>
      </c>
    </row>
    <row r="362" spans="1:2" x14ac:dyDescent="0.25">
      <c r="A362" s="59" t="s">
        <v>876</v>
      </c>
      <c r="B362" s="59" t="s">
        <v>871</v>
      </c>
    </row>
    <row r="363" spans="1:2" x14ac:dyDescent="0.25">
      <c r="A363" s="59" t="s">
        <v>877</v>
      </c>
      <c r="B363" s="59" t="s">
        <v>878</v>
      </c>
    </row>
    <row r="364" spans="1:2" x14ac:dyDescent="0.25">
      <c r="A364" s="59" t="s">
        <v>879</v>
      </c>
      <c r="B364" s="59" t="s">
        <v>880</v>
      </c>
    </row>
    <row r="365" spans="1:2" x14ac:dyDescent="0.25">
      <c r="A365" s="59" t="s">
        <v>881</v>
      </c>
      <c r="B365" s="59" t="s">
        <v>882</v>
      </c>
    </row>
    <row r="366" spans="1:2" x14ac:dyDescent="0.25">
      <c r="A366" s="59" t="s">
        <v>883</v>
      </c>
      <c r="B366" s="59" t="s">
        <v>884</v>
      </c>
    </row>
    <row r="367" spans="1:2" x14ac:dyDescent="0.25">
      <c r="A367" s="59" t="s">
        <v>885</v>
      </c>
      <c r="B367" s="59" t="s">
        <v>859</v>
      </c>
    </row>
    <row r="368" spans="1:2" x14ac:dyDescent="0.25">
      <c r="A368" s="59" t="s">
        <v>886</v>
      </c>
      <c r="B368" s="59" t="s">
        <v>887</v>
      </c>
    </row>
    <row r="369" spans="1:2" x14ac:dyDescent="0.25">
      <c r="A369" s="59" t="s">
        <v>888</v>
      </c>
      <c r="B369" s="59" t="s">
        <v>889</v>
      </c>
    </row>
    <row r="370" spans="1:2" x14ac:dyDescent="0.25">
      <c r="A370" s="59" t="s">
        <v>890</v>
      </c>
      <c r="B370" s="59" t="s">
        <v>891</v>
      </c>
    </row>
    <row r="371" spans="1:2" x14ac:dyDescent="0.25">
      <c r="A371" s="59" t="s">
        <v>892</v>
      </c>
      <c r="B371" s="59" t="s">
        <v>893</v>
      </c>
    </row>
    <row r="372" spans="1:2" x14ac:dyDescent="0.25">
      <c r="A372" s="59" t="s">
        <v>894</v>
      </c>
      <c r="B372" s="59" t="s">
        <v>895</v>
      </c>
    </row>
    <row r="373" spans="1:2" x14ac:dyDescent="0.25">
      <c r="A373" s="59" t="s">
        <v>896</v>
      </c>
      <c r="B373" s="59" t="s">
        <v>897</v>
      </c>
    </row>
    <row r="374" spans="1:2" x14ac:dyDescent="0.25">
      <c r="A374" s="59" t="s">
        <v>898</v>
      </c>
      <c r="B374" s="59" t="s">
        <v>899</v>
      </c>
    </row>
    <row r="375" spans="1:2" x14ac:dyDescent="0.25">
      <c r="A375" s="59" t="s">
        <v>900</v>
      </c>
      <c r="B375" s="59" t="s">
        <v>901</v>
      </c>
    </row>
    <row r="376" spans="1:2" x14ac:dyDescent="0.25">
      <c r="A376" s="59" t="s">
        <v>902</v>
      </c>
      <c r="B376" s="59" t="s">
        <v>903</v>
      </c>
    </row>
    <row r="377" spans="1:2" x14ac:dyDescent="0.25">
      <c r="A377" s="59" t="s">
        <v>904</v>
      </c>
      <c r="B377" s="59" t="s">
        <v>905</v>
      </c>
    </row>
    <row r="378" spans="1:2" x14ac:dyDescent="0.25">
      <c r="A378" s="59" t="s">
        <v>906</v>
      </c>
      <c r="B378" s="59" t="s">
        <v>899</v>
      </c>
    </row>
    <row r="379" spans="1:2" x14ac:dyDescent="0.25">
      <c r="A379" s="59" t="s">
        <v>907</v>
      </c>
      <c r="B379" s="59" t="s">
        <v>908</v>
      </c>
    </row>
    <row r="380" spans="1:2" x14ac:dyDescent="0.25">
      <c r="A380" s="59" t="s">
        <v>909</v>
      </c>
      <c r="B380" s="59" t="s">
        <v>910</v>
      </c>
    </row>
    <row r="381" spans="1:2" x14ac:dyDescent="0.25">
      <c r="A381" s="59" t="s">
        <v>911</v>
      </c>
      <c r="B381" s="59" t="s">
        <v>912</v>
      </c>
    </row>
    <row r="382" spans="1:2" x14ac:dyDescent="0.25">
      <c r="A382" s="59" t="s">
        <v>913</v>
      </c>
      <c r="B382" s="59" t="s">
        <v>914</v>
      </c>
    </row>
    <row r="383" spans="1:2" x14ac:dyDescent="0.25">
      <c r="A383" s="59" t="s">
        <v>915</v>
      </c>
      <c r="B383" s="59" t="s">
        <v>916</v>
      </c>
    </row>
    <row r="384" spans="1:2" x14ac:dyDescent="0.25">
      <c r="A384" s="59" t="s">
        <v>917</v>
      </c>
      <c r="B384" s="59" t="s">
        <v>918</v>
      </c>
    </row>
    <row r="385" spans="1:2" x14ac:dyDescent="0.25">
      <c r="A385" s="59" t="s">
        <v>919</v>
      </c>
      <c r="B385" s="59" t="s">
        <v>920</v>
      </c>
    </row>
    <row r="386" spans="1:2" x14ac:dyDescent="0.25">
      <c r="A386" s="59" t="s">
        <v>921</v>
      </c>
      <c r="B386" s="59" t="s">
        <v>922</v>
      </c>
    </row>
    <row r="387" spans="1:2" x14ac:dyDescent="0.25">
      <c r="A387" s="59" t="s">
        <v>923</v>
      </c>
      <c r="B387" s="59" t="s">
        <v>924</v>
      </c>
    </row>
    <row r="388" spans="1:2" x14ac:dyDescent="0.25">
      <c r="A388" s="59" t="s">
        <v>925</v>
      </c>
      <c r="B388" s="59" t="s">
        <v>926</v>
      </c>
    </row>
    <row r="389" spans="1:2" x14ac:dyDescent="0.25">
      <c r="A389" s="59" t="s">
        <v>927</v>
      </c>
      <c r="B389" s="59" t="s">
        <v>928</v>
      </c>
    </row>
    <row r="390" spans="1:2" x14ac:dyDescent="0.25">
      <c r="A390" s="59" t="s">
        <v>929</v>
      </c>
      <c r="B390" s="59" t="s">
        <v>930</v>
      </c>
    </row>
    <row r="391" spans="1:2" x14ac:dyDescent="0.25">
      <c r="A391" s="59" t="s">
        <v>931</v>
      </c>
      <c r="B391" s="59" t="s">
        <v>932</v>
      </c>
    </row>
    <row r="392" spans="1:2" x14ac:dyDescent="0.25">
      <c r="A392" s="59" t="s">
        <v>933</v>
      </c>
      <c r="B392" s="59" t="s">
        <v>934</v>
      </c>
    </row>
    <row r="393" spans="1:2" x14ac:dyDescent="0.25">
      <c r="A393" s="59" t="s">
        <v>935</v>
      </c>
      <c r="B393" s="59" t="s">
        <v>936</v>
      </c>
    </row>
    <row r="394" spans="1:2" x14ac:dyDescent="0.25">
      <c r="A394" s="59" t="s">
        <v>937</v>
      </c>
      <c r="B394" s="59" t="s">
        <v>938</v>
      </c>
    </row>
    <row r="395" spans="1:2" x14ac:dyDescent="0.25">
      <c r="A395" s="59" t="s">
        <v>939</v>
      </c>
      <c r="B395" s="59" t="s">
        <v>940</v>
      </c>
    </row>
    <row r="396" spans="1:2" x14ac:dyDescent="0.25">
      <c r="A396" s="59" t="s">
        <v>941</v>
      </c>
      <c r="B396" s="59" t="s">
        <v>942</v>
      </c>
    </row>
    <row r="397" spans="1:2" x14ac:dyDescent="0.25">
      <c r="A397" s="59" t="s">
        <v>943</v>
      </c>
      <c r="B397" s="59" t="s">
        <v>944</v>
      </c>
    </row>
    <row r="398" spans="1:2" x14ac:dyDescent="0.25">
      <c r="A398" s="59" t="s">
        <v>945</v>
      </c>
      <c r="B398" s="59" t="s">
        <v>946</v>
      </c>
    </row>
    <row r="399" spans="1:2" x14ac:dyDescent="0.25">
      <c r="A399" s="59" t="s">
        <v>947</v>
      </c>
      <c r="B399" s="59" t="s">
        <v>948</v>
      </c>
    </row>
    <row r="400" spans="1:2" x14ac:dyDescent="0.25">
      <c r="A400" s="59" t="s">
        <v>949</v>
      </c>
      <c r="B400" s="59" t="s">
        <v>950</v>
      </c>
    </row>
    <row r="401" spans="1:2" x14ac:dyDescent="0.25">
      <c r="A401" s="59" t="s">
        <v>951</v>
      </c>
      <c r="B401" s="59" t="s">
        <v>952</v>
      </c>
    </row>
    <row r="402" spans="1:2" x14ac:dyDescent="0.25">
      <c r="A402" s="59" t="s">
        <v>953</v>
      </c>
      <c r="B402" s="59" t="s">
        <v>954</v>
      </c>
    </row>
    <row r="403" spans="1:2" x14ac:dyDescent="0.25">
      <c r="A403" s="59" t="s">
        <v>955</v>
      </c>
      <c r="B403" s="59" t="s">
        <v>956</v>
      </c>
    </row>
    <row r="404" spans="1:2" x14ac:dyDescent="0.25">
      <c r="A404" s="59" t="s">
        <v>957</v>
      </c>
      <c r="B404" s="59" t="s">
        <v>958</v>
      </c>
    </row>
    <row r="405" spans="1:2" x14ac:dyDescent="0.25">
      <c r="A405" s="59" t="s">
        <v>959</v>
      </c>
      <c r="B405" s="59" t="s">
        <v>960</v>
      </c>
    </row>
    <row r="406" spans="1:2" x14ac:dyDescent="0.25">
      <c r="A406" s="59" t="s">
        <v>961</v>
      </c>
      <c r="B406" s="59" t="s">
        <v>962</v>
      </c>
    </row>
    <row r="407" spans="1:2" x14ac:dyDescent="0.25">
      <c r="A407" s="59" t="s">
        <v>963</v>
      </c>
      <c r="B407" s="59" t="s">
        <v>964</v>
      </c>
    </row>
    <row r="408" spans="1:2" x14ac:dyDescent="0.25">
      <c r="A408" s="59" t="s">
        <v>965</v>
      </c>
      <c r="B408" s="59" t="s">
        <v>950</v>
      </c>
    </row>
    <row r="409" spans="1:2" x14ac:dyDescent="0.25">
      <c r="A409" s="59" t="s">
        <v>966</v>
      </c>
      <c r="B409" s="59" t="s">
        <v>946</v>
      </c>
    </row>
    <row r="410" spans="1:2" x14ac:dyDescent="0.25">
      <c r="A410" s="59" t="s">
        <v>967</v>
      </c>
      <c r="B410" s="59" t="s">
        <v>968</v>
      </c>
    </row>
    <row r="411" spans="1:2" x14ac:dyDescent="0.25">
      <c r="A411" s="59" t="s">
        <v>969</v>
      </c>
      <c r="B411" s="59" t="s">
        <v>970</v>
      </c>
    </row>
    <row r="412" spans="1:2" x14ac:dyDescent="0.25">
      <c r="A412" s="59" t="s">
        <v>971</v>
      </c>
      <c r="B412" s="59" t="s">
        <v>948</v>
      </c>
    </row>
    <row r="413" spans="1:2" x14ac:dyDescent="0.25">
      <c r="A413" s="59" t="s">
        <v>972</v>
      </c>
      <c r="B413" s="59" t="s">
        <v>973</v>
      </c>
    </row>
    <row r="414" spans="1:2" x14ac:dyDescent="0.25">
      <c r="A414" s="59" t="s">
        <v>974</v>
      </c>
      <c r="B414" s="59" t="s">
        <v>975</v>
      </c>
    </row>
    <row r="415" spans="1:2" x14ac:dyDescent="0.25">
      <c r="A415" s="59" t="s">
        <v>976</v>
      </c>
      <c r="B415" s="59" t="s">
        <v>977</v>
      </c>
    </row>
    <row r="416" spans="1:2" x14ac:dyDescent="0.25">
      <c r="A416" s="59" t="s">
        <v>978</v>
      </c>
      <c r="B416" s="59" t="s">
        <v>979</v>
      </c>
    </row>
    <row r="417" spans="1:2" x14ac:dyDescent="0.25">
      <c r="A417" s="59" t="s">
        <v>980</v>
      </c>
      <c r="B417" s="59" t="s">
        <v>981</v>
      </c>
    </row>
    <row r="418" spans="1:2" x14ac:dyDescent="0.25">
      <c r="A418" s="59" t="s">
        <v>982</v>
      </c>
      <c r="B418" s="59" t="s">
        <v>983</v>
      </c>
    </row>
    <row r="419" spans="1:2" x14ac:dyDescent="0.25">
      <c r="A419" s="59" t="s">
        <v>984</v>
      </c>
      <c r="B419" s="59" t="s">
        <v>985</v>
      </c>
    </row>
    <row r="420" spans="1:2" x14ac:dyDescent="0.25">
      <c r="A420" s="59" t="s">
        <v>986</v>
      </c>
      <c r="B420" s="59" t="s">
        <v>987</v>
      </c>
    </row>
    <row r="421" spans="1:2" x14ac:dyDescent="0.25">
      <c r="A421" s="59" t="s">
        <v>988</v>
      </c>
      <c r="B421" s="59" t="s">
        <v>989</v>
      </c>
    </row>
    <row r="422" spans="1:2" x14ac:dyDescent="0.25">
      <c r="A422" s="59" t="s">
        <v>990</v>
      </c>
      <c r="B422" s="59" t="s">
        <v>991</v>
      </c>
    </row>
    <row r="423" spans="1:2" x14ac:dyDescent="0.25">
      <c r="A423" s="59" t="s">
        <v>992</v>
      </c>
      <c r="B423" s="59" t="s">
        <v>993</v>
      </c>
    </row>
    <row r="424" spans="1:2" x14ac:dyDescent="0.25">
      <c r="A424" s="59" t="s">
        <v>994</v>
      </c>
      <c r="B424" s="59" t="s">
        <v>853</v>
      </c>
    </row>
    <row r="425" spans="1:2" x14ac:dyDescent="0.25">
      <c r="A425" s="59" t="s">
        <v>995</v>
      </c>
      <c r="B425" s="59" t="s">
        <v>989</v>
      </c>
    </row>
    <row r="426" spans="1:2" x14ac:dyDescent="0.25">
      <c r="A426" s="59" t="s">
        <v>996</v>
      </c>
      <c r="B426" s="59" t="s">
        <v>997</v>
      </c>
    </row>
    <row r="427" spans="1:2" x14ac:dyDescent="0.25">
      <c r="A427" s="59" t="s">
        <v>998</v>
      </c>
      <c r="B427" s="59" t="s">
        <v>999</v>
      </c>
    </row>
    <row r="428" spans="1:2" x14ac:dyDescent="0.25">
      <c r="A428" s="59" t="s">
        <v>1000</v>
      </c>
      <c r="B428" s="59" t="s">
        <v>1001</v>
      </c>
    </row>
    <row r="429" spans="1:2" x14ac:dyDescent="0.25">
      <c r="A429" s="59" t="s">
        <v>1002</v>
      </c>
      <c r="B429" s="59" t="s">
        <v>1003</v>
      </c>
    </row>
    <row r="430" spans="1:2" x14ac:dyDescent="0.25">
      <c r="A430" s="59" t="s">
        <v>1004</v>
      </c>
      <c r="B430" s="59" t="s">
        <v>989</v>
      </c>
    </row>
    <row r="431" spans="1:2" x14ac:dyDescent="0.25">
      <c r="A431" s="59" t="s">
        <v>1005</v>
      </c>
      <c r="B431" s="59" t="s">
        <v>1006</v>
      </c>
    </row>
    <row r="432" spans="1:2" x14ac:dyDescent="0.25">
      <c r="A432" s="59" t="s">
        <v>1007</v>
      </c>
      <c r="B432" s="59" t="s">
        <v>1008</v>
      </c>
    </row>
    <row r="433" spans="1:2" x14ac:dyDescent="0.25">
      <c r="A433" s="59" t="s">
        <v>1009</v>
      </c>
      <c r="B433" s="59" t="s">
        <v>1010</v>
      </c>
    </row>
    <row r="434" spans="1:2" x14ac:dyDescent="0.25">
      <c r="A434" s="59" t="s">
        <v>1011</v>
      </c>
      <c r="B434" s="59" t="s">
        <v>1012</v>
      </c>
    </row>
    <row r="435" spans="1:2" x14ac:dyDescent="0.25">
      <c r="A435" s="59" t="s">
        <v>1013</v>
      </c>
      <c r="B435" s="59" t="s">
        <v>1014</v>
      </c>
    </row>
    <row r="436" spans="1:2" x14ac:dyDescent="0.25">
      <c r="A436" s="59" t="s">
        <v>1015</v>
      </c>
      <c r="B436" s="59" t="s">
        <v>1016</v>
      </c>
    </row>
    <row r="437" spans="1:2" x14ac:dyDescent="0.25">
      <c r="A437" s="59" t="s">
        <v>1017</v>
      </c>
      <c r="B437" s="59" t="s">
        <v>1018</v>
      </c>
    </row>
    <row r="438" spans="1:2" x14ac:dyDescent="0.25">
      <c r="A438" s="59" t="s">
        <v>1019</v>
      </c>
      <c r="B438" s="59" t="s">
        <v>1020</v>
      </c>
    </row>
    <row r="439" spans="1:2" x14ac:dyDescent="0.25">
      <c r="A439" s="59" t="s">
        <v>1021</v>
      </c>
      <c r="B439" s="59" t="s">
        <v>1022</v>
      </c>
    </row>
    <row r="440" spans="1:2" x14ac:dyDescent="0.25">
      <c r="A440" s="59" t="s">
        <v>1023</v>
      </c>
      <c r="B440" s="59" t="s">
        <v>1024</v>
      </c>
    </row>
    <row r="441" spans="1:2" x14ac:dyDescent="0.25">
      <c r="A441" s="59" t="s">
        <v>1025</v>
      </c>
      <c r="B441" s="59" t="s">
        <v>1026</v>
      </c>
    </row>
    <row r="442" spans="1:2" x14ac:dyDescent="0.25">
      <c r="A442" s="59" t="s">
        <v>1027</v>
      </c>
      <c r="B442" s="59" t="s">
        <v>1028</v>
      </c>
    </row>
    <row r="443" spans="1:2" x14ac:dyDescent="0.25">
      <c r="A443" s="59" t="s">
        <v>1029</v>
      </c>
      <c r="B443" s="59" t="s">
        <v>1030</v>
      </c>
    </row>
    <row r="444" spans="1:2" x14ac:dyDescent="0.25">
      <c r="A444" s="59" t="s">
        <v>1031</v>
      </c>
      <c r="B444" s="59" t="s">
        <v>1032</v>
      </c>
    </row>
    <row r="445" spans="1:2" x14ac:dyDescent="0.25">
      <c r="A445" s="59" t="s">
        <v>1033</v>
      </c>
      <c r="B445" s="59" t="s">
        <v>1034</v>
      </c>
    </row>
    <row r="446" spans="1:2" x14ac:dyDescent="0.25">
      <c r="A446" s="59" t="s">
        <v>1035</v>
      </c>
      <c r="B446" s="59" t="s">
        <v>1036</v>
      </c>
    </row>
    <row r="447" spans="1:2" x14ac:dyDescent="0.25">
      <c r="A447" s="59" t="s">
        <v>1037</v>
      </c>
      <c r="B447" s="59" t="s">
        <v>1038</v>
      </c>
    </row>
    <row r="448" spans="1:2" x14ac:dyDescent="0.25">
      <c r="A448" s="59" t="s">
        <v>1039</v>
      </c>
      <c r="B448" s="59" t="s">
        <v>1040</v>
      </c>
    </row>
    <row r="449" spans="1:2" x14ac:dyDescent="0.25">
      <c r="A449" s="59" t="s">
        <v>1041</v>
      </c>
      <c r="B449" s="59" t="s">
        <v>1042</v>
      </c>
    </row>
    <row r="450" spans="1:2" x14ac:dyDescent="0.25">
      <c r="A450" s="59" t="s">
        <v>1043</v>
      </c>
      <c r="B450" s="59" t="s">
        <v>1044</v>
      </c>
    </row>
    <row r="451" spans="1:2" x14ac:dyDescent="0.25">
      <c r="A451" s="59" t="s">
        <v>1045</v>
      </c>
      <c r="B451" s="59" t="s">
        <v>1046</v>
      </c>
    </row>
    <row r="452" spans="1:2" x14ac:dyDescent="0.25">
      <c r="A452" s="59" t="s">
        <v>1047</v>
      </c>
      <c r="B452" s="59" t="s">
        <v>1048</v>
      </c>
    </row>
    <row r="453" spans="1:2" x14ac:dyDescent="0.25">
      <c r="A453" s="59" t="s">
        <v>1049</v>
      </c>
      <c r="B453" s="59" t="s">
        <v>841</v>
      </c>
    </row>
    <row r="454" spans="1:2" x14ac:dyDescent="0.25">
      <c r="A454" s="59" t="s">
        <v>1050</v>
      </c>
      <c r="B454" s="59" t="s">
        <v>1051</v>
      </c>
    </row>
    <row r="455" spans="1:2" x14ac:dyDescent="0.25">
      <c r="A455" s="59" t="s">
        <v>1052</v>
      </c>
      <c r="B455" s="59" t="s">
        <v>1053</v>
      </c>
    </row>
    <row r="456" spans="1:2" x14ac:dyDescent="0.25">
      <c r="A456" s="59" t="s">
        <v>1054</v>
      </c>
      <c r="B456" s="59" t="s">
        <v>1055</v>
      </c>
    </row>
    <row r="457" spans="1:2" x14ac:dyDescent="0.25">
      <c r="A457" s="59" t="s">
        <v>1056</v>
      </c>
      <c r="B457" s="59" t="s">
        <v>1044</v>
      </c>
    </row>
    <row r="458" spans="1:2" x14ac:dyDescent="0.25">
      <c r="A458" s="59" t="s">
        <v>1057</v>
      </c>
      <c r="B458" s="59" t="s">
        <v>1058</v>
      </c>
    </row>
    <row r="459" spans="1:2" x14ac:dyDescent="0.25">
      <c r="A459" s="59" t="s">
        <v>1059</v>
      </c>
      <c r="B459" s="59" t="s">
        <v>1060</v>
      </c>
    </row>
    <row r="460" spans="1:2" x14ac:dyDescent="0.25">
      <c r="A460" s="59" t="s">
        <v>1061</v>
      </c>
      <c r="B460" s="59" t="s">
        <v>1062</v>
      </c>
    </row>
    <row r="461" spans="1:2" x14ac:dyDescent="0.25">
      <c r="A461" s="59" t="s">
        <v>1063</v>
      </c>
      <c r="B461" s="59" t="s">
        <v>1064</v>
      </c>
    </row>
    <row r="462" spans="1:2" x14ac:dyDescent="0.25">
      <c r="A462" s="59" t="s">
        <v>1065</v>
      </c>
      <c r="B462" s="59" t="s">
        <v>1066</v>
      </c>
    </row>
    <row r="463" spans="1:2" x14ac:dyDescent="0.25">
      <c r="A463" s="59" t="s">
        <v>1067</v>
      </c>
      <c r="B463" s="59" t="s">
        <v>1068</v>
      </c>
    </row>
    <row r="464" spans="1:2" x14ac:dyDescent="0.25">
      <c r="A464" s="59" t="s">
        <v>1069</v>
      </c>
      <c r="B464" s="59" t="s">
        <v>1070</v>
      </c>
    </row>
    <row r="465" spans="1:2" x14ac:dyDescent="0.25">
      <c r="A465" s="59" t="s">
        <v>1071</v>
      </c>
      <c r="B465" s="59" t="s">
        <v>1072</v>
      </c>
    </row>
    <row r="466" spans="1:2" x14ac:dyDescent="0.25">
      <c r="A466" s="59" t="s">
        <v>1073</v>
      </c>
      <c r="B466" s="59" t="s">
        <v>1074</v>
      </c>
    </row>
    <row r="467" spans="1:2" x14ac:dyDescent="0.25">
      <c r="A467" s="59" t="s">
        <v>1075</v>
      </c>
      <c r="B467" s="59" t="s">
        <v>1076</v>
      </c>
    </row>
    <row r="468" spans="1:2" x14ac:dyDescent="0.25">
      <c r="A468" s="59" t="s">
        <v>1077</v>
      </c>
      <c r="B468" s="59" t="s">
        <v>1078</v>
      </c>
    </row>
    <row r="469" spans="1:2" x14ac:dyDescent="0.25">
      <c r="A469" s="59" t="s">
        <v>1079</v>
      </c>
      <c r="B469" s="59" t="s">
        <v>1080</v>
      </c>
    </row>
    <row r="470" spans="1:2" x14ac:dyDescent="0.25">
      <c r="A470" s="59" t="s">
        <v>1081</v>
      </c>
      <c r="B470" s="59" t="s">
        <v>1082</v>
      </c>
    </row>
    <row r="471" spans="1:2" x14ac:dyDescent="0.25">
      <c r="A471" s="59" t="s">
        <v>1083</v>
      </c>
      <c r="B471" s="59" t="s">
        <v>1084</v>
      </c>
    </row>
    <row r="472" spans="1:2" x14ac:dyDescent="0.25">
      <c r="A472" s="59" t="s">
        <v>1085</v>
      </c>
      <c r="B472" s="59" t="s">
        <v>1086</v>
      </c>
    </row>
    <row r="473" spans="1:2" x14ac:dyDescent="0.25">
      <c r="A473" s="59" t="s">
        <v>1087</v>
      </c>
      <c r="B473" s="59" t="s">
        <v>1088</v>
      </c>
    </row>
    <row r="474" spans="1:2" x14ac:dyDescent="0.25">
      <c r="A474" s="59" t="s">
        <v>1089</v>
      </c>
      <c r="B474" s="59" t="s">
        <v>1090</v>
      </c>
    </row>
    <row r="475" spans="1:2" x14ac:dyDescent="0.25">
      <c r="A475" s="59" t="s">
        <v>1091</v>
      </c>
      <c r="B475" s="59" t="s">
        <v>1092</v>
      </c>
    </row>
    <row r="476" spans="1:2" x14ac:dyDescent="0.25">
      <c r="A476" s="59" t="s">
        <v>1093</v>
      </c>
      <c r="B476" s="59" t="s">
        <v>1094</v>
      </c>
    </row>
    <row r="477" spans="1:2" x14ac:dyDescent="0.25">
      <c r="A477" s="59" t="s">
        <v>1095</v>
      </c>
      <c r="B477" s="59" t="s">
        <v>1096</v>
      </c>
    </row>
    <row r="478" spans="1:2" x14ac:dyDescent="0.25">
      <c r="A478" s="59" t="s">
        <v>1097</v>
      </c>
      <c r="B478" s="59" t="s">
        <v>1098</v>
      </c>
    </row>
    <row r="479" spans="1:2" x14ac:dyDescent="0.25">
      <c r="A479" s="59" t="s">
        <v>1099</v>
      </c>
      <c r="B479" s="59" t="s">
        <v>1100</v>
      </c>
    </row>
    <row r="480" spans="1:2" x14ac:dyDescent="0.25">
      <c r="A480" s="59" t="s">
        <v>1101</v>
      </c>
      <c r="B480" s="59" t="s">
        <v>1102</v>
      </c>
    </row>
    <row r="481" spans="1:2" x14ac:dyDescent="0.25">
      <c r="A481" s="59" t="s">
        <v>1103</v>
      </c>
      <c r="B481" s="59" t="s">
        <v>1104</v>
      </c>
    </row>
    <row r="482" spans="1:2" x14ac:dyDescent="0.25">
      <c r="A482" s="59" t="s">
        <v>1105</v>
      </c>
      <c r="B482" s="59" t="s">
        <v>1106</v>
      </c>
    </row>
    <row r="483" spans="1:2" x14ac:dyDescent="0.25">
      <c r="A483" s="59" t="s">
        <v>1107</v>
      </c>
      <c r="B483" s="59" t="s">
        <v>1108</v>
      </c>
    </row>
    <row r="484" spans="1:2" x14ac:dyDescent="0.25">
      <c r="A484" s="59" t="s">
        <v>1109</v>
      </c>
      <c r="B484" s="59" t="s">
        <v>1110</v>
      </c>
    </row>
    <row r="485" spans="1:2" x14ac:dyDescent="0.25">
      <c r="A485" s="59" t="s">
        <v>1111</v>
      </c>
      <c r="B485" s="59" t="s">
        <v>1112</v>
      </c>
    </row>
    <row r="486" spans="1:2" x14ac:dyDescent="0.25">
      <c r="A486" s="59" t="s">
        <v>1113</v>
      </c>
      <c r="B486" s="59" t="s">
        <v>1114</v>
      </c>
    </row>
    <row r="487" spans="1:2" x14ac:dyDescent="0.25">
      <c r="A487" s="59" t="s">
        <v>1115</v>
      </c>
      <c r="B487" s="59" t="s">
        <v>1116</v>
      </c>
    </row>
    <row r="488" spans="1:2" x14ac:dyDescent="0.25">
      <c r="A488" s="59" t="s">
        <v>1117</v>
      </c>
      <c r="B488" s="59" t="s">
        <v>1118</v>
      </c>
    </row>
    <row r="489" spans="1:2" x14ac:dyDescent="0.25">
      <c r="A489" s="59" t="s">
        <v>1119</v>
      </c>
      <c r="B489" s="59" t="s">
        <v>1120</v>
      </c>
    </row>
    <row r="490" spans="1:2" x14ac:dyDescent="0.25">
      <c r="A490" s="59" t="s">
        <v>1121</v>
      </c>
      <c r="B490" s="59" t="s">
        <v>1122</v>
      </c>
    </row>
    <row r="491" spans="1:2" x14ac:dyDescent="0.25">
      <c r="A491" s="59" t="s">
        <v>1123</v>
      </c>
      <c r="B491" s="59" t="s">
        <v>1124</v>
      </c>
    </row>
    <row r="492" spans="1:2" x14ac:dyDescent="0.25">
      <c r="A492" s="59" t="s">
        <v>1125</v>
      </c>
      <c r="B492" s="59" t="s">
        <v>1126</v>
      </c>
    </row>
    <row r="493" spans="1:2" x14ac:dyDescent="0.25">
      <c r="A493" s="59" t="s">
        <v>1127</v>
      </c>
      <c r="B493" s="59" t="s">
        <v>1128</v>
      </c>
    </row>
    <row r="494" spans="1:2" x14ac:dyDescent="0.25">
      <c r="A494" s="59" t="s">
        <v>1129</v>
      </c>
      <c r="B494" s="59" t="s">
        <v>1130</v>
      </c>
    </row>
    <row r="495" spans="1:2" x14ac:dyDescent="0.25">
      <c r="A495" s="59" t="s">
        <v>1131</v>
      </c>
      <c r="B495" s="59" t="s">
        <v>1132</v>
      </c>
    </row>
    <row r="496" spans="1:2" x14ac:dyDescent="0.25">
      <c r="A496" s="59" t="s">
        <v>1133</v>
      </c>
      <c r="B496" s="59" t="s">
        <v>1126</v>
      </c>
    </row>
    <row r="497" spans="1:2" x14ac:dyDescent="0.25">
      <c r="A497" s="59" t="s">
        <v>1134</v>
      </c>
      <c r="B497" s="59" t="s">
        <v>1135</v>
      </c>
    </row>
    <row r="498" spans="1:2" x14ac:dyDescent="0.25">
      <c r="A498" s="59" t="s">
        <v>1136</v>
      </c>
      <c r="B498" s="59" t="s">
        <v>1137</v>
      </c>
    </row>
    <row r="499" spans="1:2" x14ac:dyDescent="0.25">
      <c r="A499" s="59" t="s">
        <v>1138</v>
      </c>
      <c r="B499" s="59" t="s">
        <v>1139</v>
      </c>
    </row>
    <row r="500" spans="1:2" x14ac:dyDescent="0.25">
      <c r="A500" s="59" t="s">
        <v>1140</v>
      </c>
      <c r="B500" s="59" t="s">
        <v>813</v>
      </c>
    </row>
    <row r="501" spans="1:2" x14ac:dyDescent="0.25">
      <c r="A501" s="59" t="s">
        <v>1141</v>
      </c>
      <c r="B501" s="59" t="s">
        <v>1142</v>
      </c>
    </row>
    <row r="502" spans="1:2" x14ac:dyDescent="0.25">
      <c r="A502" s="59" t="s">
        <v>1143</v>
      </c>
      <c r="B502" s="59" t="s">
        <v>1144</v>
      </c>
    </row>
    <row r="503" spans="1:2" x14ac:dyDescent="0.25">
      <c r="A503" s="59" t="s">
        <v>1145</v>
      </c>
      <c r="B503" s="59" t="s">
        <v>1146</v>
      </c>
    </row>
    <row r="504" spans="1:2" x14ac:dyDescent="0.25">
      <c r="A504" s="59" t="s">
        <v>1147</v>
      </c>
      <c r="B504" s="59" t="s">
        <v>1148</v>
      </c>
    </row>
    <row r="505" spans="1:2" x14ac:dyDescent="0.25">
      <c r="A505" s="59" t="s">
        <v>1149</v>
      </c>
      <c r="B505" s="59" t="s">
        <v>1150</v>
      </c>
    </row>
    <row r="506" spans="1:2" x14ac:dyDescent="0.25">
      <c r="A506" s="59" t="s">
        <v>1151</v>
      </c>
      <c r="B506" s="59" t="s">
        <v>1152</v>
      </c>
    </row>
    <row r="507" spans="1:2" x14ac:dyDescent="0.25">
      <c r="A507" s="59" t="s">
        <v>1153</v>
      </c>
      <c r="B507" s="59" t="s">
        <v>1154</v>
      </c>
    </row>
    <row r="508" spans="1:2" x14ac:dyDescent="0.25">
      <c r="A508" s="59" t="s">
        <v>1155</v>
      </c>
      <c r="B508" s="59" t="s">
        <v>1156</v>
      </c>
    </row>
    <row r="509" spans="1:2" x14ac:dyDescent="0.25">
      <c r="A509" s="59" t="s">
        <v>1157</v>
      </c>
      <c r="B509" s="59" t="s">
        <v>1158</v>
      </c>
    </row>
    <row r="510" spans="1:2" x14ac:dyDescent="0.25">
      <c r="A510" s="59" t="s">
        <v>1159</v>
      </c>
      <c r="B510" s="59" t="s">
        <v>1160</v>
      </c>
    </row>
    <row r="511" spans="1:2" x14ac:dyDescent="0.25">
      <c r="A511" s="59" t="s">
        <v>1161</v>
      </c>
      <c r="B511" s="59" t="s">
        <v>1162</v>
      </c>
    </row>
    <row r="512" spans="1:2" x14ac:dyDescent="0.25">
      <c r="A512" s="59" t="s">
        <v>1163</v>
      </c>
      <c r="B512" s="59" t="s">
        <v>1164</v>
      </c>
    </row>
    <row r="513" spans="1:2" x14ac:dyDescent="0.25">
      <c r="A513" s="59" t="s">
        <v>1165</v>
      </c>
      <c r="B513" s="59" t="s">
        <v>1166</v>
      </c>
    </row>
    <row r="514" spans="1:2" x14ac:dyDescent="0.25">
      <c r="A514" s="59" t="s">
        <v>1167</v>
      </c>
      <c r="B514" s="59" t="s">
        <v>1168</v>
      </c>
    </row>
    <row r="515" spans="1:2" x14ac:dyDescent="0.25">
      <c r="A515" s="59" t="s">
        <v>1169</v>
      </c>
      <c r="B515" s="59" t="s">
        <v>1170</v>
      </c>
    </row>
    <row r="516" spans="1:2" x14ac:dyDescent="0.25">
      <c r="A516" s="59" t="s">
        <v>1171</v>
      </c>
      <c r="B516" s="59" t="s">
        <v>1172</v>
      </c>
    </row>
    <row r="517" spans="1:2" x14ac:dyDescent="0.25">
      <c r="A517" s="59" t="s">
        <v>1173</v>
      </c>
      <c r="B517" s="59" t="s">
        <v>1174</v>
      </c>
    </row>
    <row r="518" spans="1:2" x14ac:dyDescent="0.25">
      <c r="A518" s="59" t="s">
        <v>1175</v>
      </c>
      <c r="B518" s="59" t="s">
        <v>1176</v>
      </c>
    </row>
    <row r="519" spans="1:2" x14ac:dyDescent="0.25">
      <c r="A519" s="59" t="s">
        <v>1177</v>
      </c>
      <c r="B519" s="59" t="s">
        <v>1178</v>
      </c>
    </row>
    <row r="520" spans="1:2" x14ac:dyDescent="0.25">
      <c r="A520" s="59" t="s">
        <v>1179</v>
      </c>
      <c r="B520" s="59" t="s">
        <v>1180</v>
      </c>
    </row>
    <row r="521" spans="1:2" x14ac:dyDescent="0.25">
      <c r="A521" s="59" t="s">
        <v>1181</v>
      </c>
      <c r="B521" s="59" t="s">
        <v>1182</v>
      </c>
    </row>
    <row r="522" spans="1:2" x14ac:dyDescent="0.25">
      <c r="A522" s="59" t="s">
        <v>1183</v>
      </c>
      <c r="B522" s="59" t="s">
        <v>1184</v>
      </c>
    </row>
    <row r="523" spans="1:2" x14ac:dyDescent="0.25">
      <c r="A523" s="59" t="s">
        <v>1185</v>
      </c>
      <c r="B523" s="59" t="s">
        <v>1186</v>
      </c>
    </row>
    <row r="524" spans="1:2" x14ac:dyDescent="0.25">
      <c r="A524" s="59" t="s">
        <v>1187</v>
      </c>
      <c r="B524" s="59" t="s">
        <v>1188</v>
      </c>
    </row>
    <row r="525" spans="1:2" x14ac:dyDescent="0.25">
      <c r="A525" s="59" t="s">
        <v>1189</v>
      </c>
      <c r="B525" s="59" t="s">
        <v>1190</v>
      </c>
    </row>
    <row r="526" spans="1:2" x14ac:dyDescent="0.25">
      <c r="A526" s="59" t="s">
        <v>1191</v>
      </c>
      <c r="B526" s="59" t="s">
        <v>1192</v>
      </c>
    </row>
    <row r="527" spans="1:2" x14ac:dyDescent="0.25">
      <c r="A527" s="59" t="s">
        <v>1193</v>
      </c>
      <c r="B527" s="59" t="s">
        <v>1194</v>
      </c>
    </row>
    <row r="528" spans="1:2" x14ac:dyDescent="0.25">
      <c r="A528" s="59" t="s">
        <v>1195</v>
      </c>
      <c r="B528" s="59" t="s">
        <v>1196</v>
      </c>
    </row>
    <row r="529" spans="1:2" x14ac:dyDescent="0.25">
      <c r="A529" s="59" t="s">
        <v>1197</v>
      </c>
      <c r="B529" s="59" t="s">
        <v>1186</v>
      </c>
    </row>
    <row r="530" spans="1:2" x14ac:dyDescent="0.25">
      <c r="A530" s="59" t="s">
        <v>1198</v>
      </c>
      <c r="B530" s="59" t="s">
        <v>1199</v>
      </c>
    </row>
    <row r="531" spans="1:2" x14ac:dyDescent="0.25">
      <c r="A531" s="59" t="s">
        <v>1200</v>
      </c>
      <c r="B531" s="59" t="s">
        <v>1201</v>
      </c>
    </row>
    <row r="532" spans="1:2" x14ac:dyDescent="0.25">
      <c r="A532" s="59" t="s">
        <v>1202</v>
      </c>
      <c r="B532" s="59" t="s">
        <v>1203</v>
      </c>
    </row>
    <row r="533" spans="1:2" x14ac:dyDescent="0.25">
      <c r="A533" s="59" t="s">
        <v>1204</v>
      </c>
      <c r="B533" s="59" t="s">
        <v>825</v>
      </c>
    </row>
    <row r="534" spans="1:2" x14ac:dyDescent="0.25">
      <c r="A534" s="59" t="s">
        <v>1205</v>
      </c>
      <c r="B534" s="59" t="s">
        <v>1206</v>
      </c>
    </row>
    <row r="535" spans="1:2" x14ac:dyDescent="0.25">
      <c r="A535" s="59" t="s">
        <v>1207</v>
      </c>
      <c r="B535" s="59" t="s">
        <v>1208</v>
      </c>
    </row>
    <row r="536" spans="1:2" x14ac:dyDescent="0.25">
      <c r="A536" s="59" t="s">
        <v>1209</v>
      </c>
      <c r="B536" s="59" t="s">
        <v>1210</v>
      </c>
    </row>
    <row r="537" spans="1:2" x14ac:dyDescent="0.25">
      <c r="A537" s="59" t="s">
        <v>1211</v>
      </c>
      <c r="B537" s="59" t="s">
        <v>1206</v>
      </c>
    </row>
    <row r="538" spans="1:2" x14ac:dyDescent="0.25">
      <c r="A538" s="59" t="s">
        <v>1212</v>
      </c>
      <c r="B538" s="59" t="s">
        <v>1213</v>
      </c>
    </row>
    <row r="539" spans="1:2" x14ac:dyDescent="0.25">
      <c r="A539" s="59" t="s">
        <v>1214</v>
      </c>
      <c r="B539" s="59" t="s">
        <v>1215</v>
      </c>
    </row>
    <row r="540" spans="1:2" x14ac:dyDescent="0.25">
      <c r="A540" s="59" t="s">
        <v>1216</v>
      </c>
      <c r="B540" s="59" t="s">
        <v>1217</v>
      </c>
    </row>
    <row r="541" spans="1:2" x14ac:dyDescent="0.25">
      <c r="A541" s="59" t="s">
        <v>1218</v>
      </c>
      <c r="B541" s="59" t="s">
        <v>1188</v>
      </c>
    </row>
    <row r="542" spans="1:2" x14ac:dyDescent="0.25">
      <c r="A542" s="59" t="s">
        <v>1219</v>
      </c>
      <c r="B542" s="59" t="s">
        <v>1220</v>
      </c>
    </row>
    <row r="543" spans="1:2" x14ac:dyDescent="0.25">
      <c r="A543" s="59" t="s">
        <v>1221</v>
      </c>
      <c r="B543" s="59" t="s">
        <v>1222</v>
      </c>
    </row>
    <row r="544" spans="1:2" x14ac:dyDescent="0.25">
      <c r="A544" s="59" t="s">
        <v>1223</v>
      </c>
      <c r="B544" s="59" t="s">
        <v>1224</v>
      </c>
    </row>
    <row r="545" spans="1:2" x14ac:dyDescent="0.25">
      <c r="A545" s="59" t="s">
        <v>1225</v>
      </c>
      <c r="B545" s="59" t="s">
        <v>1226</v>
      </c>
    </row>
    <row r="546" spans="1:2" x14ac:dyDescent="0.25">
      <c r="A546" s="59" t="s">
        <v>1227</v>
      </c>
      <c r="B546" s="59" t="s">
        <v>1208</v>
      </c>
    </row>
    <row r="547" spans="1:2" x14ac:dyDescent="0.25">
      <c r="A547" s="59" t="s">
        <v>1228</v>
      </c>
      <c r="B547" s="59" t="s">
        <v>1229</v>
      </c>
    </row>
    <row r="548" spans="1:2" x14ac:dyDescent="0.25">
      <c r="A548" s="59" t="s">
        <v>1230</v>
      </c>
      <c r="B548" s="59" t="s">
        <v>1231</v>
      </c>
    </row>
    <row r="549" spans="1:2" x14ac:dyDescent="0.25">
      <c r="A549" s="59" t="s">
        <v>1232</v>
      </c>
      <c r="B549" s="59" t="s">
        <v>1166</v>
      </c>
    </row>
    <row r="550" spans="1:2" x14ac:dyDescent="0.25">
      <c r="A550" s="59" t="s">
        <v>1233</v>
      </c>
      <c r="B550" s="59" t="s">
        <v>1234</v>
      </c>
    </row>
    <row r="551" spans="1:2" x14ac:dyDescent="0.25">
      <c r="A551" s="59" t="s">
        <v>1235</v>
      </c>
      <c r="B551" s="59" t="s">
        <v>1236</v>
      </c>
    </row>
    <row r="552" spans="1:2" x14ac:dyDescent="0.25">
      <c r="A552" s="59" t="s">
        <v>1237</v>
      </c>
      <c r="B552" s="59" t="s">
        <v>1208</v>
      </c>
    </row>
    <row r="553" spans="1:2" x14ac:dyDescent="0.25">
      <c r="A553" s="59" t="s">
        <v>1238</v>
      </c>
      <c r="B553" s="59" t="s">
        <v>1239</v>
      </c>
    </row>
    <row r="554" spans="1:2" x14ac:dyDescent="0.25">
      <c r="A554" s="59" t="s">
        <v>1240</v>
      </c>
      <c r="B554" s="59" t="s">
        <v>1224</v>
      </c>
    </row>
    <row r="555" spans="1:2" x14ac:dyDescent="0.25">
      <c r="A555" s="59" t="s">
        <v>1241</v>
      </c>
      <c r="B555" s="59" t="s">
        <v>1242</v>
      </c>
    </row>
    <row r="556" spans="1:2" x14ac:dyDescent="0.25">
      <c r="A556" s="59" t="s">
        <v>1243</v>
      </c>
      <c r="B556" s="59" t="s">
        <v>1244</v>
      </c>
    </row>
    <row r="557" spans="1:2" x14ac:dyDescent="0.25">
      <c r="A557" s="59" t="s">
        <v>1245</v>
      </c>
      <c r="B557" s="59" t="s">
        <v>1246</v>
      </c>
    </row>
    <row r="558" spans="1:2" x14ac:dyDescent="0.25">
      <c r="A558" s="59" t="s">
        <v>1247</v>
      </c>
      <c r="B558" s="59" t="s">
        <v>1215</v>
      </c>
    </row>
    <row r="559" spans="1:2" x14ac:dyDescent="0.25">
      <c r="A559" s="59" t="s">
        <v>1248</v>
      </c>
      <c r="B559" s="59" t="s">
        <v>1249</v>
      </c>
    </row>
    <row r="560" spans="1:2" x14ac:dyDescent="0.25">
      <c r="A560" s="59" t="s">
        <v>1250</v>
      </c>
      <c r="B560" s="59" t="s">
        <v>1251</v>
      </c>
    </row>
    <row r="561" spans="1:2" x14ac:dyDescent="0.25">
      <c r="A561" s="59" t="s">
        <v>1252</v>
      </c>
      <c r="B561" s="59" t="s">
        <v>1253</v>
      </c>
    </row>
    <row r="562" spans="1:2" x14ac:dyDescent="0.25">
      <c r="A562" s="59" t="s">
        <v>1254</v>
      </c>
      <c r="B562" s="59" t="s">
        <v>1255</v>
      </c>
    </row>
    <row r="563" spans="1:2" x14ac:dyDescent="0.25">
      <c r="A563" s="59" t="s">
        <v>1256</v>
      </c>
      <c r="B563" s="59" t="s">
        <v>1257</v>
      </c>
    </row>
    <row r="564" spans="1:2" x14ac:dyDescent="0.25">
      <c r="A564" s="59" t="s">
        <v>1258</v>
      </c>
      <c r="B564" s="59" t="s">
        <v>1259</v>
      </c>
    </row>
    <row r="565" spans="1:2" x14ac:dyDescent="0.25">
      <c r="A565" s="59" t="s">
        <v>1260</v>
      </c>
      <c r="B565" s="59" t="s">
        <v>1261</v>
      </c>
    </row>
    <row r="566" spans="1:2" x14ac:dyDescent="0.25">
      <c r="A566" s="59" t="s">
        <v>1262</v>
      </c>
      <c r="B566" s="59" t="s">
        <v>1263</v>
      </c>
    </row>
    <row r="567" spans="1:2" x14ac:dyDescent="0.25">
      <c r="A567" s="59" t="s">
        <v>1264</v>
      </c>
      <c r="B567" s="59" t="s">
        <v>1265</v>
      </c>
    </row>
    <row r="568" spans="1:2" x14ac:dyDescent="0.25">
      <c r="A568" s="59" t="s">
        <v>1266</v>
      </c>
      <c r="B568" s="59" t="s">
        <v>1267</v>
      </c>
    </row>
    <row r="569" spans="1:2" x14ac:dyDescent="0.25">
      <c r="A569" s="59" t="s">
        <v>1268</v>
      </c>
      <c r="B569" s="59" t="s">
        <v>1269</v>
      </c>
    </row>
    <row r="570" spans="1:2" x14ac:dyDescent="0.25">
      <c r="A570" s="59" t="s">
        <v>1270</v>
      </c>
      <c r="B570" s="59" t="s">
        <v>1271</v>
      </c>
    </row>
    <row r="571" spans="1:2" x14ac:dyDescent="0.25">
      <c r="A571" s="59" t="s">
        <v>1272</v>
      </c>
      <c r="B571" s="59" t="s">
        <v>1273</v>
      </c>
    </row>
    <row r="572" spans="1:2" x14ac:dyDescent="0.25">
      <c r="A572" s="59" t="s">
        <v>1274</v>
      </c>
      <c r="B572" s="59" t="s">
        <v>1040</v>
      </c>
    </row>
    <row r="573" spans="1:2" x14ac:dyDescent="0.25">
      <c r="A573" s="59" t="s">
        <v>1275</v>
      </c>
      <c r="B573" s="59" t="s">
        <v>1276</v>
      </c>
    </row>
    <row r="574" spans="1:2" x14ac:dyDescent="0.25">
      <c r="A574" s="59" t="s">
        <v>1277</v>
      </c>
      <c r="B574" s="59" t="s">
        <v>1278</v>
      </c>
    </row>
    <row r="575" spans="1:2" x14ac:dyDescent="0.25">
      <c r="A575" s="59" t="s">
        <v>1279</v>
      </c>
      <c r="B575" s="59" t="s">
        <v>1280</v>
      </c>
    </row>
    <row r="576" spans="1:2" x14ac:dyDescent="0.25">
      <c r="A576" s="59" t="s">
        <v>1281</v>
      </c>
      <c r="B576" s="59" t="s">
        <v>1282</v>
      </c>
    </row>
    <row r="577" spans="1:2" x14ac:dyDescent="0.25">
      <c r="A577" s="59" t="s">
        <v>1283</v>
      </c>
      <c r="B577" s="59" t="s">
        <v>1284</v>
      </c>
    </row>
    <row r="578" spans="1:2" x14ac:dyDescent="0.25">
      <c r="A578" s="59" t="s">
        <v>1285</v>
      </c>
      <c r="B578" s="59" t="s">
        <v>1286</v>
      </c>
    </row>
    <row r="579" spans="1:2" x14ac:dyDescent="0.25">
      <c r="A579" s="59" t="s">
        <v>1287</v>
      </c>
      <c r="B579" s="59" t="s">
        <v>1288</v>
      </c>
    </row>
    <row r="580" spans="1:2" x14ac:dyDescent="0.25">
      <c r="A580" s="59" t="s">
        <v>1289</v>
      </c>
      <c r="B580" s="59" t="s">
        <v>1290</v>
      </c>
    </row>
    <row r="581" spans="1:2" x14ac:dyDescent="0.25">
      <c r="A581" s="59" t="s">
        <v>1291</v>
      </c>
      <c r="B581" s="59" t="s">
        <v>1292</v>
      </c>
    </row>
    <row r="582" spans="1:2" x14ac:dyDescent="0.25">
      <c r="A582" s="59" t="s">
        <v>1293</v>
      </c>
      <c r="B582" s="59" t="s">
        <v>1294</v>
      </c>
    </row>
    <row r="583" spans="1:2" x14ac:dyDescent="0.25">
      <c r="A583" s="59" t="s">
        <v>1295</v>
      </c>
      <c r="B583" s="59" t="s">
        <v>1296</v>
      </c>
    </row>
    <row r="584" spans="1:2" x14ac:dyDescent="0.25">
      <c r="A584" s="59" t="s">
        <v>1297</v>
      </c>
      <c r="B584" s="59" t="s">
        <v>1298</v>
      </c>
    </row>
    <row r="585" spans="1:2" x14ac:dyDescent="0.25">
      <c r="A585" s="59" t="s">
        <v>1299</v>
      </c>
      <c r="B585" s="59" t="s">
        <v>1300</v>
      </c>
    </row>
    <row r="586" spans="1:2" x14ac:dyDescent="0.25">
      <c r="A586" s="59" t="s">
        <v>1301</v>
      </c>
      <c r="B586" s="59" t="s">
        <v>1302</v>
      </c>
    </row>
    <row r="587" spans="1:2" x14ac:dyDescent="0.25">
      <c r="A587" s="59" t="s">
        <v>1303</v>
      </c>
      <c r="B587" s="59" t="s">
        <v>1298</v>
      </c>
    </row>
    <row r="588" spans="1:2" x14ac:dyDescent="0.25">
      <c r="A588" s="59" t="s">
        <v>1304</v>
      </c>
      <c r="B588" s="59" t="s">
        <v>1305</v>
      </c>
    </row>
    <row r="589" spans="1:2" x14ac:dyDescent="0.25">
      <c r="A589" s="59" t="s">
        <v>1306</v>
      </c>
      <c r="B589" s="59" t="s">
        <v>1307</v>
      </c>
    </row>
    <row r="590" spans="1:2" x14ac:dyDescent="0.25">
      <c r="A590" s="59" t="s">
        <v>1308</v>
      </c>
      <c r="B590" s="59" t="s">
        <v>839</v>
      </c>
    </row>
    <row r="591" spans="1:2" x14ac:dyDescent="0.25">
      <c r="A591" s="59" t="s">
        <v>1309</v>
      </c>
      <c r="B591" s="59" t="s">
        <v>1310</v>
      </c>
    </row>
    <row r="592" spans="1:2" x14ac:dyDescent="0.25">
      <c r="A592" s="59" t="s">
        <v>1311</v>
      </c>
      <c r="B592" s="59" t="s">
        <v>1312</v>
      </c>
    </row>
    <row r="593" spans="1:2" x14ac:dyDescent="0.25">
      <c r="A593" s="59" t="s">
        <v>1313</v>
      </c>
      <c r="B593" s="59" t="s">
        <v>1314</v>
      </c>
    </row>
    <row r="594" spans="1:2" x14ac:dyDescent="0.25">
      <c r="A594" s="59" t="s">
        <v>1315</v>
      </c>
      <c r="B594" s="59" t="s">
        <v>1316</v>
      </c>
    </row>
    <row r="595" spans="1:2" x14ac:dyDescent="0.25">
      <c r="A595" s="59" t="s">
        <v>1317</v>
      </c>
      <c r="B595" s="59" t="s">
        <v>1318</v>
      </c>
    </row>
    <row r="596" spans="1:2" x14ac:dyDescent="0.25">
      <c r="A596" s="59" t="s">
        <v>1319</v>
      </c>
      <c r="B596" s="59" t="s">
        <v>1320</v>
      </c>
    </row>
    <row r="597" spans="1:2" x14ac:dyDescent="0.25">
      <c r="A597" s="59" t="s">
        <v>1321</v>
      </c>
      <c r="B597" s="59" t="s">
        <v>1072</v>
      </c>
    </row>
    <row r="598" spans="1:2" x14ac:dyDescent="0.25">
      <c r="A598" s="59" t="s">
        <v>1322</v>
      </c>
      <c r="B598" s="59" t="s">
        <v>1323</v>
      </c>
    </row>
    <row r="599" spans="1:2" x14ac:dyDescent="0.25">
      <c r="A599" s="59" t="s">
        <v>1324</v>
      </c>
      <c r="B599" s="59" t="s">
        <v>1040</v>
      </c>
    </row>
    <row r="600" spans="1:2" x14ac:dyDescent="0.25">
      <c r="A600" s="59" t="s">
        <v>1325</v>
      </c>
      <c r="B600" s="59" t="s">
        <v>1078</v>
      </c>
    </row>
    <row r="601" spans="1:2" x14ac:dyDescent="0.25">
      <c r="A601" s="59" t="s">
        <v>1326</v>
      </c>
      <c r="B601" s="59" t="s">
        <v>1327</v>
      </c>
    </row>
    <row r="602" spans="1:2" x14ac:dyDescent="0.25">
      <c r="A602" s="59" t="s">
        <v>1328</v>
      </c>
      <c r="B602" s="59" t="s">
        <v>1278</v>
      </c>
    </row>
    <row r="603" spans="1:2" x14ac:dyDescent="0.25">
      <c r="A603" s="59" t="s">
        <v>1329</v>
      </c>
      <c r="B603" s="59" t="s">
        <v>1072</v>
      </c>
    </row>
    <row r="604" spans="1:2" x14ac:dyDescent="0.25">
      <c r="A604" s="59" t="s">
        <v>1330</v>
      </c>
      <c r="B604" s="59" t="s">
        <v>1331</v>
      </c>
    </row>
    <row r="605" spans="1:2" x14ac:dyDescent="0.25">
      <c r="A605" s="59" t="s">
        <v>1332</v>
      </c>
      <c r="B605" s="59" t="s">
        <v>1333</v>
      </c>
    </row>
    <row r="606" spans="1:2" x14ac:dyDescent="0.25">
      <c r="A606" s="59" t="s">
        <v>1334</v>
      </c>
      <c r="B606" s="59" t="s">
        <v>1335</v>
      </c>
    </row>
    <row r="607" spans="1:2" x14ac:dyDescent="0.25">
      <c r="A607" s="59" t="s">
        <v>1336</v>
      </c>
      <c r="B607" s="59" t="s">
        <v>1286</v>
      </c>
    </row>
    <row r="608" spans="1:2" x14ac:dyDescent="0.25">
      <c r="A608" s="59" t="s">
        <v>1337</v>
      </c>
      <c r="B608" s="59" t="s">
        <v>1338</v>
      </c>
    </row>
    <row r="609" spans="1:2" x14ac:dyDescent="0.25">
      <c r="A609" s="59" t="s">
        <v>1339</v>
      </c>
      <c r="B609" s="59" t="s">
        <v>1340</v>
      </c>
    </row>
    <row r="610" spans="1:2" x14ac:dyDescent="0.25">
      <c r="A610" s="59" t="s">
        <v>1341</v>
      </c>
      <c r="B610" s="59" t="s">
        <v>1342</v>
      </c>
    </row>
    <row r="611" spans="1:2" x14ac:dyDescent="0.25">
      <c r="A611" s="59" t="s">
        <v>1343</v>
      </c>
      <c r="B611" s="59" t="s">
        <v>1344</v>
      </c>
    </row>
    <row r="612" spans="1:2" x14ac:dyDescent="0.25">
      <c r="A612" s="59" t="s">
        <v>1345</v>
      </c>
      <c r="B612" s="59" t="s">
        <v>1346</v>
      </c>
    </row>
    <row r="613" spans="1:2" x14ac:dyDescent="0.25">
      <c r="A613" s="59" t="s">
        <v>1347</v>
      </c>
      <c r="B613" s="59" t="s">
        <v>1348</v>
      </c>
    </row>
    <row r="614" spans="1:2" x14ac:dyDescent="0.25">
      <c r="A614" s="59" t="s">
        <v>1349</v>
      </c>
      <c r="B614" s="59" t="s">
        <v>1350</v>
      </c>
    </row>
    <row r="615" spans="1:2" x14ac:dyDescent="0.25">
      <c r="A615" s="59" t="s">
        <v>1351</v>
      </c>
      <c r="B615" s="59" t="s">
        <v>1352</v>
      </c>
    </row>
    <row r="616" spans="1:2" x14ac:dyDescent="0.25">
      <c r="A616" s="59" t="s">
        <v>1353</v>
      </c>
      <c r="B616" s="59" t="s">
        <v>1354</v>
      </c>
    </row>
    <row r="617" spans="1:2" x14ac:dyDescent="0.25">
      <c r="A617" s="59" t="s">
        <v>1355</v>
      </c>
      <c r="B617" s="59" t="s">
        <v>1356</v>
      </c>
    </row>
    <row r="618" spans="1:2" x14ac:dyDescent="0.25">
      <c r="A618" s="59" t="s">
        <v>1357</v>
      </c>
      <c r="B618" s="59" t="s">
        <v>1358</v>
      </c>
    </row>
    <row r="619" spans="1:2" x14ac:dyDescent="0.25">
      <c r="A619" s="59" t="s">
        <v>1359</v>
      </c>
      <c r="B619" s="59" t="s">
        <v>1360</v>
      </c>
    </row>
    <row r="620" spans="1:2" x14ac:dyDescent="0.25">
      <c r="A620" s="59" t="s">
        <v>1361</v>
      </c>
      <c r="B620" s="59" t="s">
        <v>1362</v>
      </c>
    </row>
    <row r="621" spans="1:2" x14ac:dyDescent="0.25">
      <c r="A621" s="59" t="s">
        <v>1363</v>
      </c>
      <c r="B621" s="59" t="s">
        <v>1364</v>
      </c>
    </row>
    <row r="622" spans="1:2" x14ac:dyDescent="0.25">
      <c r="A622" s="59" t="s">
        <v>1365</v>
      </c>
      <c r="B622" s="59" t="s">
        <v>1366</v>
      </c>
    </row>
    <row r="623" spans="1:2" x14ac:dyDescent="0.25">
      <c r="A623" s="59" t="s">
        <v>1367</v>
      </c>
      <c r="B623" s="59" t="s">
        <v>1368</v>
      </c>
    </row>
    <row r="624" spans="1:2" x14ac:dyDescent="0.25">
      <c r="A624" s="59" t="s">
        <v>1369</v>
      </c>
      <c r="B624" s="59" t="s">
        <v>1370</v>
      </c>
    </row>
    <row r="625" spans="1:2" x14ac:dyDescent="0.25">
      <c r="A625" s="59" t="s">
        <v>1371</v>
      </c>
      <c r="B625" s="59" t="s">
        <v>1372</v>
      </c>
    </row>
    <row r="626" spans="1:2" x14ac:dyDescent="0.25">
      <c r="A626" s="59" t="s">
        <v>1373</v>
      </c>
      <c r="B626" s="59" t="s">
        <v>1374</v>
      </c>
    </row>
    <row r="627" spans="1:2" x14ac:dyDescent="0.25">
      <c r="A627" s="59" t="s">
        <v>1375</v>
      </c>
      <c r="B627" s="59" t="s">
        <v>899</v>
      </c>
    </row>
    <row r="628" spans="1:2" x14ac:dyDescent="0.25">
      <c r="A628" s="59" t="s">
        <v>1376</v>
      </c>
      <c r="B628" s="59" t="s">
        <v>1377</v>
      </c>
    </row>
    <row r="629" spans="1:2" x14ac:dyDescent="0.25">
      <c r="A629" s="59" t="s">
        <v>1378</v>
      </c>
      <c r="B629" s="59" t="s">
        <v>1379</v>
      </c>
    </row>
    <row r="630" spans="1:2" x14ac:dyDescent="0.25">
      <c r="A630" s="59" t="s">
        <v>1380</v>
      </c>
      <c r="B630" s="59" t="s">
        <v>1381</v>
      </c>
    </row>
    <row r="631" spans="1:2" x14ac:dyDescent="0.25">
      <c r="A631" s="59" t="s">
        <v>1382</v>
      </c>
      <c r="B631" s="59" t="s">
        <v>1383</v>
      </c>
    </row>
    <row r="632" spans="1:2" x14ac:dyDescent="0.25">
      <c r="A632" s="59" t="s">
        <v>1384</v>
      </c>
      <c r="B632" s="59" t="s">
        <v>1385</v>
      </c>
    </row>
    <row r="633" spans="1:2" x14ac:dyDescent="0.25">
      <c r="A633" s="59" t="s">
        <v>1386</v>
      </c>
      <c r="B633" s="59" t="s">
        <v>1387</v>
      </c>
    </row>
    <row r="634" spans="1:2" x14ac:dyDescent="0.25">
      <c r="A634" s="59" t="s">
        <v>1388</v>
      </c>
      <c r="B634" s="59" t="s">
        <v>1389</v>
      </c>
    </row>
    <row r="635" spans="1:2" x14ac:dyDescent="0.25">
      <c r="A635" s="59" t="s">
        <v>1390</v>
      </c>
      <c r="B635" s="59" t="s">
        <v>1391</v>
      </c>
    </row>
    <row r="636" spans="1:2" x14ac:dyDescent="0.25">
      <c r="A636" s="59" t="s">
        <v>1392</v>
      </c>
      <c r="B636" s="59" t="s">
        <v>1393</v>
      </c>
    </row>
    <row r="637" spans="1:2" x14ac:dyDescent="0.25">
      <c r="A637" s="59" t="s">
        <v>1394</v>
      </c>
      <c r="B637" s="59" t="s">
        <v>1395</v>
      </c>
    </row>
    <row r="638" spans="1:2" x14ac:dyDescent="0.25">
      <c r="A638" s="59" t="s">
        <v>1396</v>
      </c>
      <c r="B638" s="59" t="s">
        <v>1397</v>
      </c>
    </row>
    <row r="639" spans="1:2" x14ac:dyDescent="0.25">
      <c r="A639" s="59" t="s">
        <v>1398</v>
      </c>
      <c r="B639" s="59" t="s">
        <v>1296</v>
      </c>
    </row>
    <row r="640" spans="1:2" x14ac:dyDescent="0.25">
      <c r="A640" s="59" t="s">
        <v>1399</v>
      </c>
      <c r="B640" s="59" t="s">
        <v>1400</v>
      </c>
    </row>
    <row r="641" spans="1:2" x14ac:dyDescent="0.25">
      <c r="A641" s="59" t="s">
        <v>1401</v>
      </c>
      <c r="B641" s="59" t="s">
        <v>1402</v>
      </c>
    </row>
    <row r="642" spans="1:2" x14ac:dyDescent="0.25">
      <c r="A642" s="59" t="s">
        <v>1403</v>
      </c>
      <c r="B642" s="59" t="s">
        <v>1055</v>
      </c>
    </row>
    <row r="643" spans="1:2" x14ac:dyDescent="0.25">
      <c r="A643" s="59" t="s">
        <v>1404</v>
      </c>
      <c r="B643" s="59" t="s">
        <v>1044</v>
      </c>
    </row>
    <row r="644" spans="1:2" x14ac:dyDescent="0.25">
      <c r="A644" s="59" t="s">
        <v>1405</v>
      </c>
      <c r="B644" s="59" t="s">
        <v>1406</v>
      </c>
    </row>
    <row r="645" spans="1:2" x14ac:dyDescent="0.25">
      <c r="A645" s="59" t="s">
        <v>1407</v>
      </c>
      <c r="B645" s="59" t="s">
        <v>1408</v>
      </c>
    </row>
    <row r="646" spans="1:2" x14ac:dyDescent="0.25">
      <c r="A646" s="59" t="s">
        <v>1409</v>
      </c>
      <c r="B646" s="59" t="s">
        <v>1410</v>
      </c>
    </row>
    <row r="647" spans="1:2" x14ac:dyDescent="0.25">
      <c r="A647" s="59" t="s">
        <v>1411</v>
      </c>
      <c r="B647" s="59" t="s">
        <v>1412</v>
      </c>
    </row>
    <row r="648" spans="1:2" x14ac:dyDescent="0.25">
      <c r="A648" s="59" t="s">
        <v>1413</v>
      </c>
      <c r="B648" s="59" t="s">
        <v>1414</v>
      </c>
    </row>
    <row r="649" spans="1:2" x14ac:dyDescent="0.25">
      <c r="A649" s="59" t="s">
        <v>1415</v>
      </c>
      <c r="B649" s="59" t="s">
        <v>1416</v>
      </c>
    </row>
    <row r="650" spans="1:2" x14ac:dyDescent="0.25">
      <c r="A650" s="59" t="s">
        <v>1417</v>
      </c>
      <c r="B650" s="59" t="s">
        <v>1030</v>
      </c>
    </row>
    <row r="651" spans="1:2" x14ac:dyDescent="0.25">
      <c r="A651" s="59" t="s">
        <v>1418</v>
      </c>
      <c r="B651" s="59" t="s">
        <v>1410</v>
      </c>
    </row>
    <row r="652" spans="1:2" x14ac:dyDescent="0.25">
      <c r="A652" s="59" t="s">
        <v>1419</v>
      </c>
      <c r="B652" s="59" t="s">
        <v>1420</v>
      </c>
    </row>
    <row r="653" spans="1:2" x14ac:dyDescent="0.25">
      <c r="A653" s="59" t="s">
        <v>1421</v>
      </c>
      <c r="B653" s="59" t="s">
        <v>1422</v>
      </c>
    </row>
    <row r="654" spans="1:2" x14ac:dyDescent="0.25">
      <c r="A654" s="59" t="s">
        <v>1423</v>
      </c>
      <c r="B654" s="59" t="s">
        <v>1424</v>
      </c>
    </row>
    <row r="655" spans="1:2" x14ac:dyDescent="0.25">
      <c r="A655" s="59" t="s">
        <v>1425</v>
      </c>
      <c r="B655" s="59" t="s">
        <v>1426</v>
      </c>
    </row>
    <row r="656" spans="1:2" x14ac:dyDescent="0.25">
      <c r="A656" s="59" t="s">
        <v>1427</v>
      </c>
      <c r="B656" s="59" t="s">
        <v>1428</v>
      </c>
    </row>
    <row r="657" spans="1:2" x14ac:dyDescent="0.25">
      <c r="A657" s="59" t="s">
        <v>1429</v>
      </c>
      <c r="B657" s="59" t="s">
        <v>1430</v>
      </c>
    </row>
    <row r="658" spans="1:2" x14ac:dyDescent="0.25">
      <c r="A658" s="59" t="s">
        <v>1431</v>
      </c>
      <c r="B658" s="59" t="s">
        <v>1432</v>
      </c>
    </row>
    <row r="659" spans="1:2" x14ac:dyDescent="0.25">
      <c r="A659" s="59" t="s">
        <v>1433</v>
      </c>
      <c r="B659" s="59" t="s">
        <v>1267</v>
      </c>
    </row>
    <row r="660" spans="1:2" x14ac:dyDescent="0.25">
      <c r="A660" s="59" t="s">
        <v>1434</v>
      </c>
      <c r="B660" s="59" t="s">
        <v>1435</v>
      </c>
    </row>
    <row r="661" spans="1:2" x14ac:dyDescent="0.25">
      <c r="A661" s="59" t="s">
        <v>1436</v>
      </c>
      <c r="B661" s="59" t="s">
        <v>1437</v>
      </c>
    </row>
    <row r="662" spans="1:2" x14ac:dyDescent="0.25">
      <c r="A662" s="59" t="s">
        <v>1438</v>
      </c>
      <c r="B662" s="59" t="s">
        <v>1439</v>
      </c>
    </row>
    <row r="663" spans="1:2" x14ac:dyDescent="0.25">
      <c r="A663" s="59" t="s">
        <v>1440</v>
      </c>
      <c r="B663" s="59" t="s">
        <v>1062</v>
      </c>
    </row>
    <row r="664" spans="1:2" x14ac:dyDescent="0.25">
      <c r="A664" s="59" t="s">
        <v>1441</v>
      </c>
      <c r="B664" s="59" t="s">
        <v>1040</v>
      </c>
    </row>
    <row r="665" spans="1:2" x14ac:dyDescent="0.25">
      <c r="A665" s="59" t="s">
        <v>1442</v>
      </c>
      <c r="B665" s="59" t="s">
        <v>1443</v>
      </c>
    </row>
    <row r="666" spans="1:2" x14ac:dyDescent="0.25">
      <c r="A666" s="59" t="s">
        <v>1444</v>
      </c>
      <c r="B666" s="59" t="s">
        <v>1445</v>
      </c>
    </row>
    <row r="667" spans="1:2" x14ac:dyDescent="0.25">
      <c r="A667" s="59" t="s">
        <v>1446</v>
      </c>
      <c r="B667" s="59" t="s">
        <v>1447</v>
      </c>
    </row>
    <row r="668" spans="1:2" x14ac:dyDescent="0.25">
      <c r="A668" s="59" t="s">
        <v>1448</v>
      </c>
      <c r="B668" s="59" t="s">
        <v>1449</v>
      </c>
    </row>
    <row r="669" spans="1:2" x14ac:dyDescent="0.25">
      <c r="A669" s="59" t="s">
        <v>1450</v>
      </c>
      <c r="B669" s="59" t="s">
        <v>1451</v>
      </c>
    </row>
    <row r="670" spans="1:2" x14ac:dyDescent="0.25">
      <c r="A670" s="59" t="s">
        <v>1452</v>
      </c>
      <c r="B670" s="59" t="s">
        <v>1082</v>
      </c>
    </row>
    <row r="671" spans="1:2" x14ac:dyDescent="0.25">
      <c r="A671" s="59" t="s">
        <v>1453</v>
      </c>
      <c r="B671" s="59" t="s">
        <v>1255</v>
      </c>
    </row>
    <row r="672" spans="1:2" x14ac:dyDescent="0.25">
      <c r="A672" s="59" t="s">
        <v>1454</v>
      </c>
      <c r="B672" s="59" t="s">
        <v>1455</v>
      </c>
    </row>
    <row r="673" spans="1:2" x14ac:dyDescent="0.25">
      <c r="A673" s="59" t="s">
        <v>1456</v>
      </c>
      <c r="B673" s="59" t="s">
        <v>1196</v>
      </c>
    </row>
    <row r="674" spans="1:2" x14ac:dyDescent="0.25">
      <c r="A674" s="59" t="s">
        <v>1457</v>
      </c>
      <c r="B674" s="59" t="s">
        <v>1458</v>
      </c>
    </row>
    <row r="675" spans="1:2" x14ac:dyDescent="0.25">
      <c r="A675" s="59" t="s">
        <v>1459</v>
      </c>
      <c r="B675" s="59" t="s">
        <v>1190</v>
      </c>
    </row>
    <row r="676" spans="1:2" x14ac:dyDescent="0.25">
      <c r="A676" s="59" t="s">
        <v>1460</v>
      </c>
      <c r="B676" s="59" t="s">
        <v>1461</v>
      </c>
    </row>
    <row r="677" spans="1:2" x14ac:dyDescent="0.25">
      <c r="A677" s="59" t="s">
        <v>1462</v>
      </c>
      <c r="B677" s="59" t="s">
        <v>1463</v>
      </c>
    </row>
    <row r="678" spans="1:2" x14ac:dyDescent="0.25">
      <c r="A678" s="59" t="s">
        <v>1464</v>
      </c>
      <c r="B678" s="59" t="s">
        <v>1102</v>
      </c>
    </row>
    <row r="679" spans="1:2" x14ac:dyDescent="0.25">
      <c r="A679" s="59" t="s">
        <v>1465</v>
      </c>
      <c r="B679" s="59" t="s">
        <v>1466</v>
      </c>
    </row>
    <row r="680" spans="1:2" x14ac:dyDescent="0.25">
      <c r="A680" s="59" t="s">
        <v>1467</v>
      </c>
      <c r="B680" s="59" t="s">
        <v>1468</v>
      </c>
    </row>
    <row r="681" spans="1:2" x14ac:dyDescent="0.25">
      <c r="A681" s="59" t="s">
        <v>1469</v>
      </c>
      <c r="B681" s="59" t="s">
        <v>1182</v>
      </c>
    </row>
    <row r="682" spans="1:2" x14ac:dyDescent="0.25">
      <c r="A682" s="59" t="s">
        <v>1470</v>
      </c>
      <c r="B682" s="59" t="s">
        <v>1471</v>
      </c>
    </row>
    <row r="683" spans="1:2" x14ac:dyDescent="0.25">
      <c r="A683" s="59" t="s">
        <v>1472</v>
      </c>
      <c r="B683" s="59" t="s">
        <v>1473</v>
      </c>
    </row>
    <row r="684" spans="1:2" x14ac:dyDescent="0.25">
      <c r="A684" s="59" t="s">
        <v>1474</v>
      </c>
      <c r="B684" s="59" t="s">
        <v>1475</v>
      </c>
    </row>
    <row r="685" spans="1:2" x14ac:dyDescent="0.25">
      <c r="A685" s="59" t="s">
        <v>1476</v>
      </c>
      <c r="B685" s="59" t="s">
        <v>1234</v>
      </c>
    </row>
    <row r="686" spans="1:2" x14ac:dyDescent="0.25">
      <c r="A686" s="59" t="s">
        <v>1477</v>
      </c>
      <c r="B686" s="59" t="s">
        <v>1478</v>
      </c>
    </row>
    <row r="687" spans="1:2" x14ac:dyDescent="0.25">
      <c r="A687" s="59" t="s">
        <v>1479</v>
      </c>
      <c r="B687" s="59" t="s">
        <v>1480</v>
      </c>
    </row>
    <row r="688" spans="1:2" x14ac:dyDescent="0.25">
      <c r="A688" s="59" t="s">
        <v>1481</v>
      </c>
      <c r="B688" s="59" t="s">
        <v>1482</v>
      </c>
    </row>
    <row r="689" spans="1:2" x14ac:dyDescent="0.25">
      <c r="A689" s="59" t="s">
        <v>1483</v>
      </c>
      <c r="B689" s="59" t="s">
        <v>1484</v>
      </c>
    </row>
    <row r="690" spans="1:2" x14ac:dyDescent="0.25">
      <c r="A690" s="59" t="s">
        <v>1485</v>
      </c>
      <c r="B690" s="59" t="s">
        <v>1486</v>
      </c>
    </row>
    <row r="691" spans="1:2" x14ac:dyDescent="0.25">
      <c r="A691" s="59" t="s">
        <v>1487</v>
      </c>
      <c r="B691" s="59" t="s">
        <v>1488</v>
      </c>
    </row>
    <row r="692" spans="1:2" x14ac:dyDescent="0.25">
      <c r="A692" s="59" t="s">
        <v>1489</v>
      </c>
      <c r="B692" s="59" t="s">
        <v>1490</v>
      </c>
    </row>
    <row r="693" spans="1:2" x14ac:dyDescent="0.25">
      <c r="A693" s="59" t="s">
        <v>1491</v>
      </c>
      <c r="B693" s="59" t="s">
        <v>1492</v>
      </c>
    </row>
    <row r="694" spans="1:2" x14ac:dyDescent="0.25">
      <c r="A694" s="59" t="s">
        <v>1493</v>
      </c>
      <c r="B694" s="59" t="s">
        <v>1494</v>
      </c>
    </row>
    <row r="695" spans="1:2" x14ac:dyDescent="0.25">
      <c r="A695" s="59" t="s">
        <v>1495</v>
      </c>
      <c r="B695" s="59" t="s">
        <v>1492</v>
      </c>
    </row>
    <row r="696" spans="1:2" x14ac:dyDescent="0.25">
      <c r="A696" s="59" t="s">
        <v>1496</v>
      </c>
      <c r="B696" s="59" t="s">
        <v>1497</v>
      </c>
    </row>
    <row r="697" spans="1:2" x14ac:dyDescent="0.25">
      <c r="A697" s="59" t="s">
        <v>1498</v>
      </c>
      <c r="B697" s="59" t="s">
        <v>1499</v>
      </c>
    </row>
    <row r="698" spans="1:2" x14ac:dyDescent="0.25">
      <c r="A698" s="59" t="s">
        <v>1500</v>
      </c>
      <c r="B698" s="59" t="s">
        <v>1501</v>
      </c>
    </row>
    <row r="699" spans="1:2" x14ac:dyDescent="0.25">
      <c r="A699" s="59" t="s">
        <v>1502</v>
      </c>
      <c r="B699" s="59" t="s">
        <v>1503</v>
      </c>
    </row>
    <row r="700" spans="1:2" x14ac:dyDescent="0.25">
      <c r="A700" s="59" t="s">
        <v>1504</v>
      </c>
      <c r="B700" s="59" t="s">
        <v>1505</v>
      </c>
    </row>
    <row r="701" spans="1:2" x14ac:dyDescent="0.25">
      <c r="A701" s="59" t="s">
        <v>1506</v>
      </c>
      <c r="B701" s="59" t="s">
        <v>1507</v>
      </c>
    </row>
    <row r="702" spans="1:2" x14ac:dyDescent="0.25">
      <c r="A702" s="59" t="s">
        <v>1508</v>
      </c>
      <c r="B702" s="59" t="s">
        <v>1509</v>
      </c>
    </row>
    <row r="703" spans="1:2" x14ac:dyDescent="0.25">
      <c r="A703" s="59" t="s">
        <v>1510</v>
      </c>
      <c r="B703" s="59" t="s">
        <v>1511</v>
      </c>
    </row>
    <row r="704" spans="1:2" x14ac:dyDescent="0.25">
      <c r="A704" s="59" t="s">
        <v>1512</v>
      </c>
      <c r="B704" s="59" t="s">
        <v>1513</v>
      </c>
    </row>
    <row r="705" spans="1:2" x14ac:dyDescent="0.25">
      <c r="A705" s="59" t="s">
        <v>1514</v>
      </c>
      <c r="B705" s="59" t="s">
        <v>1515</v>
      </c>
    </row>
    <row r="706" spans="1:2" x14ac:dyDescent="0.25">
      <c r="A706" s="59" t="s">
        <v>1516</v>
      </c>
      <c r="B706" s="59" t="s">
        <v>1517</v>
      </c>
    </row>
    <row r="707" spans="1:2" x14ac:dyDescent="0.25">
      <c r="A707" s="59" t="s">
        <v>1518</v>
      </c>
      <c r="B707" s="59" t="s">
        <v>1519</v>
      </c>
    </row>
    <row r="708" spans="1:2" x14ac:dyDescent="0.25">
      <c r="A708" s="59" t="s">
        <v>1520</v>
      </c>
      <c r="B708" s="59" t="s">
        <v>1521</v>
      </c>
    </row>
    <row r="709" spans="1:2" x14ac:dyDescent="0.25">
      <c r="A709" s="59" t="s">
        <v>1522</v>
      </c>
      <c r="B709" s="59" t="s">
        <v>1523</v>
      </c>
    </row>
    <row r="710" spans="1:2" x14ac:dyDescent="0.25">
      <c r="A710" s="59" t="s">
        <v>1524</v>
      </c>
      <c r="B710" s="59" t="s">
        <v>1525</v>
      </c>
    </row>
    <row r="711" spans="1:2" x14ac:dyDescent="0.25">
      <c r="A711" s="59" t="s">
        <v>1526</v>
      </c>
      <c r="B711" s="59" t="s">
        <v>1527</v>
      </c>
    </row>
    <row r="712" spans="1:2" x14ac:dyDescent="0.25">
      <c r="A712" s="59" t="s">
        <v>1528</v>
      </c>
      <c r="B712" s="59" t="s">
        <v>1529</v>
      </c>
    </row>
    <row r="713" spans="1:2" x14ac:dyDescent="0.25">
      <c r="A713" s="59" t="s">
        <v>1530</v>
      </c>
      <c r="B713" s="59" t="s">
        <v>1531</v>
      </c>
    </row>
    <row r="714" spans="1:2" x14ac:dyDescent="0.25">
      <c r="A714" s="59" t="s">
        <v>1532</v>
      </c>
      <c r="B714" s="59" t="s">
        <v>1533</v>
      </c>
    </row>
    <row r="715" spans="1:2" x14ac:dyDescent="0.25">
      <c r="A715" s="59" t="s">
        <v>1534</v>
      </c>
      <c r="B715" s="59" t="s">
        <v>1535</v>
      </c>
    </row>
    <row r="716" spans="1:2" x14ac:dyDescent="0.25">
      <c r="A716" s="59" t="s">
        <v>1536</v>
      </c>
      <c r="B716" s="59" t="s">
        <v>1537</v>
      </c>
    </row>
    <row r="717" spans="1:2" x14ac:dyDescent="0.25">
      <c r="A717" s="59" t="s">
        <v>1538</v>
      </c>
      <c r="B717" s="59" t="s">
        <v>1539</v>
      </c>
    </row>
    <row r="718" spans="1:2" x14ac:dyDescent="0.25">
      <c r="A718" s="59" t="s">
        <v>1540</v>
      </c>
      <c r="B718" s="59" t="s">
        <v>1541</v>
      </c>
    </row>
    <row r="719" spans="1:2" x14ac:dyDescent="0.25">
      <c r="A719" s="59" t="s">
        <v>1542</v>
      </c>
      <c r="B719" s="59" t="s">
        <v>1543</v>
      </c>
    </row>
    <row r="720" spans="1:2" x14ac:dyDescent="0.25">
      <c r="A720" s="59" t="s">
        <v>1544</v>
      </c>
      <c r="B720" s="59" t="s">
        <v>1545</v>
      </c>
    </row>
    <row r="721" spans="1:2" x14ac:dyDescent="0.25">
      <c r="A721" s="59" t="s">
        <v>1546</v>
      </c>
      <c r="B721" s="59" t="s">
        <v>1547</v>
      </c>
    </row>
    <row r="722" spans="1:2" x14ac:dyDescent="0.25">
      <c r="A722" s="59" t="s">
        <v>1548</v>
      </c>
      <c r="B722" s="59" t="s">
        <v>1549</v>
      </c>
    </row>
    <row r="723" spans="1:2" x14ac:dyDescent="0.25">
      <c r="A723" s="59" t="s">
        <v>1550</v>
      </c>
      <c r="B723" s="59" t="s">
        <v>1551</v>
      </c>
    </row>
    <row r="724" spans="1:2" x14ac:dyDescent="0.25">
      <c r="A724" s="59" t="s">
        <v>1552</v>
      </c>
      <c r="B724" s="59" t="s">
        <v>1553</v>
      </c>
    </row>
    <row r="725" spans="1:2" x14ac:dyDescent="0.25">
      <c r="A725" s="59" t="s">
        <v>1554</v>
      </c>
      <c r="B725" s="59" t="s">
        <v>1555</v>
      </c>
    </row>
    <row r="726" spans="1:2" x14ac:dyDescent="0.25">
      <c r="A726" s="59" t="s">
        <v>1556</v>
      </c>
      <c r="B726" s="59" t="s">
        <v>1557</v>
      </c>
    </row>
    <row r="727" spans="1:2" x14ac:dyDescent="0.25">
      <c r="A727" s="59" t="s">
        <v>1558</v>
      </c>
      <c r="B727" s="59" t="s">
        <v>1559</v>
      </c>
    </row>
    <row r="728" spans="1:2" x14ac:dyDescent="0.25">
      <c r="A728" s="59" t="s">
        <v>1560</v>
      </c>
      <c r="B728" s="59" t="s">
        <v>1561</v>
      </c>
    </row>
    <row r="729" spans="1:2" x14ac:dyDescent="0.25">
      <c r="A729" s="59" t="s">
        <v>1562</v>
      </c>
      <c r="B729" s="59" t="s">
        <v>1563</v>
      </c>
    </row>
    <row r="730" spans="1:2" x14ac:dyDescent="0.25">
      <c r="A730" s="59" t="s">
        <v>1564</v>
      </c>
      <c r="B730" s="59" t="s">
        <v>1565</v>
      </c>
    </row>
    <row r="731" spans="1:2" x14ac:dyDescent="0.25">
      <c r="A731" s="59" t="s">
        <v>1566</v>
      </c>
      <c r="B731" s="59" t="s">
        <v>1567</v>
      </c>
    </row>
    <row r="732" spans="1:2" x14ac:dyDescent="0.25">
      <c r="A732" s="59" t="s">
        <v>1568</v>
      </c>
      <c r="B732" s="59" t="s">
        <v>1569</v>
      </c>
    </row>
    <row r="733" spans="1:2" x14ac:dyDescent="0.25">
      <c r="A733" s="59" t="s">
        <v>1570</v>
      </c>
      <c r="B733" s="59" t="s">
        <v>1571</v>
      </c>
    </row>
    <row r="734" spans="1:2" x14ac:dyDescent="0.25">
      <c r="A734" s="59" t="s">
        <v>1572</v>
      </c>
      <c r="B734" s="59" t="s">
        <v>1573</v>
      </c>
    </row>
    <row r="735" spans="1:2" x14ac:dyDescent="0.25">
      <c r="A735" s="59" t="s">
        <v>1574</v>
      </c>
      <c r="B735" s="59" t="s">
        <v>1575</v>
      </c>
    </row>
    <row r="736" spans="1:2" x14ac:dyDescent="0.25">
      <c r="A736" s="59" t="s">
        <v>1576</v>
      </c>
      <c r="B736" s="59" t="s">
        <v>1577</v>
      </c>
    </row>
    <row r="737" spans="1:2" x14ac:dyDescent="0.25">
      <c r="A737" s="59" t="s">
        <v>1578</v>
      </c>
      <c r="B737" s="59" t="s">
        <v>1579</v>
      </c>
    </row>
    <row r="738" spans="1:2" x14ac:dyDescent="0.25">
      <c r="A738" s="59" t="s">
        <v>1580</v>
      </c>
      <c r="B738" s="59" t="s">
        <v>1581</v>
      </c>
    </row>
    <row r="739" spans="1:2" x14ac:dyDescent="0.25">
      <c r="A739" s="59" t="s">
        <v>1582</v>
      </c>
      <c r="B739" s="59" t="s">
        <v>1583</v>
      </c>
    </row>
    <row r="740" spans="1:2" x14ac:dyDescent="0.25">
      <c r="A740" s="59" t="s">
        <v>1584</v>
      </c>
      <c r="B740" s="59" t="s">
        <v>1585</v>
      </c>
    </row>
    <row r="741" spans="1:2" x14ac:dyDescent="0.25">
      <c r="A741" s="59" t="s">
        <v>1586</v>
      </c>
      <c r="B741" s="59" t="s">
        <v>1533</v>
      </c>
    </row>
    <row r="742" spans="1:2" x14ac:dyDescent="0.25">
      <c r="A742" s="59" t="s">
        <v>1587</v>
      </c>
      <c r="B742" s="59" t="s">
        <v>1588</v>
      </c>
    </row>
    <row r="743" spans="1:2" x14ac:dyDescent="0.25">
      <c r="A743" s="59" t="s">
        <v>1589</v>
      </c>
      <c r="B743" s="59" t="s">
        <v>1590</v>
      </c>
    </row>
    <row r="744" spans="1:2" x14ac:dyDescent="0.25">
      <c r="A744" s="59" t="s">
        <v>1591</v>
      </c>
      <c r="B744" s="59" t="s">
        <v>1592</v>
      </c>
    </row>
    <row r="745" spans="1:2" x14ac:dyDescent="0.25">
      <c r="A745" s="59" t="s">
        <v>1593</v>
      </c>
      <c r="B745" s="59" t="s">
        <v>1594</v>
      </c>
    </row>
    <row r="746" spans="1:2" x14ac:dyDescent="0.25">
      <c r="A746" s="59" t="s">
        <v>1595</v>
      </c>
      <c r="B746" s="59" t="s">
        <v>1590</v>
      </c>
    </row>
    <row r="747" spans="1:2" x14ac:dyDescent="0.25">
      <c r="A747" s="59" t="s">
        <v>1596</v>
      </c>
      <c r="B747" s="59" t="s">
        <v>1597</v>
      </c>
    </row>
    <row r="748" spans="1:2" x14ac:dyDescent="0.25">
      <c r="A748" s="59" t="s">
        <v>1598</v>
      </c>
      <c r="B748" s="59" t="s">
        <v>1569</v>
      </c>
    </row>
    <row r="749" spans="1:2" x14ac:dyDescent="0.25">
      <c r="A749" s="59" t="s">
        <v>1599</v>
      </c>
      <c r="B749" s="59" t="s">
        <v>1600</v>
      </c>
    </row>
    <row r="750" spans="1:2" x14ac:dyDescent="0.25">
      <c r="A750" s="59" t="s">
        <v>1601</v>
      </c>
      <c r="B750" s="59" t="s">
        <v>1569</v>
      </c>
    </row>
    <row r="751" spans="1:2" x14ac:dyDescent="0.25">
      <c r="A751" s="59" t="s">
        <v>1602</v>
      </c>
      <c r="B751" s="59" t="s">
        <v>1529</v>
      </c>
    </row>
    <row r="752" spans="1:2" x14ac:dyDescent="0.25">
      <c r="A752" s="59" t="s">
        <v>1603</v>
      </c>
      <c r="B752" s="59" t="s">
        <v>1604</v>
      </c>
    </row>
    <row r="753" spans="1:2" x14ac:dyDescent="0.25">
      <c r="A753" s="59" t="s">
        <v>1605</v>
      </c>
      <c r="B753" s="59" t="s">
        <v>1606</v>
      </c>
    </row>
    <row r="754" spans="1:2" x14ac:dyDescent="0.25">
      <c r="A754" s="59" t="s">
        <v>1607</v>
      </c>
      <c r="B754" s="59" t="s">
        <v>1608</v>
      </c>
    </row>
    <row r="755" spans="1:2" x14ac:dyDescent="0.25">
      <c r="A755" s="59" t="s">
        <v>1609</v>
      </c>
      <c r="B755" s="59" t="s">
        <v>1610</v>
      </c>
    </row>
    <row r="756" spans="1:2" x14ac:dyDescent="0.25">
      <c r="A756" s="59" t="s">
        <v>1611</v>
      </c>
      <c r="B756" s="59" t="s">
        <v>1612</v>
      </c>
    </row>
    <row r="757" spans="1:2" x14ac:dyDescent="0.25">
      <c r="A757" s="59" t="s">
        <v>1613</v>
      </c>
      <c r="B757" s="59" t="s">
        <v>1614</v>
      </c>
    </row>
    <row r="758" spans="1:2" x14ac:dyDescent="0.25">
      <c r="A758" s="59" t="s">
        <v>1615</v>
      </c>
      <c r="B758" s="59" t="s">
        <v>1616</v>
      </c>
    </row>
    <row r="759" spans="1:2" x14ac:dyDescent="0.25">
      <c r="A759" s="59" t="s">
        <v>1617</v>
      </c>
      <c r="B759" s="59" t="s">
        <v>1618</v>
      </c>
    </row>
    <row r="760" spans="1:2" x14ac:dyDescent="0.25">
      <c r="A760" s="59" t="s">
        <v>1619</v>
      </c>
      <c r="B760" s="59" t="s">
        <v>1620</v>
      </c>
    </row>
    <row r="761" spans="1:2" x14ac:dyDescent="0.25">
      <c r="A761" s="59" t="s">
        <v>1621</v>
      </c>
      <c r="B761" s="59" t="s">
        <v>1622</v>
      </c>
    </row>
    <row r="762" spans="1:2" x14ac:dyDescent="0.25">
      <c r="A762" s="59" t="s">
        <v>1623</v>
      </c>
      <c r="B762" s="59" t="s">
        <v>1624</v>
      </c>
    </row>
    <row r="763" spans="1:2" x14ac:dyDescent="0.25">
      <c r="A763" s="59" t="s">
        <v>1625</v>
      </c>
      <c r="B763" s="59" t="s">
        <v>1626</v>
      </c>
    </row>
    <row r="764" spans="1:2" x14ac:dyDescent="0.25">
      <c r="A764" s="59" t="s">
        <v>1627</v>
      </c>
      <c r="B764" s="59" t="s">
        <v>1628</v>
      </c>
    </row>
    <row r="765" spans="1:2" x14ac:dyDescent="0.25">
      <c r="A765" s="59" t="s">
        <v>1629</v>
      </c>
      <c r="B765" s="59" t="s">
        <v>1630</v>
      </c>
    </row>
    <row r="766" spans="1:2" x14ac:dyDescent="0.25">
      <c r="A766" s="59" t="s">
        <v>1631</v>
      </c>
      <c r="B766" s="59" t="s">
        <v>1632</v>
      </c>
    </row>
    <row r="767" spans="1:2" x14ac:dyDescent="0.25">
      <c r="A767" s="59" t="s">
        <v>1633</v>
      </c>
      <c r="B767" s="59" t="s">
        <v>1634</v>
      </c>
    </row>
    <row r="768" spans="1:2" x14ac:dyDescent="0.25">
      <c r="A768" s="59" t="s">
        <v>1635</v>
      </c>
      <c r="B768" s="59" t="s">
        <v>1636</v>
      </c>
    </row>
    <row r="769" spans="1:2" x14ac:dyDescent="0.25">
      <c r="A769" s="59" t="s">
        <v>1637</v>
      </c>
      <c r="B769" s="59" t="s">
        <v>1638</v>
      </c>
    </row>
    <row r="770" spans="1:2" x14ac:dyDescent="0.25">
      <c r="A770" s="59" t="s">
        <v>1639</v>
      </c>
      <c r="B770" s="59" t="s">
        <v>1640</v>
      </c>
    </row>
    <row r="771" spans="1:2" x14ac:dyDescent="0.25">
      <c r="A771" s="59" t="s">
        <v>1641</v>
      </c>
      <c r="B771" s="59" t="s">
        <v>1642</v>
      </c>
    </row>
    <row r="772" spans="1:2" x14ac:dyDescent="0.25">
      <c r="A772" s="59" t="s">
        <v>1643</v>
      </c>
      <c r="B772" s="59" t="s">
        <v>1644</v>
      </c>
    </row>
    <row r="773" spans="1:2" x14ac:dyDescent="0.25">
      <c r="A773" s="59" t="s">
        <v>1645</v>
      </c>
      <c r="B773" s="59" t="s">
        <v>1646</v>
      </c>
    </row>
    <row r="774" spans="1:2" x14ac:dyDescent="0.25">
      <c r="A774" s="59" t="s">
        <v>1647</v>
      </c>
      <c r="B774" s="59" t="s">
        <v>1648</v>
      </c>
    </row>
    <row r="775" spans="1:2" x14ac:dyDescent="0.25">
      <c r="A775" s="59" t="s">
        <v>1649</v>
      </c>
      <c r="B775" s="59" t="s">
        <v>1650</v>
      </c>
    </row>
    <row r="776" spans="1:2" x14ac:dyDescent="0.25">
      <c r="A776" s="59" t="s">
        <v>1651</v>
      </c>
      <c r="B776" s="59" t="s">
        <v>1652</v>
      </c>
    </row>
    <row r="777" spans="1:2" x14ac:dyDescent="0.25">
      <c r="A777" s="59" t="s">
        <v>1653</v>
      </c>
      <c r="B777" s="59" t="s">
        <v>1654</v>
      </c>
    </row>
    <row r="778" spans="1:2" x14ac:dyDescent="0.25">
      <c r="A778" s="59" t="s">
        <v>1655</v>
      </c>
      <c r="B778" s="59" t="s">
        <v>1656</v>
      </c>
    </row>
    <row r="779" spans="1:2" x14ac:dyDescent="0.25">
      <c r="A779" s="59" t="s">
        <v>1657</v>
      </c>
      <c r="B779" s="59" t="s">
        <v>1658</v>
      </c>
    </row>
    <row r="780" spans="1:2" x14ac:dyDescent="0.25">
      <c r="A780" s="59" t="s">
        <v>1659</v>
      </c>
      <c r="B780" s="59" t="s">
        <v>1660</v>
      </c>
    </row>
    <row r="781" spans="1:2" x14ac:dyDescent="0.25">
      <c r="A781" s="59" t="s">
        <v>1661</v>
      </c>
      <c r="B781" s="59" t="s">
        <v>1662</v>
      </c>
    </row>
    <row r="782" spans="1:2" x14ac:dyDescent="0.25">
      <c r="A782" s="59" t="s">
        <v>1663</v>
      </c>
      <c r="B782" s="59" t="s">
        <v>1664</v>
      </c>
    </row>
    <row r="783" spans="1:2" x14ac:dyDescent="0.25">
      <c r="A783" s="59" t="s">
        <v>1665</v>
      </c>
      <c r="B783" s="59" t="s">
        <v>1666</v>
      </c>
    </row>
    <row r="784" spans="1:2" x14ac:dyDescent="0.25">
      <c r="A784" s="59" t="s">
        <v>1667</v>
      </c>
      <c r="B784" s="59" t="s">
        <v>1668</v>
      </c>
    </row>
    <row r="785" spans="1:2" x14ac:dyDescent="0.25">
      <c r="A785" s="59" t="s">
        <v>1669</v>
      </c>
      <c r="B785" s="59" t="s">
        <v>1670</v>
      </c>
    </row>
    <row r="786" spans="1:2" x14ac:dyDescent="0.25">
      <c r="A786" s="59" t="s">
        <v>1671</v>
      </c>
      <c r="B786" s="59" t="s">
        <v>1672</v>
      </c>
    </row>
    <row r="787" spans="1:2" x14ac:dyDescent="0.25">
      <c r="A787" s="59" t="s">
        <v>1673</v>
      </c>
      <c r="B787" s="59" t="s">
        <v>1674</v>
      </c>
    </row>
    <row r="788" spans="1:2" x14ac:dyDescent="0.25">
      <c r="A788" s="59" t="s">
        <v>1675</v>
      </c>
      <c r="B788" s="59" t="s">
        <v>443</v>
      </c>
    </row>
    <row r="789" spans="1:2" x14ac:dyDescent="0.25">
      <c r="A789" s="59" t="s">
        <v>1676</v>
      </c>
      <c r="B789" s="59" t="s">
        <v>1677</v>
      </c>
    </row>
    <row r="790" spans="1:2" x14ac:dyDescent="0.25">
      <c r="A790" s="59" t="s">
        <v>1678</v>
      </c>
      <c r="B790" s="59" t="s">
        <v>1679</v>
      </c>
    </row>
    <row r="791" spans="1:2" x14ac:dyDescent="0.25">
      <c r="A791" s="59" t="s">
        <v>1680</v>
      </c>
      <c r="B791" s="59" t="s">
        <v>1681</v>
      </c>
    </row>
    <row r="792" spans="1:2" x14ac:dyDescent="0.25">
      <c r="A792" s="59" t="s">
        <v>1682</v>
      </c>
      <c r="B792" s="59" t="s">
        <v>1683</v>
      </c>
    </row>
    <row r="793" spans="1:2" x14ac:dyDescent="0.25">
      <c r="A793" s="59" t="s">
        <v>1684</v>
      </c>
      <c r="B793" s="59" t="s">
        <v>1685</v>
      </c>
    </row>
    <row r="794" spans="1:2" x14ac:dyDescent="0.25">
      <c r="A794" s="59" t="s">
        <v>1686</v>
      </c>
      <c r="B794" s="59" t="s">
        <v>1687</v>
      </c>
    </row>
    <row r="795" spans="1:2" x14ac:dyDescent="0.25">
      <c r="A795" s="59" t="s">
        <v>1688</v>
      </c>
      <c r="B795" s="59" t="s">
        <v>354</v>
      </c>
    </row>
    <row r="796" spans="1:2" x14ac:dyDescent="0.25">
      <c r="A796" s="59" t="s">
        <v>1689</v>
      </c>
      <c r="B796" s="59" t="s">
        <v>1690</v>
      </c>
    </row>
    <row r="797" spans="1:2" x14ac:dyDescent="0.25">
      <c r="A797" s="59" t="s">
        <v>1691</v>
      </c>
      <c r="B797" s="59" t="s">
        <v>1692</v>
      </c>
    </row>
    <row r="798" spans="1:2" x14ac:dyDescent="0.25">
      <c r="A798" s="59" t="s">
        <v>1693</v>
      </c>
      <c r="B798" s="59" t="s">
        <v>1694</v>
      </c>
    </row>
    <row r="799" spans="1:2" x14ac:dyDescent="0.25">
      <c r="A799" s="59" t="s">
        <v>1695</v>
      </c>
      <c r="B799" s="59" t="s">
        <v>1696</v>
      </c>
    </row>
    <row r="800" spans="1:2" x14ac:dyDescent="0.25">
      <c r="A800" s="59" t="s">
        <v>1697</v>
      </c>
      <c r="B800" s="59" t="s">
        <v>1698</v>
      </c>
    </row>
    <row r="801" spans="1:2" x14ac:dyDescent="0.25">
      <c r="A801" s="59" t="s">
        <v>1699</v>
      </c>
      <c r="B801" s="59" t="s">
        <v>1700</v>
      </c>
    </row>
    <row r="802" spans="1:2" x14ac:dyDescent="0.25">
      <c r="A802" s="59" t="s">
        <v>1701</v>
      </c>
      <c r="B802" s="59" t="s">
        <v>1702</v>
      </c>
    </row>
    <row r="803" spans="1:2" x14ac:dyDescent="0.25">
      <c r="A803" s="59" t="s">
        <v>1703</v>
      </c>
      <c r="B803" s="59" t="s">
        <v>1704</v>
      </c>
    </row>
    <row r="804" spans="1:2" x14ac:dyDescent="0.25">
      <c r="A804" s="59" t="s">
        <v>1705</v>
      </c>
      <c r="B804" s="59" t="s">
        <v>1706</v>
      </c>
    </row>
    <row r="805" spans="1:2" x14ac:dyDescent="0.25">
      <c r="A805" s="59" t="s">
        <v>1707</v>
      </c>
      <c r="B805" s="59" t="s">
        <v>1708</v>
      </c>
    </row>
    <row r="806" spans="1:2" x14ac:dyDescent="0.25">
      <c r="A806" s="59" t="s">
        <v>1709</v>
      </c>
      <c r="B806" s="59" t="s">
        <v>1710</v>
      </c>
    </row>
    <row r="807" spans="1:2" x14ac:dyDescent="0.25">
      <c r="A807" s="59" t="s">
        <v>1711</v>
      </c>
      <c r="B807" s="59" t="s">
        <v>1712</v>
      </c>
    </row>
    <row r="808" spans="1:2" x14ac:dyDescent="0.25">
      <c r="A808" s="59" t="s">
        <v>1713</v>
      </c>
      <c r="B808" s="59" t="s">
        <v>1714</v>
      </c>
    </row>
    <row r="809" spans="1:2" x14ac:dyDescent="0.25">
      <c r="A809" s="59" t="s">
        <v>1715</v>
      </c>
      <c r="B809" s="59" t="s">
        <v>1716</v>
      </c>
    </row>
    <row r="810" spans="1:2" x14ac:dyDescent="0.25">
      <c r="A810" s="59" t="s">
        <v>1717</v>
      </c>
      <c r="B810" s="59" t="s">
        <v>350</v>
      </c>
    </row>
    <row r="811" spans="1:2" x14ac:dyDescent="0.25">
      <c r="A811" s="59" t="s">
        <v>1718</v>
      </c>
      <c r="B811" s="59" t="s">
        <v>1719</v>
      </c>
    </row>
    <row r="812" spans="1:2" x14ac:dyDescent="0.25">
      <c r="A812" s="59" t="s">
        <v>1720</v>
      </c>
      <c r="B812" s="59" t="s">
        <v>1721</v>
      </c>
    </row>
    <row r="813" spans="1:2" x14ac:dyDescent="0.25">
      <c r="A813" s="59" t="s">
        <v>1722</v>
      </c>
      <c r="B813" s="59" t="s">
        <v>1723</v>
      </c>
    </row>
    <row r="814" spans="1:2" x14ac:dyDescent="0.25">
      <c r="A814" s="59" t="s">
        <v>1724</v>
      </c>
      <c r="B814" s="59" t="s">
        <v>1725</v>
      </c>
    </row>
    <row r="815" spans="1:2" x14ac:dyDescent="0.25">
      <c r="A815" s="59" t="s">
        <v>1726</v>
      </c>
      <c r="B815" s="59" t="s">
        <v>1727</v>
      </c>
    </row>
    <row r="816" spans="1:2" x14ac:dyDescent="0.25">
      <c r="A816" s="59" t="s">
        <v>1728</v>
      </c>
      <c r="B816" s="59" t="s">
        <v>1729</v>
      </c>
    </row>
    <row r="817" spans="1:2" x14ac:dyDescent="0.25">
      <c r="A817" s="59" t="s">
        <v>1730</v>
      </c>
      <c r="B817" s="59" t="s">
        <v>1731</v>
      </c>
    </row>
    <row r="818" spans="1:2" x14ac:dyDescent="0.25">
      <c r="A818" s="59" t="s">
        <v>1732</v>
      </c>
      <c r="B818" s="59" t="s">
        <v>1733</v>
      </c>
    </row>
    <row r="819" spans="1:2" x14ac:dyDescent="0.25">
      <c r="A819" s="59" t="s">
        <v>1734</v>
      </c>
      <c r="B819" s="59" t="s">
        <v>1735</v>
      </c>
    </row>
    <row r="820" spans="1:2" x14ac:dyDescent="0.25">
      <c r="A820" s="59" t="s">
        <v>1736</v>
      </c>
      <c r="B820" s="59" t="s">
        <v>723</v>
      </c>
    </row>
    <row r="821" spans="1:2" x14ac:dyDescent="0.25">
      <c r="A821" s="59" t="s">
        <v>1737</v>
      </c>
      <c r="B821" s="59" t="s">
        <v>617</v>
      </c>
    </row>
    <row r="822" spans="1:2" x14ac:dyDescent="0.25">
      <c r="A822" s="59" t="s">
        <v>1738</v>
      </c>
      <c r="B822" s="59" t="s">
        <v>1739</v>
      </c>
    </row>
    <row r="823" spans="1:2" x14ac:dyDescent="0.25">
      <c r="A823" s="59" t="s">
        <v>1740</v>
      </c>
      <c r="B823" s="59" t="s">
        <v>1741</v>
      </c>
    </row>
    <row r="824" spans="1:2" x14ac:dyDescent="0.25">
      <c r="A824" s="59" t="s">
        <v>1742</v>
      </c>
      <c r="B824" s="59" t="s">
        <v>1743</v>
      </c>
    </row>
    <row r="825" spans="1:2" x14ac:dyDescent="0.25">
      <c r="A825" s="59" t="s">
        <v>1744</v>
      </c>
      <c r="B825" s="59" t="s">
        <v>1745</v>
      </c>
    </row>
    <row r="826" spans="1:2" x14ac:dyDescent="0.25">
      <c r="A826" s="59" t="s">
        <v>1746</v>
      </c>
      <c r="B826" s="59" t="s">
        <v>1747</v>
      </c>
    </row>
    <row r="827" spans="1:2" x14ac:dyDescent="0.25">
      <c r="A827" s="59" t="s">
        <v>1748</v>
      </c>
      <c r="B827" s="59" t="s">
        <v>1749</v>
      </c>
    </row>
    <row r="828" spans="1:2" x14ac:dyDescent="0.25">
      <c r="A828" s="59" t="s">
        <v>1750</v>
      </c>
      <c r="B828" s="59" t="s">
        <v>1751</v>
      </c>
    </row>
    <row r="829" spans="1:2" x14ac:dyDescent="0.25">
      <c r="A829" s="59" t="s">
        <v>1752</v>
      </c>
      <c r="B829" s="59" t="s">
        <v>1753</v>
      </c>
    </row>
    <row r="830" spans="1:2" x14ac:dyDescent="0.25">
      <c r="A830" s="59" t="s">
        <v>1754</v>
      </c>
      <c r="B830" s="59" t="s">
        <v>1755</v>
      </c>
    </row>
    <row r="831" spans="1:2" x14ac:dyDescent="0.25">
      <c r="A831" s="59" t="s">
        <v>1756</v>
      </c>
      <c r="B831" s="59" t="s">
        <v>1757</v>
      </c>
    </row>
    <row r="832" spans="1:2" x14ac:dyDescent="0.25">
      <c r="A832" s="59" t="s">
        <v>1758</v>
      </c>
      <c r="B832" s="59" t="s">
        <v>1759</v>
      </c>
    </row>
    <row r="833" spans="1:2" x14ac:dyDescent="0.25">
      <c r="A833" s="59" t="s">
        <v>1760</v>
      </c>
      <c r="B833" s="59" t="s">
        <v>1761</v>
      </c>
    </row>
    <row r="834" spans="1:2" x14ac:dyDescent="0.25">
      <c r="A834" s="59" t="s">
        <v>1762</v>
      </c>
      <c r="B834" s="59" t="s">
        <v>1763</v>
      </c>
    </row>
    <row r="835" spans="1:2" x14ac:dyDescent="0.25">
      <c r="A835" s="59" t="s">
        <v>1764</v>
      </c>
      <c r="B835" s="59" t="s">
        <v>1765</v>
      </c>
    </row>
    <row r="836" spans="1:2" x14ac:dyDescent="0.25">
      <c r="A836" s="59" t="s">
        <v>1766</v>
      </c>
      <c r="B836" s="59" t="s">
        <v>1767</v>
      </c>
    </row>
    <row r="837" spans="1:2" x14ac:dyDescent="0.25">
      <c r="A837" s="59" t="s">
        <v>1768</v>
      </c>
      <c r="B837" s="59" t="s">
        <v>1769</v>
      </c>
    </row>
    <row r="838" spans="1:2" x14ac:dyDescent="0.25">
      <c r="A838" s="59" t="s">
        <v>1770</v>
      </c>
      <c r="B838" s="59" t="s">
        <v>1771</v>
      </c>
    </row>
    <row r="839" spans="1:2" x14ac:dyDescent="0.25">
      <c r="A839" s="59" t="s">
        <v>1772</v>
      </c>
      <c r="B839" s="59" t="s">
        <v>1773</v>
      </c>
    </row>
    <row r="840" spans="1:2" x14ac:dyDescent="0.25">
      <c r="A840" s="59" t="s">
        <v>1774</v>
      </c>
      <c r="B840" s="59" t="s">
        <v>1561</v>
      </c>
    </row>
    <row r="841" spans="1:2" x14ac:dyDescent="0.25">
      <c r="A841" s="59" t="s">
        <v>1775</v>
      </c>
      <c r="B841" s="59" t="s">
        <v>1535</v>
      </c>
    </row>
    <row r="842" spans="1:2" x14ac:dyDescent="0.25">
      <c r="A842" s="59" t="s">
        <v>1776</v>
      </c>
      <c r="B842" s="59" t="s">
        <v>1533</v>
      </c>
    </row>
    <row r="843" spans="1:2" x14ac:dyDescent="0.25">
      <c r="A843" s="59" t="s">
        <v>1777</v>
      </c>
      <c r="B843" s="59" t="s">
        <v>1778</v>
      </c>
    </row>
    <row r="844" spans="1:2" x14ac:dyDescent="0.25">
      <c r="A844" s="59" t="s">
        <v>1779</v>
      </c>
      <c r="B844" s="59" t="s">
        <v>1780</v>
      </c>
    </row>
    <row r="845" spans="1:2" x14ac:dyDescent="0.25">
      <c r="A845" s="59" t="s">
        <v>1781</v>
      </c>
      <c r="B845" s="59" t="s">
        <v>1782</v>
      </c>
    </row>
    <row r="846" spans="1:2" x14ac:dyDescent="0.25">
      <c r="A846" s="59" t="s">
        <v>1783</v>
      </c>
      <c r="B846" s="59" t="s">
        <v>1784</v>
      </c>
    </row>
    <row r="847" spans="1:2" x14ac:dyDescent="0.25">
      <c r="A847" s="59" t="s">
        <v>1785</v>
      </c>
      <c r="B847" s="59" t="s">
        <v>1786</v>
      </c>
    </row>
    <row r="848" spans="1:2" x14ac:dyDescent="0.25">
      <c r="A848" s="59" t="s">
        <v>1787</v>
      </c>
      <c r="B848" s="59" t="s">
        <v>1788</v>
      </c>
    </row>
    <row r="849" spans="1:2" x14ac:dyDescent="0.25">
      <c r="A849" s="59" t="s">
        <v>1789</v>
      </c>
      <c r="B849" s="59" t="s">
        <v>1790</v>
      </c>
    </row>
    <row r="850" spans="1:2" x14ac:dyDescent="0.25">
      <c r="A850" s="59" t="s">
        <v>1791</v>
      </c>
      <c r="B850" s="59" t="s">
        <v>1792</v>
      </c>
    </row>
    <row r="851" spans="1:2" x14ac:dyDescent="0.25">
      <c r="A851" s="59" t="s">
        <v>1793</v>
      </c>
      <c r="B851" s="59" t="s">
        <v>1794</v>
      </c>
    </row>
    <row r="852" spans="1:2" x14ac:dyDescent="0.25">
      <c r="A852" s="59" t="s">
        <v>1795</v>
      </c>
      <c r="B852" s="59" t="s">
        <v>1796</v>
      </c>
    </row>
    <row r="853" spans="1:2" x14ac:dyDescent="0.25">
      <c r="A853" s="59" t="s">
        <v>1797</v>
      </c>
      <c r="B853" s="59" t="s">
        <v>1798</v>
      </c>
    </row>
    <row r="854" spans="1:2" x14ac:dyDescent="0.25">
      <c r="A854" s="59" t="s">
        <v>1799</v>
      </c>
      <c r="B854" s="59" t="s">
        <v>1800</v>
      </c>
    </row>
    <row r="855" spans="1:2" x14ac:dyDescent="0.25">
      <c r="A855" s="59" t="s">
        <v>1801</v>
      </c>
      <c r="B855" s="59" t="s">
        <v>1802</v>
      </c>
    </row>
    <row r="856" spans="1:2" x14ac:dyDescent="0.25">
      <c r="A856" s="59" t="s">
        <v>1803</v>
      </c>
      <c r="B856" s="59" t="s">
        <v>1804</v>
      </c>
    </row>
    <row r="857" spans="1:2" x14ac:dyDescent="0.25">
      <c r="A857" s="59" t="s">
        <v>1805</v>
      </c>
      <c r="B857" s="59" t="s">
        <v>1806</v>
      </c>
    </row>
    <row r="858" spans="1:2" x14ac:dyDescent="0.25">
      <c r="A858" s="59" t="s">
        <v>1807</v>
      </c>
      <c r="B858" s="59" t="s">
        <v>1808</v>
      </c>
    </row>
    <row r="859" spans="1:2" x14ac:dyDescent="0.25">
      <c r="A859" s="59" t="s">
        <v>1809</v>
      </c>
      <c r="B859" s="59" t="s">
        <v>1810</v>
      </c>
    </row>
    <row r="860" spans="1:2" x14ac:dyDescent="0.25">
      <c r="A860" s="59" t="s">
        <v>1811</v>
      </c>
      <c r="B860" s="59" t="s">
        <v>1812</v>
      </c>
    </row>
    <row r="861" spans="1:2" x14ac:dyDescent="0.25">
      <c r="A861" s="59" t="s">
        <v>1813</v>
      </c>
      <c r="B861" s="59" t="s">
        <v>1814</v>
      </c>
    </row>
    <row r="862" spans="1:2" x14ac:dyDescent="0.25">
      <c r="A862" s="59" t="s">
        <v>1815</v>
      </c>
      <c r="B862" s="59" t="s">
        <v>1816</v>
      </c>
    </row>
    <row r="863" spans="1:2" x14ac:dyDescent="0.25">
      <c r="A863" s="59" t="s">
        <v>1817</v>
      </c>
      <c r="B863" s="59" t="s">
        <v>1118</v>
      </c>
    </row>
    <row r="864" spans="1:2" x14ac:dyDescent="0.25">
      <c r="A864" s="59" t="s">
        <v>1818</v>
      </c>
      <c r="B864" s="59" t="s">
        <v>1819</v>
      </c>
    </row>
    <row r="865" spans="1:2" x14ac:dyDescent="0.25">
      <c r="A865" s="59" t="s">
        <v>1820</v>
      </c>
      <c r="B865" s="59" t="s">
        <v>1821</v>
      </c>
    </row>
    <row r="866" spans="1:2" x14ac:dyDescent="0.25">
      <c r="A866" s="59" t="s">
        <v>1822</v>
      </c>
      <c r="B866" s="59" t="s">
        <v>1823</v>
      </c>
    </row>
    <row r="867" spans="1:2" x14ac:dyDescent="0.25">
      <c r="A867" s="59" t="s">
        <v>1824</v>
      </c>
      <c r="B867" s="59" t="s">
        <v>1825</v>
      </c>
    </row>
    <row r="868" spans="1:2" x14ac:dyDescent="0.25">
      <c r="A868" s="59" t="s">
        <v>1826</v>
      </c>
      <c r="B868" s="59" t="s">
        <v>1827</v>
      </c>
    </row>
    <row r="869" spans="1:2" x14ac:dyDescent="0.25">
      <c r="A869" s="59" t="s">
        <v>1828</v>
      </c>
      <c r="B869" s="59" t="s">
        <v>1829</v>
      </c>
    </row>
    <row r="870" spans="1:2" x14ac:dyDescent="0.25">
      <c r="A870" s="59" t="s">
        <v>1830</v>
      </c>
      <c r="B870" s="59" t="s">
        <v>1831</v>
      </c>
    </row>
    <row r="871" spans="1:2" x14ac:dyDescent="0.25">
      <c r="A871" s="59" t="s">
        <v>1832</v>
      </c>
      <c r="B871" s="59" t="s">
        <v>1833</v>
      </c>
    </row>
    <row r="872" spans="1:2" x14ac:dyDescent="0.25">
      <c r="A872" s="59" t="s">
        <v>1834</v>
      </c>
      <c r="B872" s="59" t="s">
        <v>1835</v>
      </c>
    </row>
    <row r="873" spans="1:2" x14ac:dyDescent="0.25">
      <c r="A873" s="59" t="s">
        <v>1836</v>
      </c>
      <c r="B873" s="59" t="s">
        <v>1837</v>
      </c>
    </row>
    <row r="874" spans="1:2" x14ac:dyDescent="0.25">
      <c r="A874" s="59" t="s">
        <v>1838</v>
      </c>
      <c r="B874" s="59" t="s">
        <v>1839</v>
      </c>
    </row>
    <row r="875" spans="1:2" x14ac:dyDescent="0.25">
      <c r="A875" s="59" t="s">
        <v>1840</v>
      </c>
      <c r="B875" s="59" t="s">
        <v>823</v>
      </c>
    </row>
    <row r="876" spans="1:2" x14ac:dyDescent="0.25">
      <c r="A876" s="59" t="s">
        <v>1841</v>
      </c>
      <c r="B876" s="59" t="s">
        <v>1842</v>
      </c>
    </row>
    <row r="877" spans="1:2" x14ac:dyDescent="0.25">
      <c r="A877" s="59" t="s">
        <v>1843</v>
      </c>
      <c r="B877" s="59" t="s">
        <v>1844</v>
      </c>
    </row>
    <row r="878" spans="1:2" x14ac:dyDescent="0.25">
      <c r="A878" s="59" t="s">
        <v>1845</v>
      </c>
      <c r="B878" s="59" t="s">
        <v>1846</v>
      </c>
    </row>
    <row r="879" spans="1:2" x14ac:dyDescent="0.25">
      <c r="A879" s="59" t="s">
        <v>1847</v>
      </c>
      <c r="B879" s="59" t="s">
        <v>1848</v>
      </c>
    </row>
    <row r="880" spans="1:2" x14ac:dyDescent="0.25">
      <c r="A880" s="59" t="s">
        <v>1849</v>
      </c>
      <c r="B880" s="59" t="s">
        <v>1850</v>
      </c>
    </row>
    <row r="881" spans="1:2" x14ac:dyDescent="0.25">
      <c r="A881" s="59" t="s">
        <v>1851</v>
      </c>
      <c r="B881" s="59" t="s">
        <v>1213</v>
      </c>
    </row>
    <row r="882" spans="1:2" x14ac:dyDescent="0.25">
      <c r="A882" s="59" t="s">
        <v>1852</v>
      </c>
      <c r="B882" s="59" t="s">
        <v>1853</v>
      </c>
    </row>
    <row r="883" spans="1:2" x14ac:dyDescent="0.25">
      <c r="A883" s="59" t="s">
        <v>1854</v>
      </c>
      <c r="B883" s="59" t="s">
        <v>1855</v>
      </c>
    </row>
    <row r="884" spans="1:2" x14ac:dyDescent="0.25">
      <c r="A884" s="59" t="s">
        <v>1856</v>
      </c>
      <c r="B884" s="59" t="s">
        <v>1226</v>
      </c>
    </row>
    <row r="885" spans="1:2" x14ac:dyDescent="0.25">
      <c r="A885" s="59" t="s">
        <v>1857</v>
      </c>
      <c r="B885" s="59" t="s">
        <v>1858</v>
      </c>
    </row>
    <row r="886" spans="1:2" x14ac:dyDescent="0.25">
      <c r="A886" s="59" t="s">
        <v>1859</v>
      </c>
      <c r="B886" s="59" t="s">
        <v>1860</v>
      </c>
    </row>
    <row r="887" spans="1:2" x14ac:dyDescent="0.25">
      <c r="A887" s="59" t="s">
        <v>1861</v>
      </c>
      <c r="B887" s="59" t="s">
        <v>1862</v>
      </c>
    </row>
    <row r="888" spans="1:2" x14ac:dyDescent="0.25">
      <c r="A888" s="59" t="s">
        <v>1863</v>
      </c>
      <c r="B888" s="59" t="s">
        <v>1864</v>
      </c>
    </row>
    <row r="889" spans="1:2" x14ac:dyDescent="0.25">
      <c r="A889" s="59" t="s">
        <v>1865</v>
      </c>
      <c r="B889" s="59" t="s">
        <v>1866</v>
      </c>
    </row>
    <row r="890" spans="1:2" x14ac:dyDescent="0.25">
      <c r="A890" s="59" t="s">
        <v>1867</v>
      </c>
      <c r="B890" s="59" t="s">
        <v>1868</v>
      </c>
    </row>
    <row r="891" spans="1:2" x14ac:dyDescent="0.25">
      <c r="A891" s="59" t="s">
        <v>1869</v>
      </c>
      <c r="B891" s="59" t="s">
        <v>1870</v>
      </c>
    </row>
    <row r="892" spans="1:2" x14ac:dyDescent="0.25">
      <c r="A892" s="59" t="s">
        <v>1871</v>
      </c>
      <c r="B892" s="59" t="s">
        <v>1872</v>
      </c>
    </row>
    <row r="893" spans="1:2" x14ac:dyDescent="0.25">
      <c r="A893" s="59" t="s">
        <v>1873</v>
      </c>
      <c r="B893" s="59" t="s">
        <v>1874</v>
      </c>
    </row>
    <row r="894" spans="1:2" x14ac:dyDescent="0.25">
      <c r="A894" s="59" t="s">
        <v>1875</v>
      </c>
      <c r="B894" s="59" t="s">
        <v>1876</v>
      </c>
    </row>
    <row r="895" spans="1:2" x14ac:dyDescent="0.25">
      <c r="A895" s="59" t="s">
        <v>1877</v>
      </c>
      <c r="B895" s="59" t="s">
        <v>1878</v>
      </c>
    </row>
    <row r="896" spans="1:2" x14ac:dyDescent="0.25">
      <c r="A896" s="59" t="s">
        <v>1879</v>
      </c>
      <c r="B896" s="59" t="s">
        <v>1880</v>
      </c>
    </row>
    <row r="897" spans="1:2" x14ac:dyDescent="0.25">
      <c r="A897" s="59" t="s">
        <v>1881</v>
      </c>
      <c r="B897" s="59" t="s">
        <v>1866</v>
      </c>
    </row>
    <row r="898" spans="1:2" x14ac:dyDescent="0.25">
      <c r="A898" s="59" t="s">
        <v>1882</v>
      </c>
      <c r="B898" s="59" t="s">
        <v>1883</v>
      </c>
    </row>
    <row r="899" spans="1:2" x14ac:dyDescent="0.25">
      <c r="A899" s="59" t="s">
        <v>1884</v>
      </c>
      <c r="B899" s="59" t="s">
        <v>1885</v>
      </c>
    </row>
    <row r="900" spans="1:2" x14ac:dyDescent="0.25">
      <c r="A900" s="59" t="s">
        <v>1886</v>
      </c>
      <c r="B900" s="59" t="s">
        <v>1887</v>
      </c>
    </row>
    <row r="901" spans="1:2" x14ac:dyDescent="0.25">
      <c r="A901" s="59" t="s">
        <v>1888</v>
      </c>
      <c r="B901" s="59" t="s">
        <v>1889</v>
      </c>
    </row>
    <row r="902" spans="1:2" x14ac:dyDescent="0.25">
      <c r="A902" s="59" t="s">
        <v>1890</v>
      </c>
      <c r="B902" s="59" t="s">
        <v>1891</v>
      </c>
    </row>
    <row r="903" spans="1:2" x14ac:dyDescent="0.25">
      <c r="A903" s="59" t="s">
        <v>1892</v>
      </c>
      <c r="B903" s="59" t="s">
        <v>1893</v>
      </c>
    </row>
    <row r="904" spans="1:2" x14ac:dyDescent="0.25">
      <c r="A904" s="59" t="s">
        <v>1894</v>
      </c>
      <c r="B904" s="59" t="s">
        <v>1872</v>
      </c>
    </row>
    <row r="905" spans="1:2" x14ac:dyDescent="0.25">
      <c r="A905" s="59" t="s">
        <v>1895</v>
      </c>
      <c r="B905" s="59" t="s">
        <v>1896</v>
      </c>
    </row>
    <row r="906" spans="1:2" x14ac:dyDescent="0.25">
      <c r="A906" s="59" t="s">
        <v>1897</v>
      </c>
      <c r="B906" s="59" t="s">
        <v>1898</v>
      </c>
    </row>
    <row r="907" spans="1:2" x14ac:dyDescent="0.25">
      <c r="A907" s="59" t="s">
        <v>1899</v>
      </c>
      <c r="B907" s="59" t="s">
        <v>1900</v>
      </c>
    </row>
    <row r="908" spans="1:2" x14ac:dyDescent="0.25">
      <c r="A908" s="59" t="s">
        <v>1901</v>
      </c>
      <c r="B908" s="59" t="s">
        <v>1902</v>
      </c>
    </row>
    <row r="909" spans="1:2" x14ac:dyDescent="0.25">
      <c r="A909" s="59" t="s">
        <v>1903</v>
      </c>
      <c r="B909" s="59" t="s">
        <v>1904</v>
      </c>
    </row>
    <row r="910" spans="1:2" x14ac:dyDescent="0.25">
      <c r="A910" s="59" t="s">
        <v>1905</v>
      </c>
      <c r="B910" s="59" t="s">
        <v>1906</v>
      </c>
    </row>
    <row r="911" spans="1:2" x14ac:dyDescent="0.25">
      <c r="A911" s="59" t="s">
        <v>1907</v>
      </c>
      <c r="B911" s="59" t="s">
        <v>1842</v>
      </c>
    </row>
    <row r="912" spans="1:2" x14ac:dyDescent="0.25">
      <c r="A912" s="59" t="s">
        <v>1908</v>
      </c>
      <c r="B912" s="59" t="s">
        <v>1909</v>
      </c>
    </row>
    <row r="913" spans="1:2" x14ac:dyDescent="0.25">
      <c r="A913" s="59" t="s">
        <v>1910</v>
      </c>
      <c r="B913" s="59" t="s">
        <v>1911</v>
      </c>
    </row>
    <row r="914" spans="1:2" x14ac:dyDescent="0.25">
      <c r="A914" s="59" t="s">
        <v>1912</v>
      </c>
      <c r="B914" s="59" t="s">
        <v>1913</v>
      </c>
    </row>
    <row r="915" spans="1:2" x14ac:dyDescent="0.25">
      <c r="A915" s="59" t="s">
        <v>1914</v>
      </c>
      <c r="B915" s="59" t="s">
        <v>1915</v>
      </c>
    </row>
    <row r="916" spans="1:2" x14ac:dyDescent="0.25">
      <c r="A916" s="59" t="s">
        <v>1916</v>
      </c>
      <c r="B916" s="59" t="s">
        <v>1917</v>
      </c>
    </row>
    <row r="917" spans="1:2" x14ac:dyDescent="0.25">
      <c r="A917" s="59" t="s">
        <v>1918</v>
      </c>
      <c r="B917" s="59" t="s">
        <v>1911</v>
      </c>
    </row>
    <row r="918" spans="1:2" x14ac:dyDescent="0.25">
      <c r="A918" s="59" t="s">
        <v>1919</v>
      </c>
      <c r="B918" s="59" t="s">
        <v>1920</v>
      </c>
    </row>
    <row r="919" spans="1:2" x14ac:dyDescent="0.25">
      <c r="A919" s="59" t="s">
        <v>1921</v>
      </c>
      <c r="B919" s="59" t="s">
        <v>1922</v>
      </c>
    </row>
    <row r="920" spans="1:2" x14ac:dyDescent="0.25">
      <c r="A920" s="59" t="s">
        <v>1923</v>
      </c>
      <c r="B920" s="59" t="s">
        <v>1924</v>
      </c>
    </row>
    <row r="921" spans="1:2" x14ac:dyDescent="0.25">
      <c r="A921" s="59" t="s">
        <v>1925</v>
      </c>
      <c r="B921" s="59" t="s">
        <v>1926</v>
      </c>
    </row>
    <row r="922" spans="1:2" x14ac:dyDescent="0.25">
      <c r="A922" s="59" t="s">
        <v>1927</v>
      </c>
      <c r="B922" s="59" t="s">
        <v>1928</v>
      </c>
    </row>
    <row r="923" spans="1:2" x14ac:dyDescent="0.25">
      <c r="A923" s="59" t="s">
        <v>1929</v>
      </c>
      <c r="B923" s="59" t="s">
        <v>1930</v>
      </c>
    </row>
    <row r="924" spans="1:2" x14ac:dyDescent="0.25">
      <c r="A924" s="59" t="s">
        <v>1931</v>
      </c>
      <c r="B924" s="59" t="s">
        <v>1932</v>
      </c>
    </row>
    <row r="925" spans="1:2" x14ac:dyDescent="0.25">
      <c r="A925" s="59" t="s">
        <v>1933</v>
      </c>
      <c r="B925" s="59" t="s">
        <v>1934</v>
      </c>
    </row>
    <row r="926" spans="1:2" x14ac:dyDescent="0.25">
      <c r="A926" s="59" t="s">
        <v>1935</v>
      </c>
      <c r="B926" s="59" t="s">
        <v>1936</v>
      </c>
    </row>
    <row r="927" spans="1:2" x14ac:dyDescent="0.25">
      <c r="A927" s="59" t="s">
        <v>1937</v>
      </c>
      <c r="B927" s="59" t="s">
        <v>1938</v>
      </c>
    </row>
    <row r="928" spans="1:2" x14ac:dyDescent="0.25">
      <c r="A928" s="59" t="s">
        <v>1939</v>
      </c>
      <c r="B928" s="59" t="s">
        <v>1940</v>
      </c>
    </row>
    <row r="929" spans="1:2" x14ac:dyDescent="0.25">
      <c r="A929" s="59" t="s">
        <v>1941</v>
      </c>
      <c r="B929" s="59" t="s">
        <v>1942</v>
      </c>
    </row>
    <row r="930" spans="1:2" x14ac:dyDescent="0.25">
      <c r="A930" s="59" t="s">
        <v>1943</v>
      </c>
      <c r="B930" s="59" t="s">
        <v>1944</v>
      </c>
    </row>
    <row r="931" spans="1:2" x14ac:dyDescent="0.25">
      <c r="A931" s="59" t="s">
        <v>1945</v>
      </c>
      <c r="B931" s="59" t="s">
        <v>1946</v>
      </c>
    </row>
    <row r="932" spans="1:2" x14ac:dyDescent="0.25">
      <c r="A932" s="59" t="s">
        <v>1947</v>
      </c>
      <c r="B932" s="59" t="s">
        <v>1948</v>
      </c>
    </row>
    <row r="933" spans="1:2" x14ac:dyDescent="0.25">
      <c r="A933" s="59" t="s">
        <v>1949</v>
      </c>
      <c r="B933" s="59" t="s">
        <v>1909</v>
      </c>
    </row>
    <row r="934" spans="1:2" x14ac:dyDescent="0.25">
      <c r="A934" s="59" t="s">
        <v>1950</v>
      </c>
      <c r="B934" s="59" t="s">
        <v>1951</v>
      </c>
    </row>
    <row r="935" spans="1:2" x14ac:dyDescent="0.25">
      <c r="A935" s="59" t="s">
        <v>1952</v>
      </c>
      <c r="B935" s="59" t="s">
        <v>1953</v>
      </c>
    </row>
    <row r="936" spans="1:2" x14ac:dyDescent="0.25">
      <c r="A936" s="59" t="s">
        <v>1954</v>
      </c>
      <c r="B936" s="59" t="s">
        <v>1911</v>
      </c>
    </row>
    <row r="937" spans="1:2" x14ac:dyDescent="0.25">
      <c r="A937" s="59" t="s">
        <v>1955</v>
      </c>
      <c r="B937" s="59" t="s">
        <v>1953</v>
      </c>
    </row>
    <row r="938" spans="1:2" x14ac:dyDescent="0.25">
      <c r="A938" s="59" t="s">
        <v>1956</v>
      </c>
      <c r="B938" s="59" t="s">
        <v>1915</v>
      </c>
    </row>
    <row r="939" spans="1:2" x14ac:dyDescent="0.25">
      <c r="A939" s="59" t="s">
        <v>1957</v>
      </c>
      <c r="B939" s="59" t="s">
        <v>1958</v>
      </c>
    </row>
    <row r="940" spans="1:2" x14ac:dyDescent="0.25">
      <c r="A940" s="59" t="s">
        <v>1959</v>
      </c>
      <c r="B940" s="59" t="s">
        <v>1960</v>
      </c>
    </row>
    <row r="941" spans="1:2" x14ac:dyDescent="0.25">
      <c r="A941" s="59" t="s">
        <v>1961</v>
      </c>
      <c r="B941" s="59" t="s">
        <v>1962</v>
      </c>
    </row>
    <row r="942" spans="1:2" x14ac:dyDescent="0.25">
      <c r="A942" s="59" t="s">
        <v>1963</v>
      </c>
      <c r="B942" s="59" t="s">
        <v>1964</v>
      </c>
    </row>
    <row r="943" spans="1:2" x14ac:dyDescent="0.25">
      <c r="A943" s="59" t="s">
        <v>1965</v>
      </c>
      <c r="B943" s="59" t="s">
        <v>1966</v>
      </c>
    </row>
    <row r="944" spans="1:2" x14ac:dyDescent="0.25">
      <c r="A944" s="59" t="s">
        <v>1967</v>
      </c>
      <c r="B944" s="59" t="s">
        <v>1968</v>
      </c>
    </row>
    <row r="945" spans="1:2" x14ac:dyDescent="0.25">
      <c r="A945" s="59" t="s">
        <v>1969</v>
      </c>
      <c r="B945" s="59" t="s">
        <v>1940</v>
      </c>
    </row>
    <row r="946" spans="1:2" x14ac:dyDescent="0.25">
      <c r="A946" s="59" t="s">
        <v>1970</v>
      </c>
      <c r="B946" s="59" t="s">
        <v>1971</v>
      </c>
    </row>
    <row r="947" spans="1:2" x14ac:dyDescent="0.25">
      <c r="A947" s="59" t="s">
        <v>1972</v>
      </c>
      <c r="B947" s="59" t="s">
        <v>1930</v>
      </c>
    </row>
    <row r="948" spans="1:2" x14ac:dyDescent="0.25">
      <c r="A948" s="59" t="s">
        <v>1973</v>
      </c>
      <c r="B948" s="59" t="s">
        <v>1974</v>
      </c>
    </row>
    <row r="949" spans="1:2" x14ac:dyDescent="0.25">
      <c r="A949" s="59" t="s">
        <v>1975</v>
      </c>
      <c r="B949" s="59" t="s">
        <v>1976</v>
      </c>
    </row>
    <row r="950" spans="1:2" x14ac:dyDescent="0.25">
      <c r="A950" s="59" t="s">
        <v>1977</v>
      </c>
      <c r="B950" s="59" t="s">
        <v>1978</v>
      </c>
    </row>
    <row r="951" spans="1:2" x14ac:dyDescent="0.25">
      <c r="A951" s="59" t="s">
        <v>1979</v>
      </c>
      <c r="B951" s="59" t="s">
        <v>1160</v>
      </c>
    </row>
    <row r="952" spans="1:2" x14ac:dyDescent="0.25">
      <c r="A952" s="59" t="s">
        <v>1980</v>
      </c>
      <c r="B952" s="59" t="s">
        <v>1981</v>
      </c>
    </row>
    <row r="953" spans="1:2" x14ac:dyDescent="0.25">
      <c r="A953" s="59" t="s">
        <v>1982</v>
      </c>
      <c r="B953" s="59" t="s">
        <v>819</v>
      </c>
    </row>
    <row r="954" spans="1:2" x14ac:dyDescent="0.25">
      <c r="A954" s="59" t="s">
        <v>1983</v>
      </c>
      <c r="B954" s="59" t="s">
        <v>1984</v>
      </c>
    </row>
    <row r="955" spans="1:2" x14ac:dyDescent="0.25">
      <c r="A955" s="59" t="s">
        <v>1985</v>
      </c>
      <c r="B955" s="59" t="s">
        <v>1986</v>
      </c>
    </row>
    <row r="956" spans="1:2" x14ac:dyDescent="0.25">
      <c r="A956" s="59" t="s">
        <v>1987</v>
      </c>
      <c r="B956" s="59" t="s">
        <v>1988</v>
      </c>
    </row>
    <row r="957" spans="1:2" x14ac:dyDescent="0.25">
      <c r="A957" s="59" t="s">
        <v>1989</v>
      </c>
      <c r="B957" s="59" t="s">
        <v>1490</v>
      </c>
    </row>
    <row r="958" spans="1:2" x14ac:dyDescent="0.25">
      <c r="A958" s="59" t="s">
        <v>1990</v>
      </c>
      <c r="B958" s="59" t="s">
        <v>1991</v>
      </c>
    </row>
    <row r="959" spans="1:2" x14ac:dyDescent="0.25">
      <c r="A959" s="59" t="s">
        <v>1992</v>
      </c>
      <c r="B959" s="59" t="s">
        <v>1993</v>
      </c>
    </row>
    <row r="960" spans="1:2" x14ac:dyDescent="0.25">
      <c r="A960" s="59" t="s">
        <v>1994</v>
      </c>
      <c r="B960" s="59" t="s">
        <v>1995</v>
      </c>
    </row>
    <row r="961" spans="1:2" x14ac:dyDescent="0.25">
      <c r="A961" s="59" t="s">
        <v>1996</v>
      </c>
      <c r="B961" s="59" t="s">
        <v>1997</v>
      </c>
    </row>
    <row r="962" spans="1:2" x14ac:dyDescent="0.25">
      <c r="A962" s="59" t="s">
        <v>1998</v>
      </c>
      <c r="B962" s="59" t="s">
        <v>1999</v>
      </c>
    </row>
    <row r="963" spans="1:2" x14ac:dyDescent="0.25">
      <c r="A963" s="59" t="s">
        <v>2000</v>
      </c>
      <c r="B963" s="59" t="s">
        <v>2001</v>
      </c>
    </row>
    <row r="964" spans="1:2" x14ac:dyDescent="0.25">
      <c r="A964" s="59" t="s">
        <v>2002</v>
      </c>
      <c r="B964" s="59" t="s">
        <v>2003</v>
      </c>
    </row>
    <row r="965" spans="1:2" x14ac:dyDescent="0.25">
      <c r="A965" s="59" t="s">
        <v>2004</v>
      </c>
      <c r="B965" s="59" t="s">
        <v>2005</v>
      </c>
    </row>
    <row r="966" spans="1:2" x14ac:dyDescent="0.25">
      <c r="A966" s="59" t="s">
        <v>2006</v>
      </c>
      <c r="B966" s="59" t="s">
        <v>2007</v>
      </c>
    </row>
    <row r="967" spans="1:2" x14ac:dyDescent="0.25">
      <c r="A967" s="59" t="s">
        <v>2008</v>
      </c>
      <c r="B967" s="59" t="s">
        <v>2009</v>
      </c>
    </row>
    <row r="968" spans="1:2" x14ac:dyDescent="0.25">
      <c r="A968" s="59" t="s">
        <v>2010</v>
      </c>
      <c r="B968" s="59" t="s">
        <v>2011</v>
      </c>
    </row>
    <row r="969" spans="1:2" x14ac:dyDescent="0.25">
      <c r="A969" s="59" t="s">
        <v>2012</v>
      </c>
      <c r="B969" s="59" t="s">
        <v>1819</v>
      </c>
    </row>
    <row r="970" spans="1:2" x14ac:dyDescent="0.25">
      <c r="A970" s="59" t="s">
        <v>2013</v>
      </c>
      <c r="B970" s="59" t="s">
        <v>2014</v>
      </c>
    </row>
    <row r="971" spans="1:2" x14ac:dyDescent="0.25">
      <c r="A971" s="59" t="s">
        <v>2015</v>
      </c>
      <c r="B971" s="59" t="s">
        <v>2016</v>
      </c>
    </row>
    <row r="972" spans="1:2" x14ac:dyDescent="0.25">
      <c r="A972" s="59" t="s">
        <v>2017</v>
      </c>
      <c r="B972" s="59" t="s">
        <v>2018</v>
      </c>
    </row>
    <row r="973" spans="1:2" x14ac:dyDescent="0.25">
      <c r="A973" s="59" t="s">
        <v>2019</v>
      </c>
      <c r="B973" s="59" t="s">
        <v>1816</v>
      </c>
    </row>
    <row r="974" spans="1:2" x14ac:dyDescent="0.25">
      <c r="A974" s="59" t="s">
        <v>2020</v>
      </c>
      <c r="B974" s="59" t="s">
        <v>1814</v>
      </c>
    </row>
    <row r="975" spans="1:2" x14ac:dyDescent="0.25">
      <c r="A975" s="59" t="s">
        <v>2021</v>
      </c>
      <c r="B975" s="59" t="s">
        <v>2022</v>
      </c>
    </row>
    <row r="976" spans="1:2" x14ac:dyDescent="0.25">
      <c r="A976" s="59" t="s">
        <v>2023</v>
      </c>
      <c r="B976" s="59" t="s">
        <v>2024</v>
      </c>
    </row>
    <row r="977" spans="1:2" x14ac:dyDescent="0.25">
      <c r="A977" s="59" t="s">
        <v>2025</v>
      </c>
      <c r="B977" s="59" t="s">
        <v>2026</v>
      </c>
    </row>
    <row r="978" spans="1:2" x14ac:dyDescent="0.25">
      <c r="A978" s="59" t="s">
        <v>2027</v>
      </c>
      <c r="B978" s="59" t="s">
        <v>2028</v>
      </c>
    </row>
    <row r="979" spans="1:2" x14ac:dyDescent="0.25">
      <c r="A979" s="59" t="s">
        <v>2029</v>
      </c>
      <c r="B979" s="59" t="s">
        <v>2030</v>
      </c>
    </row>
    <row r="980" spans="1:2" x14ac:dyDescent="0.25">
      <c r="A980" s="59" t="s">
        <v>2031</v>
      </c>
      <c r="B980" s="59" t="s">
        <v>2032</v>
      </c>
    </row>
    <row r="981" spans="1:2" x14ac:dyDescent="0.25">
      <c r="A981" s="59" t="s">
        <v>2033</v>
      </c>
      <c r="B981" s="59" t="s">
        <v>2034</v>
      </c>
    </row>
    <row r="982" spans="1:2" x14ac:dyDescent="0.25">
      <c r="A982" s="59" t="s">
        <v>2035</v>
      </c>
      <c r="B982" s="59" t="s">
        <v>2036</v>
      </c>
    </row>
    <row r="983" spans="1:2" x14ac:dyDescent="0.25">
      <c r="A983" s="59" t="s">
        <v>2037</v>
      </c>
      <c r="B983" s="59" t="s">
        <v>2038</v>
      </c>
    </row>
    <row r="984" spans="1:2" x14ac:dyDescent="0.25">
      <c r="A984" s="59" t="s">
        <v>2039</v>
      </c>
      <c r="B984" s="59" t="s">
        <v>2040</v>
      </c>
    </row>
    <row r="985" spans="1:2" x14ac:dyDescent="0.25">
      <c r="A985" s="59" t="s">
        <v>2041</v>
      </c>
      <c r="B985" s="59" t="s">
        <v>2042</v>
      </c>
    </row>
    <row r="986" spans="1:2" x14ac:dyDescent="0.25">
      <c r="A986" s="59" t="s">
        <v>2043</v>
      </c>
      <c r="B986" s="59" t="s">
        <v>2044</v>
      </c>
    </row>
    <row r="987" spans="1:2" x14ac:dyDescent="0.25">
      <c r="A987" s="59" t="s">
        <v>2045</v>
      </c>
      <c r="B987" s="59" t="s">
        <v>2046</v>
      </c>
    </row>
    <row r="988" spans="1:2" x14ac:dyDescent="0.25">
      <c r="A988" s="59" t="s">
        <v>2047</v>
      </c>
      <c r="B988" s="59" t="s">
        <v>1513</v>
      </c>
    </row>
    <row r="989" spans="1:2" x14ac:dyDescent="0.25">
      <c r="A989" s="59" t="s">
        <v>2048</v>
      </c>
      <c r="B989" s="59" t="s">
        <v>2049</v>
      </c>
    </row>
    <row r="990" spans="1:2" x14ac:dyDescent="0.25">
      <c r="A990" s="59" t="s">
        <v>2050</v>
      </c>
      <c r="B990" s="59" t="s">
        <v>2051</v>
      </c>
    </row>
    <row r="991" spans="1:2" x14ac:dyDescent="0.25">
      <c r="A991" s="59" t="s">
        <v>2052</v>
      </c>
      <c r="B991" s="59" t="s">
        <v>2053</v>
      </c>
    </row>
    <row r="992" spans="1:2" x14ac:dyDescent="0.25">
      <c r="A992" s="59" t="s">
        <v>2054</v>
      </c>
      <c r="B992" s="59" t="s">
        <v>2055</v>
      </c>
    </row>
    <row r="993" spans="1:2" x14ac:dyDescent="0.25">
      <c r="A993" s="59" t="s">
        <v>2056</v>
      </c>
      <c r="B993" s="59" t="s">
        <v>2057</v>
      </c>
    </row>
    <row r="994" spans="1:2" x14ac:dyDescent="0.25">
      <c r="A994" s="59" t="s">
        <v>2058</v>
      </c>
      <c r="B994" s="59" t="s">
        <v>2059</v>
      </c>
    </row>
    <row r="995" spans="1:2" x14ac:dyDescent="0.25">
      <c r="A995" s="59" t="s">
        <v>2060</v>
      </c>
      <c r="B995" s="59" t="s">
        <v>1792</v>
      </c>
    </row>
    <row r="996" spans="1:2" x14ac:dyDescent="0.25">
      <c r="A996" s="59" t="s">
        <v>2061</v>
      </c>
      <c r="B996" s="59" t="s">
        <v>2062</v>
      </c>
    </row>
    <row r="997" spans="1:2" x14ac:dyDescent="0.25">
      <c r="A997" s="59" t="s">
        <v>2063</v>
      </c>
      <c r="B997" s="59" t="s">
        <v>2064</v>
      </c>
    </row>
    <row r="998" spans="1:2" x14ac:dyDescent="0.25">
      <c r="A998" s="59" t="s">
        <v>2065</v>
      </c>
      <c r="B998" s="59" t="s">
        <v>2066</v>
      </c>
    </row>
    <row r="999" spans="1:2" x14ac:dyDescent="0.25">
      <c r="A999" s="59" t="s">
        <v>2067</v>
      </c>
      <c r="B999" s="59" t="s">
        <v>2051</v>
      </c>
    </row>
    <row r="1000" spans="1:2" x14ac:dyDescent="0.25">
      <c r="A1000" s="59" t="s">
        <v>2068</v>
      </c>
      <c r="B1000" s="59" t="s">
        <v>2064</v>
      </c>
    </row>
    <row r="1001" spans="1:2" x14ac:dyDescent="0.25">
      <c r="A1001" s="59" t="s">
        <v>2069</v>
      </c>
      <c r="B1001" s="59" t="s">
        <v>2070</v>
      </c>
    </row>
    <row r="1002" spans="1:2" x14ac:dyDescent="0.25">
      <c r="A1002" s="59" t="s">
        <v>2071</v>
      </c>
      <c r="B1002" s="59" t="s">
        <v>2072</v>
      </c>
    </row>
    <row r="1003" spans="1:2" x14ac:dyDescent="0.25">
      <c r="A1003" s="59" t="s">
        <v>2073</v>
      </c>
      <c r="B1003" s="59" t="s">
        <v>2074</v>
      </c>
    </row>
    <row r="1004" spans="1:2" x14ac:dyDescent="0.25">
      <c r="A1004" s="59" t="s">
        <v>2075</v>
      </c>
      <c r="B1004" s="59" t="s">
        <v>2076</v>
      </c>
    </row>
    <row r="1005" spans="1:2" x14ac:dyDescent="0.25">
      <c r="A1005" s="59" t="s">
        <v>2077</v>
      </c>
      <c r="B1005" s="59" t="s">
        <v>2078</v>
      </c>
    </row>
    <row r="1006" spans="1:2" x14ac:dyDescent="0.25">
      <c r="A1006" s="59" t="s">
        <v>2079</v>
      </c>
      <c r="B1006" s="59" t="s">
        <v>1802</v>
      </c>
    </row>
    <row r="1007" spans="1:2" x14ac:dyDescent="0.25">
      <c r="A1007" s="59" t="s">
        <v>2080</v>
      </c>
      <c r="B1007" s="59" t="s">
        <v>2081</v>
      </c>
    </row>
    <row r="1008" spans="1:2" x14ac:dyDescent="0.25">
      <c r="A1008" s="59" t="s">
        <v>2082</v>
      </c>
      <c r="B1008" s="59" t="s">
        <v>1808</v>
      </c>
    </row>
    <row r="1009" spans="1:2" x14ac:dyDescent="0.25">
      <c r="A1009" s="59" t="s">
        <v>2083</v>
      </c>
      <c r="B1009" s="59" t="s">
        <v>1825</v>
      </c>
    </row>
    <row r="1010" spans="1:2" x14ac:dyDescent="0.25">
      <c r="A1010" s="59" t="s">
        <v>2084</v>
      </c>
      <c r="B1010" s="59" t="s">
        <v>2085</v>
      </c>
    </row>
    <row r="1011" spans="1:2" x14ac:dyDescent="0.25">
      <c r="A1011" s="59" t="s">
        <v>2086</v>
      </c>
      <c r="B1011" s="59" t="s">
        <v>2087</v>
      </c>
    </row>
    <row r="1012" spans="1:2" x14ac:dyDescent="0.25">
      <c r="A1012" s="59" t="s">
        <v>2088</v>
      </c>
      <c r="B1012" s="59" t="s">
        <v>2089</v>
      </c>
    </row>
    <row r="1013" spans="1:2" x14ac:dyDescent="0.25">
      <c r="A1013" s="59" t="s">
        <v>2090</v>
      </c>
      <c r="B1013" s="59" t="s">
        <v>2014</v>
      </c>
    </row>
    <row r="1014" spans="1:2" x14ac:dyDescent="0.25">
      <c r="A1014" s="59" t="s">
        <v>2091</v>
      </c>
      <c r="B1014" s="59" t="s">
        <v>2092</v>
      </c>
    </row>
    <row r="1015" spans="1:2" x14ac:dyDescent="0.25">
      <c r="A1015" s="59" t="s">
        <v>2093</v>
      </c>
      <c r="B1015" s="59" t="s">
        <v>2094</v>
      </c>
    </row>
    <row r="1016" spans="1:2" x14ac:dyDescent="0.25">
      <c r="A1016" s="59" t="s">
        <v>2095</v>
      </c>
      <c r="B1016" s="59" t="s">
        <v>2096</v>
      </c>
    </row>
    <row r="1017" spans="1:2" x14ac:dyDescent="0.25">
      <c r="A1017" s="59" t="s">
        <v>2097</v>
      </c>
      <c r="B1017" s="59" t="s">
        <v>2001</v>
      </c>
    </row>
    <row r="1018" spans="1:2" x14ac:dyDescent="0.25">
      <c r="A1018" s="59" t="s">
        <v>2098</v>
      </c>
      <c r="B1018" s="59" t="s">
        <v>2099</v>
      </c>
    </row>
    <row r="1019" spans="1:2" x14ac:dyDescent="0.25">
      <c r="A1019" s="59" t="s">
        <v>2100</v>
      </c>
      <c r="B1019" s="59" t="s">
        <v>2101</v>
      </c>
    </row>
    <row r="1020" spans="1:2" x14ac:dyDescent="0.25">
      <c r="A1020" s="59" t="s">
        <v>2102</v>
      </c>
      <c r="B1020" s="59" t="s">
        <v>2103</v>
      </c>
    </row>
    <row r="1021" spans="1:2" x14ac:dyDescent="0.25">
      <c r="A1021" s="59" t="s">
        <v>2104</v>
      </c>
      <c r="B1021" s="59" t="s">
        <v>2105</v>
      </c>
    </row>
    <row r="1022" spans="1:2" x14ac:dyDescent="0.25">
      <c r="A1022" s="59" t="s">
        <v>2106</v>
      </c>
      <c r="B1022" s="59" t="s">
        <v>2107</v>
      </c>
    </row>
    <row r="1023" spans="1:2" x14ac:dyDescent="0.25">
      <c r="A1023" s="59" t="s">
        <v>2108</v>
      </c>
      <c r="B1023" s="59" t="s">
        <v>2109</v>
      </c>
    </row>
    <row r="1024" spans="1:2" x14ac:dyDescent="0.25">
      <c r="A1024" s="59" t="s">
        <v>2110</v>
      </c>
      <c r="B1024" s="59" t="s">
        <v>2111</v>
      </c>
    </row>
    <row r="1025" spans="1:2" x14ac:dyDescent="0.25">
      <c r="A1025" s="59" t="s">
        <v>2112</v>
      </c>
      <c r="B1025" s="59" t="s">
        <v>2113</v>
      </c>
    </row>
    <row r="1026" spans="1:2" x14ac:dyDescent="0.25">
      <c r="A1026" s="59" t="s">
        <v>2114</v>
      </c>
      <c r="B1026" s="59" t="s">
        <v>2115</v>
      </c>
    </row>
    <row r="1027" spans="1:2" x14ac:dyDescent="0.25">
      <c r="A1027" s="59" t="s">
        <v>2116</v>
      </c>
      <c r="B1027" s="59" t="s">
        <v>2117</v>
      </c>
    </row>
    <row r="1028" spans="1:2" x14ac:dyDescent="0.25">
      <c r="A1028" s="59" t="s">
        <v>2118</v>
      </c>
      <c r="B1028" s="59" t="s">
        <v>2119</v>
      </c>
    </row>
    <row r="1029" spans="1:2" x14ac:dyDescent="0.25">
      <c r="A1029" s="59" t="s">
        <v>2120</v>
      </c>
      <c r="B1029" s="59" t="s">
        <v>2121</v>
      </c>
    </row>
    <row r="1030" spans="1:2" x14ac:dyDescent="0.25">
      <c r="A1030" s="59" t="s">
        <v>2122</v>
      </c>
      <c r="B1030" s="59" t="s">
        <v>2022</v>
      </c>
    </row>
    <row r="1031" spans="1:2" x14ac:dyDescent="0.25">
      <c r="A1031" s="59" t="s">
        <v>2123</v>
      </c>
      <c r="B1031" s="59" t="s">
        <v>2124</v>
      </c>
    </row>
    <row r="1032" spans="1:2" x14ac:dyDescent="0.25">
      <c r="A1032" s="59" t="s">
        <v>2125</v>
      </c>
      <c r="B1032" s="59" t="s">
        <v>2126</v>
      </c>
    </row>
    <row r="1033" spans="1:2" x14ac:dyDescent="0.25">
      <c r="A1033" s="59" t="s">
        <v>2127</v>
      </c>
      <c r="B1033" s="59" t="s">
        <v>2128</v>
      </c>
    </row>
    <row r="1034" spans="1:2" x14ac:dyDescent="0.25">
      <c r="A1034" s="59" t="s">
        <v>2129</v>
      </c>
      <c r="B1034" s="59" t="s">
        <v>2130</v>
      </c>
    </row>
    <row r="1035" spans="1:2" x14ac:dyDescent="0.25">
      <c r="A1035" s="59" t="s">
        <v>2131</v>
      </c>
      <c r="B1035" s="59" t="s">
        <v>1802</v>
      </c>
    </row>
    <row r="1036" spans="1:2" x14ac:dyDescent="0.25">
      <c r="A1036" s="59" t="s">
        <v>2132</v>
      </c>
      <c r="B1036" s="59" t="s">
        <v>2133</v>
      </c>
    </row>
    <row r="1037" spans="1:2" x14ac:dyDescent="0.25">
      <c r="A1037" s="59" t="s">
        <v>2134</v>
      </c>
      <c r="B1037" s="59" t="s">
        <v>2135</v>
      </c>
    </row>
    <row r="1038" spans="1:2" x14ac:dyDescent="0.25">
      <c r="A1038" s="59" t="s">
        <v>2136</v>
      </c>
      <c r="B1038" s="59" t="s">
        <v>2135</v>
      </c>
    </row>
    <row r="1039" spans="1:2" x14ac:dyDescent="0.25">
      <c r="A1039" s="59" t="s">
        <v>2137</v>
      </c>
      <c r="B1039" s="59" t="s">
        <v>1806</v>
      </c>
    </row>
    <row r="1040" spans="1:2" x14ac:dyDescent="0.25">
      <c r="A1040" s="59" t="s">
        <v>2138</v>
      </c>
      <c r="B1040" s="59" t="s">
        <v>813</v>
      </c>
    </row>
    <row r="1041" spans="1:2" x14ac:dyDescent="0.25">
      <c r="A1041" s="59" t="s">
        <v>2139</v>
      </c>
      <c r="B1041" s="59" t="s">
        <v>2140</v>
      </c>
    </row>
    <row r="1042" spans="1:2" x14ac:dyDescent="0.25">
      <c r="A1042" s="59" t="s">
        <v>2141</v>
      </c>
      <c r="B1042" s="59" t="s">
        <v>2142</v>
      </c>
    </row>
    <row r="1043" spans="1:2" x14ac:dyDescent="0.25">
      <c r="A1043" s="59" t="s">
        <v>2143</v>
      </c>
      <c r="B1043" s="59" t="s">
        <v>1150</v>
      </c>
    </row>
    <row r="1044" spans="1:2" x14ac:dyDescent="0.25">
      <c r="A1044" s="59" t="s">
        <v>2144</v>
      </c>
      <c r="B1044" s="59" t="s">
        <v>2145</v>
      </c>
    </row>
    <row r="1045" spans="1:2" x14ac:dyDescent="0.25">
      <c r="A1045" s="59" t="s">
        <v>2146</v>
      </c>
      <c r="B1045" s="59" t="s">
        <v>2147</v>
      </c>
    </row>
    <row r="1046" spans="1:2" x14ac:dyDescent="0.25">
      <c r="A1046" s="59" t="s">
        <v>2148</v>
      </c>
      <c r="B1046" s="59" t="s">
        <v>2149</v>
      </c>
    </row>
    <row r="1047" spans="1:2" x14ac:dyDescent="0.25">
      <c r="A1047" s="59" t="s">
        <v>2150</v>
      </c>
      <c r="B1047" s="59" t="s">
        <v>1144</v>
      </c>
    </row>
    <row r="1048" spans="1:2" x14ac:dyDescent="0.25">
      <c r="A1048" s="59" t="s">
        <v>2151</v>
      </c>
      <c r="B1048" s="59" t="s">
        <v>2152</v>
      </c>
    </row>
    <row r="1049" spans="1:2" x14ac:dyDescent="0.25">
      <c r="A1049" s="59" t="s">
        <v>2153</v>
      </c>
      <c r="B1049" s="59" t="s">
        <v>2154</v>
      </c>
    </row>
    <row r="1050" spans="1:2" x14ac:dyDescent="0.25">
      <c r="A1050" s="59" t="s">
        <v>2155</v>
      </c>
      <c r="B1050" s="59" t="s">
        <v>2156</v>
      </c>
    </row>
    <row r="1051" spans="1:2" x14ac:dyDescent="0.25">
      <c r="A1051" s="59" t="s">
        <v>2157</v>
      </c>
      <c r="B1051" s="59" t="s">
        <v>2158</v>
      </c>
    </row>
    <row r="1052" spans="1:2" x14ac:dyDescent="0.25">
      <c r="A1052" s="59" t="s">
        <v>2159</v>
      </c>
      <c r="B1052" s="59" t="s">
        <v>2160</v>
      </c>
    </row>
    <row r="1053" spans="1:2" x14ac:dyDescent="0.25">
      <c r="A1053" s="59" t="s">
        <v>2161</v>
      </c>
      <c r="B1053" s="59" t="s">
        <v>2162</v>
      </c>
    </row>
    <row r="1054" spans="1:2" x14ac:dyDescent="0.25">
      <c r="A1054" s="59" t="s">
        <v>2163</v>
      </c>
      <c r="B1054" s="59" t="s">
        <v>2164</v>
      </c>
    </row>
    <row r="1055" spans="1:2" x14ac:dyDescent="0.25">
      <c r="A1055" s="59" t="s">
        <v>2165</v>
      </c>
      <c r="B1055" s="59" t="s">
        <v>2166</v>
      </c>
    </row>
    <row r="1056" spans="1:2" x14ac:dyDescent="0.25">
      <c r="A1056" s="59" t="s">
        <v>2167</v>
      </c>
      <c r="B1056" s="59" t="s">
        <v>2168</v>
      </c>
    </row>
    <row r="1057" spans="1:2" x14ac:dyDescent="0.25">
      <c r="A1057" s="59" t="s">
        <v>2169</v>
      </c>
      <c r="B1057" s="59" t="s">
        <v>2170</v>
      </c>
    </row>
    <row r="1058" spans="1:2" x14ac:dyDescent="0.25">
      <c r="A1058" s="59" t="s">
        <v>2171</v>
      </c>
      <c r="B1058" s="59" t="s">
        <v>2172</v>
      </c>
    </row>
    <row r="1059" spans="1:2" x14ac:dyDescent="0.25">
      <c r="A1059" s="59" t="s">
        <v>2173</v>
      </c>
      <c r="B1059" s="59" t="s">
        <v>2174</v>
      </c>
    </row>
    <row r="1060" spans="1:2" x14ac:dyDescent="0.25">
      <c r="A1060" s="59" t="s">
        <v>2175</v>
      </c>
      <c r="B1060" s="59" t="s">
        <v>2176</v>
      </c>
    </row>
    <row r="1061" spans="1:2" x14ac:dyDescent="0.25">
      <c r="A1061" s="59" t="s">
        <v>2177</v>
      </c>
      <c r="B1061" s="59" t="s">
        <v>2178</v>
      </c>
    </row>
    <row r="1062" spans="1:2" x14ac:dyDescent="0.25">
      <c r="A1062" s="59" t="s">
        <v>2179</v>
      </c>
      <c r="B1062" s="59" t="s">
        <v>2180</v>
      </c>
    </row>
    <row r="1063" spans="1:2" x14ac:dyDescent="0.25">
      <c r="A1063" s="59" t="s">
        <v>2181</v>
      </c>
      <c r="B1063" s="59" t="s">
        <v>2182</v>
      </c>
    </row>
    <row r="1064" spans="1:2" x14ac:dyDescent="0.25">
      <c r="A1064" s="59" t="s">
        <v>2183</v>
      </c>
      <c r="B1064" s="59" t="s">
        <v>2184</v>
      </c>
    </row>
    <row r="1065" spans="1:2" x14ac:dyDescent="0.25">
      <c r="A1065" s="59" t="s">
        <v>2185</v>
      </c>
      <c r="B1065" s="59" t="s">
        <v>2186</v>
      </c>
    </row>
    <row r="1066" spans="1:2" x14ac:dyDescent="0.25">
      <c r="A1066" s="59" t="s">
        <v>2187</v>
      </c>
      <c r="B1066" s="59" t="s">
        <v>2188</v>
      </c>
    </row>
    <row r="1067" spans="1:2" x14ac:dyDescent="0.25">
      <c r="A1067" s="59" t="s">
        <v>2189</v>
      </c>
      <c r="B1067" s="59" t="s">
        <v>2190</v>
      </c>
    </row>
    <row r="1068" spans="1:2" x14ac:dyDescent="0.25">
      <c r="A1068" s="59" t="s">
        <v>2191</v>
      </c>
      <c r="B1068" s="59" t="s">
        <v>2192</v>
      </c>
    </row>
    <row r="1069" spans="1:2" x14ac:dyDescent="0.25">
      <c r="A1069" s="59" t="s">
        <v>2193</v>
      </c>
      <c r="B1069" s="59" t="s">
        <v>2194</v>
      </c>
    </row>
    <row r="1070" spans="1:2" x14ac:dyDescent="0.25">
      <c r="A1070" s="59" t="s">
        <v>2195</v>
      </c>
      <c r="B1070" s="59" t="s">
        <v>1810</v>
      </c>
    </row>
    <row r="1071" spans="1:2" x14ac:dyDescent="0.25">
      <c r="A1071" s="59" t="s">
        <v>2196</v>
      </c>
      <c r="B1071" s="59" t="s">
        <v>2197</v>
      </c>
    </row>
    <row r="1072" spans="1:2" x14ac:dyDescent="0.25">
      <c r="A1072" s="59" t="s">
        <v>2198</v>
      </c>
      <c r="B1072" s="59" t="s">
        <v>2199</v>
      </c>
    </row>
    <row r="1073" spans="1:2" x14ac:dyDescent="0.25">
      <c r="A1073" s="59" t="s">
        <v>2200</v>
      </c>
      <c r="B1073" s="59" t="s">
        <v>2201</v>
      </c>
    </row>
    <row r="1074" spans="1:2" x14ac:dyDescent="0.25">
      <c r="A1074" s="59" t="s">
        <v>2202</v>
      </c>
      <c r="B1074" s="59" t="s">
        <v>2203</v>
      </c>
    </row>
    <row r="1075" spans="1:2" x14ac:dyDescent="0.25">
      <c r="A1075" s="59" t="s">
        <v>2204</v>
      </c>
      <c r="B1075" s="59" t="s">
        <v>2205</v>
      </c>
    </row>
    <row r="1076" spans="1:2" x14ac:dyDescent="0.25">
      <c r="A1076" s="59" t="s">
        <v>2206</v>
      </c>
      <c r="B1076" s="59" t="s">
        <v>2207</v>
      </c>
    </row>
    <row r="1077" spans="1:2" x14ac:dyDescent="0.25">
      <c r="A1077" s="59" t="s">
        <v>2208</v>
      </c>
      <c r="B1077" s="59" t="s">
        <v>2096</v>
      </c>
    </row>
    <row r="1078" spans="1:2" x14ac:dyDescent="0.25">
      <c r="A1078" s="59" t="s">
        <v>2209</v>
      </c>
      <c r="B1078" s="59" t="s">
        <v>2210</v>
      </c>
    </row>
    <row r="1079" spans="1:2" x14ac:dyDescent="0.25">
      <c r="A1079" s="59" t="s">
        <v>2211</v>
      </c>
      <c r="B1079" s="59" t="s">
        <v>2210</v>
      </c>
    </row>
    <row r="1080" spans="1:2" x14ac:dyDescent="0.25">
      <c r="A1080" s="59" t="s">
        <v>2212</v>
      </c>
      <c r="B1080" s="59" t="s">
        <v>2213</v>
      </c>
    </row>
    <row r="1081" spans="1:2" x14ac:dyDescent="0.25">
      <c r="A1081" s="59" t="s">
        <v>2214</v>
      </c>
      <c r="B1081" s="59" t="s">
        <v>2213</v>
      </c>
    </row>
    <row r="1082" spans="1:2" x14ac:dyDescent="0.25">
      <c r="A1082" s="59" t="s">
        <v>2215</v>
      </c>
      <c r="B1082" s="59" t="s">
        <v>2216</v>
      </c>
    </row>
    <row r="1083" spans="1:2" x14ac:dyDescent="0.25">
      <c r="A1083" s="59" t="s">
        <v>2217</v>
      </c>
      <c r="B1083" s="59" t="s">
        <v>2218</v>
      </c>
    </row>
    <row r="1084" spans="1:2" x14ac:dyDescent="0.25">
      <c r="A1084" s="59" t="s">
        <v>2219</v>
      </c>
      <c r="B1084" s="59" t="s">
        <v>2220</v>
      </c>
    </row>
    <row r="1085" spans="1:2" x14ac:dyDescent="0.25">
      <c r="A1085" s="59" t="s">
        <v>2221</v>
      </c>
      <c r="B1085" s="59" t="s">
        <v>2222</v>
      </c>
    </row>
    <row r="1086" spans="1:2" x14ac:dyDescent="0.25">
      <c r="A1086" s="59" t="s">
        <v>2223</v>
      </c>
      <c r="B1086" s="59" t="s">
        <v>2224</v>
      </c>
    </row>
    <row r="1087" spans="1:2" x14ac:dyDescent="0.25">
      <c r="A1087" s="59" t="s">
        <v>2225</v>
      </c>
      <c r="B1087" s="59" t="s">
        <v>2226</v>
      </c>
    </row>
    <row r="1088" spans="1:2" x14ac:dyDescent="0.25">
      <c r="A1088" s="59" t="s">
        <v>2227</v>
      </c>
      <c r="B1088" s="59" t="s">
        <v>2228</v>
      </c>
    </row>
    <row r="1089" spans="1:2" x14ac:dyDescent="0.25">
      <c r="A1089" s="59" t="s">
        <v>2229</v>
      </c>
      <c r="B1089" s="59" t="s">
        <v>2230</v>
      </c>
    </row>
    <row r="1090" spans="1:2" x14ac:dyDescent="0.25">
      <c r="A1090" s="59" t="s">
        <v>2231</v>
      </c>
      <c r="B1090" s="59" t="s">
        <v>2232</v>
      </c>
    </row>
    <row r="1091" spans="1:2" x14ac:dyDescent="0.25">
      <c r="A1091" s="59" t="s">
        <v>2233</v>
      </c>
      <c r="B1091" s="59" t="s">
        <v>1942</v>
      </c>
    </row>
    <row r="1092" spans="1:2" x14ac:dyDescent="0.25">
      <c r="A1092" s="59" t="s">
        <v>2234</v>
      </c>
      <c r="B1092" s="59" t="s">
        <v>1946</v>
      </c>
    </row>
    <row r="1093" spans="1:2" x14ac:dyDescent="0.25">
      <c r="A1093" s="59" t="s">
        <v>2235</v>
      </c>
      <c r="B1093" s="59" t="s">
        <v>2236</v>
      </c>
    </row>
    <row r="1094" spans="1:2" x14ac:dyDescent="0.25">
      <c r="A1094" s="59" t="s">
        <v>2237</v>
      </c>
      <c r="B1094" s="59" t="s">
        <v>2238</v>
      </c>
    </row>
    <row r="1095" spans="1:2" x14ac:dyDescent="0.25">
      <c r="A1095" s="59" t="s">
        <v>2239</v>
      </c>
      <c r="B1095" s="59" t="s">
        <v>2240</v>
      </c>
    </row>
    <row r="1096" spans="1:2" x14ac:dyDescent="0.25">
      <c r="A1096" s="59" t="s">
        <v>2241</v>
      </c>
      <c r="B1096" s="59" t="s">
        <v>1984</v>
      </c>
    </row>
    <row r="1097" spans="1:2" x14ac:dyDescent="0.25">
      <c r="A1097" s="59" t="s">
        <v>2242</v>
      </c>
      <c r="B1097" s="59" t="s">
        <v>2243</v>
      </c>
    </row>
    <row r="1098" spans="1:2" x14ac:dyDescent="0.25">
      <c r="A1098" s="59" t="s">
        <v>2244</v>
      </c>
      <c r="B1098" s="59" t="s">
        <v>2245</v>
      </c>
    </row>
    <row r="1099" spans="1:2" x14ac:dyDescent="0.25">
      <c r="A1099" s="59" t="s">
        <v>2246</v>
      </c>
      <c r="B1099" s="59" t="s">
        <v>2247</v>
      </c>
    </row>
    <row r="1100" spans="1:2" x14ac:dyDescent="0.25">
      <c r="A1100" s="59" t="s">
        <v>2248</v>
      </c>
      <c r="B1100" s="59" t="s">
        <v>2249</v>
      </c>
    </row>
    <row r="1101" spans="1:2" x14ac:dyDescent="0.25">
      <c r="A1101" s="59" t="s">
        <v>2250</v>
      </c>
      <c r="B1101" s="59" t="s">
        <v>1110</v>
      </c>
    </row>
    <row r="1102" spans="1:2" x14ac:dyDescent="0.25">
      <c r="A1102" s="59" t="s">
        <v>2251</v>
      </c>
      <c r="B1102" s="59" t="s">
        <v>2252</v>
      </c>
    </row>
    <row r="1103" spans="1:2" x14ac:dyDescent="0.25">
      <c r="A1103" s="59" t="s">
        <v>2253</v>
      </c>
      <c r="B1103" s="59" t="s">
        <v>2254</v>
      </c>
    </row>
    <row r="1104" spans="1:2" x14ac:dyDescent="0.25">
      <c r="A1104" s="59" t="s">
        <v>2255</v>
      </c>
      <c r="B1104" s="59" t="s">
        <v>2256</v>
      </c>
    </row>
    <row r="1105" spans="1:2" x14ac:dyDescent="0.25">
      <c r="A1105" s="59" t="s">
        <v>2257</v>
      </c>
      <c r="B1105" s="59" t="s">
        <v>821</v>
      </c>
    </row>
    <row r="1106" spans="1:2" x14ac:dyDescent="0.25">
      <c r="A1106" s="59" t="s">
        <v>2258</v>
      </c>
      <c r="B1106" s="59" t="s">
        <v>2254</v>
      </c>
    </row>
    <row r="1107" spans="1:2" x14ac:dyDescent="0.25">
      <c r="A1107" s="59" t="s">
        <v>2259</v>
      </c>
      <c r="B1107" s="59" t="s">
        <v>1915</v>
      </c>
    </row>
    <row r="1108" spans="1:2" x14ac:dyDescent="0.25">
      <c r="A1108" s="59" t="s">
        <v>2260</v>
      </c>
      <c r="B1108" s="59" t="s">
        <v>1164</v>
      </c>
    </row>
    <row r="1109" spans="1:2" x14ac:dyDescent="0.25">
      <c r="A1109" s="59" t="s">
        <v>2261</v>
      </c>
      <c r="B1109" s="59" t="s">
        <v>1906</v>
      </c>
    </row>
    <row r="1110" spans="1:2" x14ac:dyDescent="0.25">
      <c r="A1110" s="59" t="s">
        <v>2262</v>
      </c>
      <c r="B1110" s="59" t="s">
        <v>2263</v>
      </c>
    </row>
    <row r="1111" spans="1:2" x14ac:dyDescent="0.25">
      <c r="A1111" s="59" t="s">
        <v>2264</v>
      </c>
      <c r="B1111" s="59" t="s">
        <v>2265</v>
      </c>
    </row>
    <row r="1112" spans="1:2" x14ac:dyDescent="0.25">
      <c r="A1112" s="59" t="s">
        <v>2266</v>
      </c>
      <c r="B1112" s="59" t="s">
        <v>2267</v>
      </c>
    </row>
    <row r="1113" spans="1:2" x14ac:dyDescent="0.25">
      <c r="A1113" s="59" t="s">
        <v>2268</v>
      </c>
      <c r="B1113" s="59" t="s">
        <v>2269</v>
      </c>
    </row>
    <row r="1114" spans="1:2" x14ac:dyDescent="0.25">
      <c r="A1114" s="59" t="s">
        <v>2270</v>
      </c>
      <c r="B1114" s="59" t="s">
        <v>2271</v>
      </c>
    </row>
    <row r="1115" spans="1:2" x14ac:dyDescent="0.25">
      <c r="A1115" s="59" t="s">
        <v>2272</v>
      </c>
      <c r="B1115" s="59" t="s">
        <v>2265</v>
      </c>
    </row>
    <row r="1116" spans="1:2" x14ac:dyDescent="0.25">
      <c r="A1116" s="59" t="s">
        <v>2273</v>
      </c>
      <c r="B1116" s="59" t="s">
        <v>2274</v>
      </c>
    </row>
    <row r="1117" spans="1:2" x14ac:dyDescent="0.25">
      <c r="A1117" s="59" t="s">
        <v>2275</v>
      </c>
      <c r="B1117" s="59" t="s">
        <v>2276</v>
      </c>
    </row>
    <row r="1118" spans="1:2" x14ac:dyDescent="0.25">
      <c r="A1118" s="59" t="s">
        <v>2277</v>
      </c>
      <c r="B1118" s="59" t="s">
        <v>2278</v>
      </c>
    </row>
    <row r="1119" spans="1:2" x14ac:dyDescent="0.25">
      <c r="A1119" s="59" t="s">
        <v>2279</v>
      </c>
      <c r="B1119" s="59" t="s">
        <v>2280</v>
      </c>
    </row>
    <row r="1120" spans="1:2" x14ac:dyDescent="0.25">
      <c r="A1120" s="59" t="s">
        <v>2281</v>
      </c>
      <c r="B1120" s="59" t="s">
        <v>2282</v>
      </c>
    </row>
    <row r="1121" spans="1:2" x14ac:dyDescent="0.25">
      <c r="A1121" s="59" t="s">
        <v>2283</v>
      </c>
      <c r="B1121" s="59" t="s">
        <v>2284</v>
      </c>
    </row>
    <row r="1122" spans="1:2" x14ac:dyDescent="0.25">
      <c r="A1122" s="59" t="s">
        <v>2285</v>
      </c>
      <c r="B1122" s="59" t="s">
        <v>1887</v>
      </c>
    </row>
    <row r="1123" spans="1:2" x14ac:dyDescent="0.25">
      <c r="A1123" s="59" t="s">
        <v>2286</v>
      </c>
      <c r="B1123" s="59" t="s">
        <v>1864</v>
      </c>
    </row>
    <row r="1124" spans="1:2" x14ac:dyDescent="0.25">
      <c r="A1124" s="59" t="s">
        <v>2287</v>
      </c>
      <c r="B1124" s="59" t="s">
        <v>2288</v>
      </c>
    </row>
    <row r="1125" spans="1:2" x14ac:dyDescent="0.25">
      <c r="A1125" s="59" t="s">
        <v>2289</v>
      </c>
      <c r="B1125" s="59" t="s">
        <v>1842</v>
      </c>
    </row>
    <row r="1126" spans="1:2" x14ac:dyDescent="0.25">
      <c r="A1126" s="59" t="s">
        <v>2290</v>
      </c>
      <c r="B1126" s="59" t="s">
        <v>1866</v>
      </c>
    </row>
    <row r="1127" spans="1:2" x14ac:dyDescent="0.25">
      <c r="A1127" s="59" t="s">
        <v>2291</v>
      </c>
      <c r="B1127" s="59" t="s">
        <v>1958</v>
      </c>
    </row>
    <row r="1128" spans="1:2" x14ac:dyDescent="0.25">
      <c r="A1128" s="59" t="s">
        <v>2292</v>
      </c>
      <c r="B1128" s="59" t="s">
        <v>2293</v>
      </c>
    </row>
    <row r="1129" spans="1:2" x14ac:dyDescent="0.25">
      <c r="A1129" s="59" t="s">
        <v>2294</v>
      </c>
      <c r="B1129" s="59" t="s">
        <v>2293</v>
      </c>
    </row>
    <row r="1130" spans="1:2" x14ac:dyDescent="0.25">
      <c r="A1130" s="59" t="s">
        <v>2295</v>
      </c>
      <c r="B1130" s="59" t="s">
        <v>2256</v>
      </c>
    </row>
    <row r="1131" spans="1:2" x14ac:dyDescent="0.25">
      <c r="A1131" s="59" t="s">
        <v>2296</v>
      </c>
      <c r="B1131" s="59" t="s">
        <v>2297</v>
      </c>
    </row>
    <row r="1132" spans="1:2" x14ac:dyDescent="0.25">
      <c r="A1132" s="59" t="s">
        <v>2298</v>
      </c>
      <c r="B1132" s="59" t="s">
        <v>2299</v>
      </c>
    </row>
    <row r="1133" spans="1:2" x14ac:dyDescent="0.25">
      <c r="A1133" s="59" t="s">
        <v>2300</v>
      </c>
      <c r="B1133" s="59" t="s">
        <v>1962</v>
      </c>
    </row>
    <row r="1134" spans="1:2" x14ac:dyDescent="0.25">
      <c r="A1134" s="59" t="s">
        <v>2301</v>
      </c>
      <c r="B1134" s="59" t="s">
        <v>2302</v>
      </c>
    </row>
    <row r="1135" spans="1:2" x14ac:dyDescent="0.25">
      <c r="A1135" s="59" t="s">
        <v>2303</v>
      </c>
      <c r="B1135" s="59" t="s">
        <v>2304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4685-D6EC-4207-B292-4F343895B82D}">
  <dimension ref="B2:K162"/>
  <sheetViews>
    <sheetView tabSelected="1" topLeftCell="A148" workbookViewId="0">
      <selection activeCell="D104" sqref="D104"/>
    </sheetView>
  </sheetViews>
  <sheetFormatPr defaultRowHeight="15" x14ac:dyDescent="0.25"/>
  <cols>
    <col min="1" max="1" width="2.85546875" customWidth="1"/>
    <col min="2" max="2" width="28.5703125" customWidth="1"/>
    <col min="3" max="3" width="13.7109375" bestFit="1" customWidth="1"/>
    <col min="4" max="4" width="23.28515625" bestFit="1" customWidth="1"/>
    <col min="5" max="5" width="34.28515625" customWidth="1"/>
    <col min="6" max="6" width="18.7109375" customWidth="1"/>
    <col min="7" max="7" width="24.7109375" customWidth="1"/>
    <col min="8" max="8" width="10.85546875" bestFit="1" customWidth="1"/>
    <col min="9" max="9" width="27" bestFit="1" customWidth="1"/>
    <col min="10" max="10" width="14.85546875" bestFit="1" customWidth="1"/>
    <col min="11" max="11" width="34.28515625" customWidth="1"/>
  </cols>
  <sheetData>
    <row r="2" spans="2:11" ht="39.950000000000003" customHeight="1" x14ac:dyDescent="0.35">
      <c r="B2" s="141" t="s">
        <v>2646</v>
      </c>
      <c r="C2" s="141"/>
      <c r="D2" s="141"/>
      <c r="E2" s="141"/>
      <c r="F2" s="141"/>
      <c r="G2" s="141"/>
      <c r="H2" s="141"/>
      <c r="I2" s="141"/>
      <c r="J2" s="141"/>
      <c r="K2" s="141"/>
    </row>
    <row r="3" spans="2:11" x14ac:dyDescent="0.25">
      <c r="B3" s="142" t="s">
        <v>2647</v>
      </c>
      <c r="C3" s="142"/>
      <c r="D3" s="142"/>
      <c r="E3" s="142"/>
      <c r="F3" s="142"/>
      <c r="G3" s="142"/>
      <c r="H3" s="142"/>
      <c r="I3" s="142"/>
      <c r="J3" s="142"/>
      <c r="K3" s="142"/>
    </row>
    <row r="6" spans="2:11" ht="15.75" x14ac:dyDescent="0.25">
      <c r="B6" s="88" t="s">
        <v>2509</v>
      </c>
      <c r="C6" s="88"/>
      <c r="D6" s="88"/>
      <c r="E6" s="88"/>
      <c r="G6" s="88" t="s">
        <v>2519</v>
      </c>
      <c r="H6" s="88"/>
      <c r="I6" s="88"/>
      <c r="J6" s="88"/>
      <c r="K6" s="88"/>
    </row>
    <row r="7" spans="2:11" x14ac:dyDescent="0.25">
      <c r="B7" s="14" t="s">
        <v>2503</v>
      </c>
      <c r="D7" s="87">
        <f>Análise_À_Vista!AJ2</f>
        <v>82.304568337092562</v>
      </c>
      <c r="E7" s="91" t="s">
        <v>2513</v>
      </c>
      <c r="G7" s="14" t="s">
        <v>1</v>
      </c>
      <c r="I7" s="1">
        <f>Análise_À_Vista!AB1136</f>
        <v>46220</v>
      </c>
      <c r="K7" s="91"/>
    </row>
    <row r="8" spans="2:11" x14ac:dyDescent="0.25">
      <c r="B8" s="14" t="s">
        <v>2510</v>
      </c>
      <c r="D8" s="87">
        <f>Análise_À_Vista!AJ3</f>
        <v>-1.8711963412446714E-2</v>
      </c>
      <c r="E8" s="91" t="s">
        <v>2514</v>
      </c>
      <c r="G8" s="14" t="s">
        <v>2520</v>
      </c>
      <c r="I8" s="89">
        <f>Análise_À_Vista!AC1136</f>
        <v>64.94</v>
      </c>
      <c r="K8" s="91" t="s">
        <v>2525</v>
      </c>
    </row>
    <row r="9" spans="2:11" x14ac:dyDescent="0.25">
      <c r="B9" s="14" t="s">
        <v>2511</v>
      </c>
      <c r="D9" s="89">
        <f>Análise_À_Vista!AJ4</f>
        <v>10.629803865830469</v>
      </c>
      <c r="E9" s="91" t="s">
        <v>2515</v>
      </c>
      <c r="G9" s="14" t="s">
        <v>2521</v>
      </c>
      <c r="I9" s="89">
        <f>Análise_À_Vista!AE1136</f>
        <v>61.085201827377986</v>
      </c>
      <c r="K9" s="91" t="s">
        <v>2526</v>
      </c>
    </row>
    <row r="10" spans="2:11" x14ac:dyDescent="0.25">
      <c r="B10" s="14" t="s">
        <v>2512</v>
      </c>
      <c r="D10" s="9">
        <f>Análise_À_Vista!AJ5</f>
        <v>0.24945517658387512</v>
      </c>
      <c r="E10" s="91" t="s">
        <v>2516</v>
      </c>
      <c r="G10" s="14" t="s">
        <v>2500</v>
      </c>
      <c r="I10" s="89">
        <f>Análise_À_Vista!AF1136</f>
        <v>63.736861427780681</v>
      </c>
      <c r="K10" s="91" t="s">
        <v>2527</v>
      </c>
    </row>
    <row r="11" spans="2:11" x14ac:dyDescent="0.25">
      <c r="B11" s="14" t="s">
        <v>2507</v>
      </c>
      <c r="D11" s="90">
        <f>Análise_À_Vista!AJ6</f>
        <v>1.5</v>
      </c>
      <c r="E11" s="91" t="s">
        <v>2517</v>
      </c>
      <c r="G11" s="14" t="s">
        <v>2501</v>
      </c>
      <c r="I11" s="89">
        <f>Análise_À_Vista!AG1136</f>
        <v>58.433542226975291</v>
      </c>
      <c r="K11" s="91" t="s">
        <v>2528</v>
      </c>
    </row>
    <row r="12" spans="2:11" x14ac:dyDescent="0.25">
      <c r="B12" s="14" t="s">
        <v>167</v>
      </c>
      <c r="D12" s="3">
        <f>Análise_À_Vista!AJ7</f>
        <v>1134</v>
      </c>
      <c r="E12" s="91" t="s">
        <v>2518</v>
      </c>
      <c r="G12" s="14" t="s">
        <v>2522</v>
      </c>
      <c r="I12" t="str">
        <f>IF(I8&gt;I10,"Acima do Canal",IF(I8&lt;I11,"Abaixo do Canal","Dentro do Canal"))</f>
        <v>Acima do Canal</v>
      </c>
      <c r="K12" s="91" t="s">
        <v>2529</v>
      </c>
    </row>
    <row r="13" spans="2:11" x14ac:dyDescent="0.25">
      <c r="G13" s="14" t="s">
        <v>2523</v>
      </c>
      <c r="I13" s="92">
        <f>I8-I9</f>
        <v>3.8547981726220115</v>
      </c>
      <c r="K13" s="91" t="s">
        <v>2530</v>
      </c>
    </row>
    <row r="14" spans="2:11" x14ac:dyDescent="0.25">
      <c r="G14" s="14" t="s">
        <v>2524</v>
      </c>
      <c r="I14" s="9">
        <f>(I8-I11)/(I10-I11)</f>
        <v>1.2268652002007727</v>
      </c>
      <c r="K14" s="91" t="s">
        <v>2531</v>
      </c>
    </row>
    <row r="15" spans="2:11" ht="15.75" x14ac:dyDescent="0.25">
      <c r="B15" s="88" t="s">
        <v>2532</v>
      </c>
      <c r="C15" s="88"/>
      <c r="D15" s="88"/>
      <c r="E15" s="88"/>
      <c r="G15" s="88" t="s">
        <v>2539</v>
      </c>
      <c r="H15" s="88"/>
      <c r="I15" s="88"/>
      <c r="J15" s="88"/>
      <c r="K15" s="88"/>
    </row>
    <row r="16" spans="2:11" x14ac:dyDescent="0.25">
      <c r="B16" s="14" t="s">
        <v>2533</v>
      </c>
      <c r="D16" s="89">
        <f>Análise_À_Vista!AE3</f>
        <v>82.285856373680119</v>
      </c>
      <c r="G16" s="14" t="s">
        <v>2540</v>
      </c>
      <c r="I16" s="89">
        <f>MAX(Análise_À_Vista!AC3:AC1136)</f>
        <v>103.9</v>
      </c>
      <c r="K16" s="91" t="s">
        <v>2545</v>
      </c>
    </row>
    <row r="17" spans="2:11" x14ac:dyDescent="0.25">
      <c r="B17" s="14" t="s">
        <v>2534</v>
      </c>
      <c r="D17" s="89">
        <f>Análise_À_Vista!AE1136</f>
        <v>61.085201827377986</v>
      </c>
      <c r="G17" s="14" t="s">
        <v>2541</v>
      </c>
      <c r="I17" s="89">
        <f>MIN(Análise_À_Vista!AC3:AC1136)</f>
        <v>52.65</v>
      </c>
      <c r="K17" s="91" t="s">
        <v>2546</v>
      </c>
    </row>
    <row r="18" spans="2:11" x14ac:dyDescent="0.25">
      <c r="B18" s="14" t="s">
        <v>2535</v>
      </c>
      <c r="D18" s="89">
        <f>D17-D16</f>
        <v>-21.200654546302133</v>
      </c>
      <c r="G18" s="14" t="s">
        <v>2542</v>
      </c>
      <c r="I18" s="89">
        <f>I16-I17</f>
        <v>51.250000000000007</v>
      </c>
      <c r="K18" s="91" t="s">
        <v>2547</v>
      </c>
    </row>
    <row r="19" spans="2:11" x14ac:dyDescent="0.25">
      <c r="B19" s="14" t="s">
        <v>2536</v>
      </c>
      <c r="D19" s="9">
        <f>(D17-D16)/D16</f>
        <v>-0.25764639855025384</v>
      </c>
      <c r="G19" s="14" t="s">
        <v>2543</v>
      </c>
      <c r="I19" s="89">
        <f>MAX(Análise_À_Vista!AH3:AH1136)</f>
        <v>23.013714356277248</v>
      </c>
      <c r="K19" s="91" t="s">
        <v>2548</v>
      </c>
    </row>
    <row r="20" spans="2:11" x14ac:dyDescent="0.25">
      <c r="B20" s="14" t="s">
        <v>2537</v>
      </c>
      <c r="D20" s="93">
        <f>Análise_À_Vista!AJ3</f>
        <v>-1.8711963412446714E-2</v>
      </c>
      <c r="G20" s="14" t="s">
        <v>2544</v>
      </c>
      <c r="I20" s="89">
        <f>MIN(Análise_À_Vista!AH3:AH1136)</f>
        <v>-22.113647081876543</v>
      </c>
      <c r="K20" s="91" t="s">
        <v>2549</v>
      </c>
    </row>
    <row r="21" spans="2:11" x14ac:dyDescent="0.25">
      <c r="B21" s="14" t="s">
        <v>2538</v>
      </c>
      <c r="D21" t="str">
        <f>IF(D20&lt;0,"⬇️ Baixa","⬆️ Alta")</f>
        <v>⬇️ Baixa</v>
      </c>
      <c r="G21" s="14" t="s">
        <v>2556</v>
      </c>
      <c r="I21" s="3" cm="1">
        <f t="array" ref="I21">SUMPRODUCT((Análise_À_Vista!AC3:AC1136&gt;Análise_À_Vista!AF3:AF1136)*1)+SUMPRODUCT((Análise_À_Vista!AC3:AC1136&lt;Análise_À_Vista!AG3:AG1136)*1)</f>
        <v>972</v>
      </c>
      <c r="K21" s="98">
        <f>I21/1134</f>
        <v>0.8571428571428571</v>
      </c>
    </row>
    <row r="24" spans="2:11" ht="15.75" x14ac:dyDescent="0.25">
      <c r="B24" s="88" t="s">
        <v>2550</v>
      </c>
      <c r="C24" s="88"/>
      <c r="D24" s="88"/>
      <c r="E24" s="88"/>
      <c r="F24" s="88"/>
      <c r="G24" s="88"/>
      <c r="H24" s="88"/>
      <c r="I24" s="88"/>
      <c r="J24" s="88"/>
      <c r="K24" s="88"/>
    </row>
    <row r="25" spans="2:11" x14ac:dyDescent="0.25">
      <c r="B25" s="96" t="s">
        <v>2551</v>
      </c>
      <c r="C25" s="94"/>
      <c r="D25" s="94"/>
      <c r="E25" s="94"/>
      <c r="F25" s="94"/>
      <c r="G25" s="94"/>
      <c r="H25" s="94"/>
      <c r="I25" s="94"/>
      <c r="J25" s="94"/>
      <c r="K25" s="94"/>
    </row>
    <row r="26" spans="2:11" x14ac:dyDescent="0.25">
      <c r="B26" s="95"/>
      <c r="C26" s="95"/>
      <c r="D26" s="95"/>
      <c r="E26" s="95"/>
      <c r="F26" s="95"/>
      <c r="G26" s="95"/>
      <c r="H26" s="95"/>
      <c r="I26" s="95"/>
      <c r="J26" s="95"/>
      <c r="K26" s="95"/>
    </row>
    <row r="27" spans="2:11" x14ac:dyDescent="0.25">
      <c r="B27" s="96" t="s">
        <v>2552</v>
      </c>
      <c r="C27" s="94"/>
      <c r="D27" s="94"/>
      <c r="E27" s="94"/>
      <c r="F27" s="94"/>
      <c r="G27" s="94"/>
      <c r="H27" s="94"/>
      <c r="I27" s="94"/>
      <c r="J27" s="94"/>
      <c r="K27" s="94"/>
    </row>
    <row r="28" spans="2:11" x14ac:dyDescent="0.25">
      <c r="B28" s="96" t="s">
        <v>2553</v>
      </c>
      <c r="C28" s="94"/>
      <c r="D28" s="94"/>
      <c r="E28" s="94"/>
      <c r="F28" s="94"/>
      <c r="G28" s="94"/>
      <c r="H28" s="94"/>
      <c r="I28" s="94"/>
      <c r="J28" s="94"/>
      <c r="K28" s="94"/>
    </row>
    <row r="29" spans="2:11" x14ac:dyDescent="0.25">
      <c r="B29" s="96" t="s">
        <v>2554</v>
      </c>
      <c r="C29" s="94"/>
      <c r="D29" s="94"/>
      <c r="E29" s="94"/>
      <c r="F29" s="94"/>
      <c r="G29" s="94"/>
      <c r="H29" s="94"/>
      <c r="I29" s="94"/>
      <c r="J29" s="94"/>
      <c r="K29" s="94"/>
    </row>
    <row r="77" spans="2:11" x14ac:dyDescent="0.25">
      <c r="B77" s="97" t="s">
        <v>2555</v>
      </c>
      <c r="C77" s="97"/>
      <c r="D77" s="97"/>
      <c r="E77" s="97"/>
      <c r="F77" s="97"/>
      <c r="G77" s="97"/>
      <c r="H77" s="97"/>
      <c r="I77" s="97"/>
      <c r="J77" s="97"/>
      <c r="K77" s="97"/>
    </row>
    <row r="80" spans="2:11" ht="18.75" x14ac:dyDescent="0.3">
      <c r="B80" s="99" t="s">
        <v>2616</v>
      </c>
      <c r="C80" s="99"/>
      <c r="D80" s="99"/>
      <c r="E80" s="99"/>
      <c r="F80" s="99"/>
      <c r="G80" s="99"/>
      <c r="H80" s="99"/>
      <c r="I80" s="99"/>
      <c r="J80" s="99"/>
      <c r="K80" s="99"/>
    </row>
    <row r="81" spans="2:11" x14ac:dyDescent="0.25">
      <c r="B81" s="120" t="s">
        <v>2617</v>
      </c>
      <c r="C81" s="120"/>
      <c r="D81" s="120"/>
      <c r="E81" s="120"/>
      <c r="F81" s="120"/>
      <c r="G81" s="120"/>
      <c r="H81" s="120"/>
      <c r="I81" s="120"/>
      <c r="J81" s="120"/>
      <c r="K81" s="120"/>
    </row>
    <row r="83" spans="2:11" x14ac:dyDescent="0.25">
      <c r="B83" s="8" t="s">
        <v>2558</v>
      </c>
      <c r="C83" s="8" t="s">
        <v>2618</v>
      </c>
      <c r="D83" s="8" t="s">
        <v>2619</v>
      </c>
      <c r="E83" s="8" t="s">
        <v>2620</v>
      </c>
      <c r="F83" s="8" t="s">
        <v>2506</v>
      </c>
      <c r="G83" s="8" t="s">
        <v>2561</v>
      </c>
      <c r="H83" s="8" t="s">
        <v>2562</v>
      </c>
      <c r="I83" s="8" t="s">
        <v>2621</v>
      </c>
      <c r="J83" s="8" t="s">
        <v>2538</v>
      </c>
      <c r="K83" s="8"/>
    </row>
    <row r="84" spans="2:11" x14ac:dyDescent="0.25">
      <c r="B84">
        <f>Análise_À_Vista!AL3</f>
        <v>2022</v>
      </c>
      <c r="C84" s="121">
        <f>Análise_À_Vista!AM3</f>
        <v>250</v>
      </c>
      <c r="D84" s="89">
        <f>Análise_À_Vista!AQ3</f>
        <v>-6.0764191427062852E-2</v>
      </c>
      <c r="E84" s="9">
        <f>Análise_À_Vista!AR3</f>
        <v>3.9911035836423245</v>
      </c>
      <c r="F84" s="89">
        <f>Análise_À_Vista!AS3</f>
        <v>0.54794285575294754</v>
      </c>
      <c r="G84" s="89">
        <f>Análise_À_Vista!AT3</f>
        <v>92.01</v>
      </c>
      <c r="H84" s="111">
        <f>Análise_À_Vista!AU3</f>
        <v>86.07</v>
      </c>
      <c r="I84" s="9">
        <f>Análise_À_Vista!AV3</f>
        <v>-6.4558200195631035E-2</v>
      </c>
      <c r="J84" t="str">
        <f>IF(C84&lt;0,"⬇️ Baixa","⬆️ Alta")</f>
        <v>⬆️ Alta</v>
      </c>
    </row>
    <row r="85" spans="2:11" x14ac:dyDescent="0.25">
      <c r="B85">
        <f>Análise_À_Vista!AL4</f>
        <v>2023</v>
      </c>
      <c r="C85" s="121">
        <f>Análise_À_Vista!AM4</f>
        <v>248</v>
      </c>
      <c r="D85" s="89">
        <f>Análise_À_Vista!AQ4</f>
        <v>-0.12505215717250609</v>
      </c>
      <c r="E85" s="9">
        <f>Análise_À_Vista!AR4</f>
        <v>9.1820021308740856</v>
      </c>
      <c r="F85" s="89">
        <f>Análise_À_Vista!AS4</f>
        <v>0.48836102652384961</v>
      </c>
      <c r="G85" s="89">
        <f>Análise_À_Vista!AT4</f>
        <v>86.09</v>
      </c>
      <c r="H85" s="111">
        <f>Análise_À_Vista!AU4</f>
        <v>69.209999999999994</v>
      </c>
      <c r="I85" s="9">
        <f>Análise_À_Vista!AV4</f>
        <v>-0.1960738761760949</v>
      </c>
      <c r="J85" t="str">
        <f>IF(C85&lt;0,"⬇️ Baixa","⬆️ Alta")</f>
        <v>⬆️ Alta</v>
      </c>
    </row>
    <row r="86" spans="2:11" x14ac:dyDescent="0.25">
      <c r="B86">
        <f>Análise_À_Vista!AL5</f>
        <v>2024</v>
      </c>
      <c r="C86" s="121">
        <f>Análise_À_Vista!AM5</f>
        <v>251</v>
      </c>
      <c r="D86" s="89">
        <f>Análise_À_Vista!AQ5</f>
        <v>3.7451967368620748E-2</v>
      </c>
      <c r="E86" s="9">
        <f>Análise_À_Vista!AR5</f>
        <v>4.8011232234372265</v>
      </c>
      <c r="F86" s="89">
        <f>Análise_À_Vista!AS5</f>
        <v>0.24285017049529056</v>
      </c>
      <c r="G86" s="89">
        <f>Análise_À_Vista!AT5</f>
        <v>69.75</v>
      </c>
      <c r="H86" s="111">
        <f>Análise_À_Vista!AU5</f>
        <v>72.69</v>
      </c>
      <c r="I86" s="9">
        <f>Análise_À_Vista!AV5</f>
        <v>4.2150537634408569E-2</v>
      </c>
      <c r="J86" t="str">
        <f>IF(C86&lt;0,"⬇️ Baixa","⬆️ Alta")</f>
        <v>⬆️ Alta</v>
      </c>
    </row>
    <row r="87" spans="2:11" x14ac:dyDescent="0.25">
      <c r="B87">
        <f>Análise_À_Vista!AL6</f>
        <v>2025</v>
      </c>
      <c r="C87" s="121">
        <f>Análise_À_Vista!AM6</f>
        <v>250</v>
      </c>
      <c r="D87" s="89">
        <f>Análise_À_Vista!AQ6</f>
        <v>-7.5498714539432632E-2</v>
      </c>
      <c r="E87" s="9">
        <f>Análise_À_Vista!AR6</f>
        <v>6.0626933909032754</v>
      </c>
      <c r="F87" s="89">
        <f>Análise_À_Vista!AS6</f>
        <v>0.44779584436831082</v>
      </c>
      <c r="G87" s="89">
        <f>Análise_À_Vista!AT6</f>
        <v>72.94</v>
      </c>
      <c r="H87" s="111">
        <f>Análise_À_Vista!AU6</f>
        <v>69.5</v>
      </c>
      <c r="I87" s="9">
        <f>Análise_À_Vista!AV6</f>
        <v>-4.7162051000822561E-2</v>
      </c>
      <c r="J87" t="str">
        <f>IF(C87&lt;0,"⬇️ Baixa","⬆️ Alta")</f>
        <v>⬆️ Alta</v>
      </c>
    </row>
    <row r="88" spans="2:11" x14ac:dyDescent="0.25">
      <c r="B88">
        <f>Análise_À_Vista!AL7</f>
        <v>2026</v>
      </c>
      <c r="C88" s="121">
        <f>Análise_À_Vista!AM7</f>
        <v>135</v>
      </c>
      <c r="D88" s="89">
        <f>Análise_À_Vista!AQ7</f>
        <v>-4.4248853770363847E-2</v>
      </c>
      <c r="E88" s="9">
        <f>Análise_À_Vista!AR7</f>
        <v>1.8490367230533533</v>
      </c>
      <c r="F88" s="89">
        <f>Análise_À_Vista!AS7</f>
        <v>0.46700844597827856</v>
      </c>
      <c r="G88" s="89">
        <f>Análise_À_Vista!AT7</f>
        <v>69.45</v>
      </c>
      <c r="H88" s="111">
        <f>Análise_À_Vista!AU7</f>
        <v>64.94</v>
      </c>
      <c r="I88" s="9">
        <f>Análise_À_Vista!AV7</f>
        <v>-6.4938804895608424E-2</v>
      </c>
      <c r="J88" t="str">
        <f>IF(C88&lt;0,"⬇️ Baixa","⬆️ Alta")</f>
        <v>⬆️ Alta</v>
      </c>
    </row>
    <row r="89" spans="2:11" x14ac:dyDescent="0.25">
      <c r="B89" s="101" t="str">
        <f>Análise_À_Vista!AL8</f>
        <v>"TOTAL"</v>
      </c>
      <c r="C89" s="122">
        <f>Análise_À_Vista!AM8</f>
        <v>1134</v>
      </c>
      <c r="D89" s="104">
        <f>Análise_À_Vista!AQ8</f>
        <v>-1.8711963412446714E-2</v>
      </c>
      <c r="E89" s="105">
        <f>Análise_À_Vista!AR8</f>
        <v>10.629803865830469</v>
      </c>
      <c r="F89" s="104">
        <f>Análise_À_Vista!AS8</f>
        <v>0.24945517658387512</v>
      </c>
      <c r="G89" s="104">
        <f>Análise_À_Vista!AT8</f>
        <v>92.01</v>
      </c>
      <c r="H89" s="123">
        <f>Análise_À_Vista!AU8</f>
        <v>64.94</v>
      </c>
      <c r="I89" s="105">
        <f>Análise_À_Vista!AV8</f>
        <v>-0.29420715139658737</v>
      </c>
      <c r="J89" s="101" t="str">
        <f>IF(C89&lt;0,"⬇️ Baixa","⬆️ Alta")</f>
        <v>⬆️ Alta</v>
      </c>
      <c r="K89" s="101"/>
    </row>
    <row r="92" spans="2:11" x14ac:dyDescent="0.25">
      <c r="B92" s="124" t="s">
        <v>2622</v>
      </c>
      <c r="C92" s="124"/>
      <c r="D92" s="124"/>
      <c r="E92" s="124"/>
      <c r="G92" s="124" t="s">
        <v>2634</v>
      </c>
      <c r="H92" s="124"/>
      <c r="I92" s="124"/>
      <c r="J92" s="124"/>
      <c r="K92" s="124"/>
    </row>
    <row r="93" spans="2:11" x14ac:dyDescent="0.25">
      <c r="B93" s="14" t="s">
        <v>2623</v>
      </c>
      <c r="D93" s="89">
        <f>Análise_À_Vista!AM12</f>
        <v>1.8490367230533533</v>
      </c>
      <c r="E93" s="91" t="s">
        <v>2628</v>
      </c>
      <c r="G93" s="14" t="s">
        <v>2635</v>
      </c>
      <c r="H93" s="14" t="s">
        <v>2591</v>
      </c>
      <c r="I93" s="14" t="s">
        <v>2636</v>
      </c>
      <c r="J93" s="14" t="s">
        <v>2599</v>
      </c>
      <c r="K93" s="14" t="s">
        <v>2637</v>
      </c>
    </row>
    <row r="94" spans="2:11" x14ac:dyDescent="0.25">
      <c r="B94" s="14" t="s">
        <v>2624</v>
      </c>
      <c r="D94" s="89">
        <f>Análise_À_Vista!AN12</f>
        <v>9.1820021308740856</v>
      </c>
      <c r="E94" s="91">
        <v>2023</v>
      </c>
      <c r="G94" s="125">
        <f>Análise_À_Vista!AL34</f>
        <v>1</v>
      </c>
      <c r="H94" s="89">
        <f>Análise_À_Vista!AM34</f>
        <v>4.8011232234372265</v>
      </c>
      <c r="I94" s="111">
        <f>Análise_À_Vista!AT34</f>
        <v>0.33269574604806584</v>
      </c>
      <c r="J94" s="111">
        <f>Análise_À_Vista!AU34</f>
        <v>0.68269999999999997</v>
      </c>
      <c r="K94" s="111">
        <f>Análise_À_Vista!AV34</f>
        <v>-0.35000425395193413</v>
      </c>
    </row>
    <row r="95" spans="2:11" x14ac:dyDescent="0.25">
      <c r="B95" s="14" t="s">
        <v>2625</v>
      </c>
      <c r="D95" s="89">
        <f>Análise_À_Vista!AP12</f>
        <v>4.8011232234372265</v>
      </c>
      <c r="E95" s="91" t="s">
        <v>2629</v>
      </c>
      <c r="G95" s="125">
        <f>Análise_À_Vista!AL35</f>
        <v>1.5</v>
      </c>
      <c r="H95" s="89">
        <f>Análise_À_Vista!AM35</f>
        <v>7.2016848351558398</v>
      </c>
      <c r="I95" s="111">
        <f>Análise_À_Vista!AT35</f>
        <v>0.51410805999419285</v>
      </c>
      <c r="J95" s="111">
        <f>Análise_À_Vista!AU35</f>
        <v>0.86639999999999995</v>
      </c>
      <c r="K95" s="111">
        <f>Análise_À_Vista!AV35</f>
        <v>-0.3522919400058071</v>
      </c>
    </row>
    <row r="96" spans="2:11" x14ac:dyDescent="0.25">
      <c r="B96" s="14" t="s">
        <v>2626</v>
      </c>
      <c r="D96" s="89">
        <f>Análise_À_Vista!AQ12</f>
        <v>2.7132760595465708</v>
      </c>
      <c r="E96" s="91" t="s">
        <v>2630</v>
      </c>
      <c r="G96" s="125">
        <f>Análise_À_Vista!AL36</f>
        <v>2</v>
      </c>
      <c r="H96" s="89">
        <f>Análise_À_Vista!AM36</f>
        <v>9.6022464468744531</v>
      </c>
      <c r="I96" s="111">
        <f>Análise_À_Vista!AT36</f>
        <v>0.67460470376558279</v>
      </c>
      <c r="J96" s="111">
        <f>Análise_À_Vista!AU36</f>
        <v>0.95450000000000002</v>
      </c>
      <c r="K96" s="111">
        <f>Análise_À_Vista!AV36</f>
        <v>-0.27989529623441722</v>
      </c>
    </row>
    <row r="97" spans="2:11" x14ac:dyDescent="0.25">
      <c r="B97" s="14" t="s">
        <v>2627</v>
      </c>
      <c r="D97" s="89">
        <f>Análise_À_Vista!AS12</f>
        <v>10.629803865830469</v>
      </c>
      <c r="E97" s="91" t="s">
        <v>2631</v>
      </c>
      <c r="G97" s="125">
        <f>Análise_À_Vista!AL37</f>
        <v>2.5</v>
      </c>
      <c r="H97" s="89">
        <f>Análise_À_Vista!AM37</f>
        <v>12.002808058593066</v>
      </c>
      <c r="I97" s="111">
        <f>Análise_À_Vista!AT37</f>
        <v>0.7544751060275029</v>
      </c>
      <c r="J97" s="111">
        <f>Análise_À_Vista!AU37</f>
        <v>0.98760000000000003</v>
      </c>
      <c r="K97" s="111">
        <f>Análise_À_Vista!AV37</f>
        <v>-0.23312489397249714</v>
      </c>
    </row>
    <row r="98" spans="2:11" x14ac:dyDescent="0.25">
      <c r="B98" s="14" t="s">
        <v>2575</v>
      </c>
      <c r="D98" s="107">
        <f>D97/D95</f>
        <v>2.2140243795326642</v>
      </c>
      <c r="E98" s="91" t="s">
        <v>2632</v>
      </c>
      <c r="G98" s="125">
        <f>Análise_À_Vista!AL38</f>
        <v>3</v>
      </c>
      <c r="H98" s="89">
        <f>Análise_À_Vista!AM38</f>
        <v>14.40336967031168</v>
      </c>
      <c r="I98" s="111">
        <f>Análise_À_Vista!AT38</f>
        <v>0.82965791029430669</v>
      </c>
      <c r="J98" s="111">
        <f>Análise_À_Vista!AU38</f>
        <v>0.99729999999999996</v>
      </c>
      <c r="K98" s="111">
        <f>Análise_À_Vista!AV38</f>
        <v>-0.16764208970569328</v>
      </c>
    </row>
    <row r="99" spans="2:11" x14ac:dyDescent="0.25">
      <c r="B99" s="14" t="s">
        <v>2570</v>
      </c>
      <c r="D99" s="111">
        <f>Análise_À_Vista!AS12</f>
        <v>10.629803865830469</v>
      </c>
      <c r="E99" s="91" t="s">
        <v>2633</v>
      </c>
    </row>
    <row r="101" spans="2:11" ht="17.25" x14ac:dyDescent="0.3">
      <c r="B101" s="126" t="s">
        <v>2638</v>
      </c>
      <c r="C101" s="126"/>
      <c r="D101" s="126"/>
      <c r="E101" s="126"/>
      <c r="F101" s="126"/>
      <c r="G101" s="126"/>
      <c r="H101" s="126"/>
      <c r="I101" s="126"/>
      <c r="J101" s="126"/>
      <c r="K101" s="126"/>
    </row>
    <row r="102" spans="2:11" x14ac:dyDescent="0.25">
      <c r="B102" s="130"/>
      <c r="C102" s="127"/>
      <c r="D102" s="127"/>
      <c r="E102" s="127"/>
      <c r="F102" s="127"/>
      <c r="G102" s="127"/>
      <c r="H102" s="127"/>
      <c r="I102" s="127"/>
      <c r="J102" s="127"/>
      <c r="K102" s="131"/>
    </row>
    <row r="103" spans="2:11" x14ac:dyDescent="0.25">
      <c r="B103" s="133" t="s">
        <v>2639</v>
      </c>
      <c r="C103" s="128"/>
      <c r="D103" s="135">
        <f>Análise_À_Vista!AN45</f>
        <v>4.8011232234372265</v>
      </c>
      <c r="E103" s="128"/>
      <c r="F103" s="128"/>
      <c r="G103" s="128"/>
      <c r="H103" s="128"/>
      <c r="I103" s="128"/>
      <c r="J103" s="128"/>
      <c r="K103" s="132"/>
    </row>
    <row r="104" spans="2:11" x14ac:dyDescent="0.25">
      <c r="B104" s="133" t="s">
        <v>2640</v>
      </c>
      <c r="C104" s="128"/>
      <c r="D104" s="128">
        <v>2</v>
      </c>
      <c r="E104" s="128"/>
      <c r="F104" s="128"/>
      <c r="G104" s="128"/>
      <c r="H104" s="128"/>
      <c r="I104" s="128"/>
      <c r="J104" s="128"/>
      <c r="K104" s="132"/>
    </row>
    <row r="105" spans="2:11" x14ac:dyDescent="0.25">
      <c r="B105" s="133" t="s">
        <v>2606</v>
      </c>
      <c r="C105" s="128"/>
      <c r="D105" s="136">
        <f>D103*D104</f>
        <v>9.6022464468744531</v>
      </c>
      <c r="E105" s="128"/>
      <c r="F105" s="128"/>
      <c r="G105" s="128"/>
      <c r="H105" s="128"/>
      <c r="I105" s="128"/>
      <c r="J105" s="128"/>
      <c r="K105" s="132"/>
    </row>
    <row r="106" spans="2:11" x14ac:dyDescent="0.25">
      <c r="B106" s="133" t="s">
        <v>2607</v>
      </c>
      <c r="C106" s="128"/>
      <c r="D106" s="137">
        <f>Análise_À_Vista!AT36</f>
        <v>0.67460470376558279</v>
      </c>
      <c r="E106" s="128"/>
      <c r="F106" s="128"/>
      <c r="G106" s="128"/>
      <c r="H106" s="128"/>
      <c r="I106" s="128"/>
      <c r="J106" s="128"/>
      <c r="K106" s="132"/>
    </row>
    <row r="107" spans="2:11" x14ac:dyDescent="0.25">
      <c r="B107" s="134" t="s">
        <v>2641</v>
      </c>
      <c r="C107" s="129"/>
      <c r="D107" s="138" t="s">
        <v>2642</v>
      </c>
      <c r="E107" s="138"/>
      <c r="F107" s="138"/>
      <c r="G107" s="138"/>
      <c r="H107" s="138"/>
      <c r="I107" s="138"/>
      <c r="J107" s="138"/>
      <c r="K107" s="139"/>
    </row>
    <row r="110" spans="2:11" x14ac:dyDescent="0.25">
      <c r="B110" s="23" t="s">
        <v>2558</v>
      </c>
      <c r="C110" s="23" t="s">
        <v>2643</v>
      </c>
      <c r="D110" s="23" t="s">
        <v>2645</v>
      </c>
    </row>
    <row r="111" spans="2:11" x14ac:dyDescent="0.25">
      <c r="B111" s="23">
        <v>2022</v>
      </c>
      <c r="C111" s="140">
        <f>Análise_À_Vista!AR3</f>
        <v>3.9911035836423245</v>
      </c>
      <c r="D111" s="23">
        <f>Análise_À_Vista!AQ3</f>
        <v>-6.0764191427062852E-2</v>
      </c>
    </row>
    <row r="112" spans="2:11" x14ac:dyDescent="0.25">
      <c r="B112" s="23">
        <v>2023</v>
      </c>
      <c r="C112" s="140">
        <f>Análise_À_Vista!AR4</f>
        <v>9.1820021308740856</v>
      </c>
      <c r="D112" s="23">
        <f>Análise_À_Vista!AQ4</f>
        <v>-0.12505215717250609</v>
      </c>
    </row>
    <row r="113" spans="2:4" x14ac:dyDescent="0.25">
      <c r="B113" s="23">
        <v>2024</v>
      </c>
      <c r="C113" s="140">
        <f>Análise_À_Vista!AR5</f>
        <v>4.8011232234372265</v>
      </c>
      <c r="D113" s="23">
        <f>Análise_À_Vista!AQ5</f>
        <v>3.7451967368620748E-2</v>
      </c>
    </row>
    <row r="114" spans="2:4" x14ac:dyDescent="0.25">
      <c r="B114" s="23">
        <v>2025</v>
      </c>
      <c r="C114" s="140">
        <f>Análise_À_Vista!AR6</f>
        <v>6.0626933909032754</v>
      </c>
      <c r="D114" s="23">
        <f>Análise_À_Vista!AQ6</f>
        <v>-7.5498714539432632E-2</v>
      </c>
    </row>
    <row r="115" spans="2:4" x14ac:dyDescent="0.25">
      <c r="B115" s="23">
        <v>2026</v>
      </c>
      <c r="C115" s="140">
        <f>Análise_À_Vista!AR7</f>
        <v>1.8490367230533533</v>
      </c>
      <c r="D115" s="23">
        <f>Análise_À_Vista!AQ7</f>
        <v>-4.4248853770363847E-2</v>
      </c>
    </row>
    <row r="116" spans="2:4" x14ac:dyDescent="0.25">
      <c r="B116" s="23" t="s">
        <v>2644</v>
      </c>
      <c r="C116" s="140">
        <f>Análise_À_Vista!AR8</f>
        <v>10.629803865830469</v>
      </c>
      <c r="D116" s="23">
        <f>Análise_À_Vista!AQ8</f>
        <v>-1.8711963412446714E-2</v>
      </c>
    </row>
    <row r="130" spans="2:11" ht="18.75" x14ac:dyDescent="0.3">
      <c r="B130" s="151" t="s">
        <v>2702</v>
      </c>
      <c r="C130" s="151"/>
      <c r="D130" s="151"/>
      <c r="E130" s="151"/>
      <c r="F130" s="151"/>
      <c r="G130" s="151"/>
      <c r="H130" s="151"/>
      <c r="I130" s="151"/>
      <c r="J130" s="151"/>
      <c r="K130" s="151"/>
    </row>
    <row r="131" spans="2:11" x14ac:dyDescent="0.25">
      <c r="B131" s="152" t="s">
        <v>2703</v>
      </c>
      <c r="C131" s="152"/>
      <c r="D131" s="152"/>
      <c r="E131" s="152"/>
      <c r="F131" s="152"/>
      <c r="G131" s="152"/>
      <c r="H131" s="152"/>
      <c r="I131" s="152"/>
      <c r="J131" s="152"/>
      <c r="K131" s="152"/>
    </row>
    <row r="133" spans="2:11" x14ac:dyDescent="0.25">
      <c r="B133" s="153" t="s">
        <v>2558</v>
      </c>
      <c r="C133" s="153" t="s">
        <v>2618</v>
      </c>
      <c r="D133" s="153" t="s">
        <v>2649</v>
      </c>
      <c r="E133" s="153" t="s">
        <v>2620</v>
      </c>
      <c r="F133" s="153" t="s">
        <v>2704</v>
      </c>
      <c r="G133" s="153" t="s">
        <v>2705</v>
      </c>
      <c r="H133" s="153" t="s">
        <v>2650</v>
      </c>
      <c r="I133" s="153" t="s">
        <v>2652</v>
      </c>
    </row>
    <row r="134" spans="2:11" x14ac:dyDescent="0.25">
      <c r="B134">
        <f>Análise_À_Vista!BB3</f>
        <v>2022</v>
      </c>
      <c r="C134">
        <f>Análise_À_Vista!BC3</f>
        <v>250</v>
      </c>
      <c r="D134" s="9">
        <f ca="1">Análise_À_Vista!BF3</f>
        <v>-2.4683800481194466E-4</v>
      </c>
      <c r="E134" s="9">
        <f ca="1">Análise_À_Vista!BG3</f>
        <v>6.3418639550926227E-3</v>
      </c>
      <c r="F134" s="9">
        <f ca="1">Análise_À_Vista!BH3</f>
        <v>-3.5253743760399345E-2</v>
      </c>
      <c r="G134" s="111">
        <f ca="1">Análise_À_Vista!BI3</f>
        <v>2.1198974561230443E-2</v>
      </c>
      <c r="H134" s="111">
        <f ca="1">Análise_À_Vista!BJ3</f>
        <v>-6.4558200195631035E-2</v>
      </c>
      <c r="I134" s="9">
        <f ca="1">Análise_À_Vista!BN3</f>
        <v>1.2683727910185245E-2</v>
      </c>
    </row>
    <row r="135" spans="2:11" x14ac:dyDescent="0.25">
      <c r="B135">
        <f>Análise_À_Vista!BB4</f>
        <v>2023</v>
      </c>
      <c r="C135">
        <f>Análise_À_Vista!BC4</f>
        <v>248</v>
      </c>
      <c r="D135" s="9">
        <f ca="1">Análise_À_Vista!BF4</f>
        <v>-8.4080394464458152E-4</v>
      </c>
      <c r="E135" s="9">
        <f ca="1">Análise_À_Vista!BG4</f>
        <v>8.7133371145246483E-3</v>
      </c>
      <c r="F135" s="9">
        <f ca="1">Análise_À_Vista!BH4</f>
        <v>-3.1014621178555524E-2</v>
      </c>
      <c r="G135" s="111">
        <f ca="1">Análise_À_Vista!BI4</f>
        <v>2.791786743515845E-2</v>
      </c>
      <c r="H135" s="111">
        <f ca="1">Análise_À_Vista!BJ4</f>
        <v>-0.1960738761760949</v>
      </c>
      <c r="I135" s="9">
        <f ca="1">Análise_À_Vista!BN4</f>
        <v>1.7426674229049297E-2</v>
      </c>
    </row>
    <row r="136" spans="2:11" x14ac:dyDescent="0.25">
      <c r="B136">
        <f>Análise_À_Vista!BB5</f>
        <v>2024</v>
      </c>
      <c r="C136">
        <f>Análise_À_Vista!BC5</f>
        <v>251</v>
      </c>
      <c r="D136" s="9">
        <f ca="1">Análise_À_Vista!BF5</f>
        <v>2.1507210626960799E-4</v>
      </c>
      <c r="E136" s="9">
        <f ca="1">Análise_À_Vista!BG5</f>
        <v>6.2747802990020625E-3</v>
      </c>
      <c r="F136" s="9">
        <f ca="1">Análise_À_Vista!BH5</f>
        <v>-1.8759018759018718E-2</v>
      </c>
      <c r="G136" s="111">
        <f ca="1">Análise_À_Vista!BI5</f>
        <v>2.2215852085423496E-2</v>
      </c>
      <c r="H136" s="111">
        <f ca="1">Análise_À_Vista!BJ5</f>
        <v>4.2150537634408569E-2</v>
      </c>
      <c r="I136" s="9">
        <f ca="1">Análise_À_Vista!BN5</f>
        <v>1.2549560598004125E-2</v>
      </c>
    </row>
    <row r="137" spans="2:11" x14ac:dyDescent="0.25">
      <c r="B137">
        <f>Análise_À_Vista!BB6</f>
        <v>2025</v>
      </c>
      <c r="C137">
        <f>Análise_À_Vista!BC6</f>
        <v>250</v>
      </c>
      <c r="D137" s="9">
        <f ca="1">Análise_À_Vista!BF6</f>
        <v>-1.6075566037076569E-4</v>
      </c>
      <c r="E137" s="9">
        <f ca="1">Análise_À_Vista!BG6</f>
        <v>6.1371690343410583E-3</v>
      </c>
      <c r="F137" s="9">
        <f ca="1">Análise_À_Vista!BH6</f>
        <v>-1.9994031632348391E-2</v>
      </c>
      <c r="G137" s="111">
        <f ca="1">Análise_À_Vista!BI6</f>
        <v>2.9780762894436808E-2</v>
      </c>
      <c r="H137" s="111">
        <f ca="1">Análise_À_Vista!BJ6</f>
        <v>-4.7162051000822561E-2</v>
      </c>
      <c r="I137" s="9">
        <f ca="1">Análise_À_Vista!BN6</f>
        <v>1.2274338068682117E-2</v>
      </c>
    </row>
    <row r="138" spans="2:11" x14ac:dyDescent="0.25">
      <c r="B138">
        <f>Análise_À_Vista!BB7</f>
        <v>2026</v>
      </c>
      <c r="C138">
        <f>Análise_À_Vista!BC7</f>
        <v>135</v>
      </c>
      <c r="D138" s="9">
        <f ca="1">Análise_À_Vista!BF7</f>
        <v>-4.9445611290806625E-4</v>
      </c>
      <c r="E138" s="9">
        <f ca="1">Análise_À_Vista!BG7</f>
        <v>4.0336278546654536E-3</v>
      </c>
      <c r="F138" s="9">
        <f ca="1">Análise_À_Vista!BH7</f>
        <v>-1.931163370191551E-2</v>
      </c>
      <c r="G138" s="111">
        <f ca="1">Análise_À_Vista!BI7</f>
        <v>6.9454706664696152E-3</v>
      </c>
      <c r="H138" s="111">
        <f ca="1">Análise_À_Vista!BJ7</f>
        <v>-6.4938804895608424E-2</v>
      </c>
      <c r="I138" s="9">
        <f ca="1">Análise_À_Vista!BN7</f>
        <v>8.0672557093309071E-3</v>
      </c>
    </row>
    <row r="139" spans="2:11" x14ac:dyDescent="0.25">
      <c r="B139" s="154" t="str">
        <f>Análise_À_Vista!BB8</f>
        <v>TOTAL</v>
      </c>
      <c r="C139" s="154">
        <f>Análise_À_Vista!BC8</f>
        <v>1134</v>
      </c>
      <c r="D139" s="155">
        <f>Análise_À_Vista!BF8</f>
        <v>-2.8499671176053873E-4</v>
      </c>
      <c r="E139" s="155">
        <f>Análise_À_Vista!BG8</f>
        <v>6.6642380484254549E-3</v>
      </c>
      <c r="F139" s="155">
        <f>Análise_À_Vista!BH8</f>
        <v>-3.5253743760399345E-2</v>
      </c>
      <c r="G139" s="156">
        <f>Análise_À_Vista!BI8</f>
        <v>2.9780762894436808E-2</v>
      </c>
      <c r="H139" s="156">
        <f>Análise_À_Vista!BJ8</f>
        <v>-0.29420715139658737</v>
      </c>
      <c r="I139" s="155">
        <f>Análise_À_Vista!BN8</f>
        <v>1.332847609685091E-2</v>
      </c>
    </row>
    <row r="142" spans="2:11" x14ac:dyDescent="0.25">
      <c r="B142" s="81" t="s">
        <v>2706</v>
      </c>
      <c r="C142" s="81"/>
      <c r="D142" s="81"/>
      <c r="E142" s="81"/>
      <c r="G142" s="143" t="s">
        <v>2709</v>
      </c>
      <c r="H142" s="143"/>
      <c r="I142" s="143"/>
      <c r="J142" s="143"/>
      <c r="K142" s="143"/>
    </row>
    <row r="143" spans="2:11" x14ac:dyDescent="0.25">
      <c r="B143" s="154" t="s">
        <v>2635</v>
      </c>
      <c r="C143" s="154" t="s">
        <v>156</v>
      </c>
      <c r="D143" s="154" t="s">
        <v>2707</v>
      </c>
      <c r="E143" s="154" t="s">
        <v>2708</v>
      </c>
      <c r="G143" s="62" t="s">
        <v>2665</v>
      </c>
      <c r="H143" s="115"/>
      <c r="I143" s="160">
        <f ca="1">Análise_À_Vista!BC14</f>
        <v>6.3001556515251689E-3</v>
      </c>
      <c r="J143" s="115"/>
      <c r="K143" s="115"/>
    </row>
    <row r="144" spans="2:11" x14ac:dyDescent="0.25">
      <c r="B144" s="125">
        <f>Análise_À_Vista!BI12</f>
        <v>1</v>
      </c>
      <c r="C144" s="9">
        <f ca="1">Análise_À_Vista!BJ12</f>
        <v>6.3001556515251689E-3</v>
      </c>
      <c r="D144" s="111">
        <f ca="1">Análise_À_Vista!BK12</f>
        <v>0.74955908289241624</v>
      </c>
      <c r="E144" s="111">
        <f>Análise_À_Vista!BL12</f>
        <v>0.68269999999999997</v>
      </c>
      <c r="G144" s="62" t="s">
        <v>2640</v>
      </c>
      <c r="H144" s="115"/>
      <c r="I144" s="115">
        <v>2</v>
      </c>
      <c r="J144" s="115"/>
      <c r="K144" s="115"/>
    </row>
    <row r="145" spans="2:11" x14ac:dyDescent="0.25">
      <c r="B145" s="125">
        <f>Análise_À_Vista!BI13</f>
        <v>1.5</v>
      </c>
      <c r="C145" s="9">
        <f ca="1">Análise_À_Vista!BJ13</f>
        <v>9.4502334772877533E-3</v>
      </c>
      <c r="D145" s="111">
        <f ca="1">Análise_À_Vista!BK13</f>
        <v>0.87125220458553787</v>
      </c>
      <c r="E145" s="111">
        <f>Análise_À_Vista!BL13</f>
        <v>0.86639999999999995</v>
      </c>
      <c r="G145" s="62" t="s">
        <v>2666</v>
      </c>
      <c r="H145" s="115"/>
      <c r="I145" s="145">
        <f ca="1">I143*I144</f>
        <v>1.2600311303050338E-2</v>
      </c>
      <c r="J145" s="115"/>
      <c r="K145" s="115"/>
    </row>
    <row r="146" spans="2:11" x14ac:dyDescent="0.25">
      <c r="B146" s="157">
        <f>Análise_À_Vista!BI14</f>
        <v>2</v>
      </c>
      <c r="C146" s="158">
        <f ca="1">Análise_À_Vista!BJ14</f>
        <v>1.2600311303050338E-2</v>
      </c>
      <c r="D146" s="159">
        <f ca="1">Análise_À_Vista!BK14</f>
        <v>0.93033509700176364</v>
      </c>
      <c r="E146" s="159">
        <f>Análise_À_Vista!BL14</f>
        <v>0.95450000000000002</v>
      </c>
      <c r="G146" s="62" t="s">
        <v>2710</v>
      </c>
      <c r="H146" s="115"/>
      <c r="I146" s="116">
        <f ca="1">Análise_À_Vista!BK14</f>
        <v>0.93033509700176364</v>
      </c>
      <c r="J146" s="115"/>
      <c r="K146" s="115"/>
    </row>
    <row r="147" spans="2:11" x14ac:dyDescent="0.25">
      <c r="B147" s="125">
        <f>Análise_À_Vista!BI15</f>
        <v>2.5</v>
      </c>
      <c r="C147" s="9">
        <f ca="1">Análise_À_Vista!BJ15</f>
        <v>1.5750389128812922E-2</v>
      </c>
      <c r="D147" s="111">
        <f ca="1">Análise_À_Vista!BK15</f>
        <v>0.96384479717813054</v>
      </c>
      <c r="E147" s="111">
        <f>Análise_À_Vista!BL15</f>
        <v>0.98760000000000003</v>
      </c>
      <c r="G147" s="62" t="s">
        <v>2711</v>
      </c>
      <c r="H147" s="115"/>
      <c r="I147" s="115" t="str">
        <f>"✅ Próximo do teórico ("&amp;TEXT(Análise_À_Vista!BL14,"0.0%")&amp;")"</f>
        <v>✅ Próximo do teórico (95%)</v>
      </c>
      <c r="J147" s="115"/>
      <c r="K147" s="115"/>
    </row>
    <row r="148" spans="2:11" x14ac:dyDescent="0.25">
      <c r="B148" s="125">
        <f>Análise_À_Vista!BI16</f>
        <v>3</v>
      </c>
      <c r="C148" s="9">
        <f ca="1">Análise_À_Vista!BJ16</f>
        <v>1.8900466954575507E-2</v>
      </c>
      <c r="D148" s="111">
        <f ca="1">Análise_À_Vista!BK16</f>
        <v>0.97795414462081132</v>
      </c>
      <c r="E148" s="111">
        <f>Análise_À_Vista!BL16</f>
        <v>0.99729999999999996</v>
      </c>
      <c r="G148" s="115"/>
      <c r="H148" s="115"/>
      <c r="I148" s="115"/>
      <c r="J148" s="115"/>
      <c r="K148" s="115"/>
    </row>
    <row r="151" spans="2:11" ht="15.75" x14ac:dyDescent="0.25">
      <c r="B151" s="161" t="s">
        <v>2712</v>
      </c>
      <c r="C151" s="161"/>
      <c r="D151" s="161"/>
      <c r="E151" s="161"/>
      <c r="F151" s="161"/>
      <c r="G151" s="161"/>
      <c r="H151" s="161"/>
      <c r="I151" s="161"/>
      <c r="J151" s="161"/>
      <c r="K151" s="161"/>
    </row>
    <row r="152" spans="2:11" x14ac:dyDescent="0.25">
      <c r="B152" s="14" t="s">
        <v>199</v>
      </c>
      <c r="C152" s="14" t="s">
        <v>2674</v>
      </c>
      <c r="D152" s="14" t="s">
        <v>2678</v>
      </c>
      <c r="E152" s="14" t="s">
        <v>2685</v>
      </c>
      <c r="F152" s="14" t="s">
        <v>2688</v>
      </c>
      <c r="G152" s="14" t="s">
        <v>2713</v>
      </c>
      <c r="H152" s="14" t="s">
        <v>2714</v>
      </c>
      <c r="I152" s="14"/>
      <c r="J152" s="14"/>
      <c r="K152" s="14"/>
    </row>
    <row r="153" spans="2:11" x14ac:dyDescent="0.25">
      <c r="B153" s="115" t="s">
        <v>2669</v>
      </c>
      <c r="C153" s="144">
        <f ca="1">Análise_À_Vista!BC14</f>
        <v>6.3001556515251689E-3</v>
      </c>
      <c r="D153" s="144">
        <f>Análise_À_Vista!BC18</f>
        <v>6.6642380484254549E-3</v>
      </c>
      <c r="E153" s="116">
        <f ca="1">Análise_À_Vista!BK14</f>
        <v>0.93033509700176364</v>
      </c>
      <c r="F153" s="116">
        <f ca="1">Análise_À_Vista!BM14</f>
        <v>-2.4164902998236371E-2</v>
      </c>
      <c r="G153" s="116">
        <f ca="1">Análise_À_Vista!BC17</f>
        <v>0.26309252252310006</v>
      </c>
      <c r="H153" s="162" t="s">
        <v>2715</v>
      </c>
      <c r="I153" s="162"/>
      <c r="J153" s="162"/>
      <c r="K153" s="162"/>
    </row>
    <row r="154" spans="2:11" x14ac:dyDescent="0.25">
      <c r="B154" t="s">
        <v>2670</v>
      </c>
      <c r="C154" s="89">
        <f>Análise_À_Vista!AP12</f>
        <v>4.8011232234372265</v>
      </c>
      <c r="D154" s="89">
        <f>Análise_À_Vista!AS12</f>
        <v>10.629803865830469</v>
      </c>
      <c r="E154" s="111">
        <f>Análise_À_Vista!AT36</f>
        <v>0.67460470376558279</v>
      </c>
      <c r="F154" s="111">
        <f>Análise_À_Vista!AV36</f>
        <v>-0.27989529623441722</v>
      </c>
      <c r="G154" s="111">
        <f>Análise_À_Vista!AS12/Análise_À_Vista!AP12</f>
        <v>2.2140243795326642</v>
      </c>
      <c r="H154" s="4" t="s">
        <v>2716</v>
      </c>
      <c r="I154" s="4"/>
      <c r="J154" s="4"/>
      <c r="K154" s="4"/>
    </row>
    <row r="156" spans="2:11" x14ac:dyDescent="0.25">
      <c r="B156" s="165" t="s">
        <v>2717</v>
      </c>
      <c r="C156" s="163"/>
      <c r="D156" s="163"/>
      <c r="E156" s="163"/>
      <c r="F156" s="163"/>
      <c r="G156" s="163"/>
      <c r="H156" s="163"/>
      <c r="I156" s="163"/>
      <c r="J156" s="163"/>
      <c r="K156" s="164"/>
    </row>
    <row r="157" spans="2:11" x14ac:dyDescent="0.25">
      <c r="B157" s="166" t="s">
        <v>2718</v>
      </c>
      <c r="C157" s="167"/>
      <c r="D157" s="167"/>
      <c r="E157" s="167"/>
      <c r="F157" s="167"/>
      <c r="G157" s="167"/>
      <c r="H157" s="167"/>
      <c r="I157" s="167"/>
      <c r="J157" s="167"/>
      <c r="K157" s="168"/>
    </row>
    <row r="158" spans="2:11" x14ac:dyDescent="0.25">
      <c r="B158" s="169" t="s">
        <v>2719</v>
      </c>
      <c r="C158" s="167"/>
      <c r="D158" s="167"/>
      <c r="E158" s="167"/>
      <c r="F158" s="167"/>
      <c r="G158" s="167"/>
      <c r="H158" s="167"/>
      <c r="I158" s="167"/>
      <c r="J158" s="167"/>
      <c r="K158" s="168"/>
    </row>
    <row r="159" spans="2:11" x14ac:dyDescent="0.25">
      <c r="B159" s="172" t="s">
        <v>2720</v>
      </c>
      <c r="C159" s="170"/>
      <c r="D159" s="170"/>
      <c r="E159" s="170"/>
      <c r="F159" s="170"/>
      <c r="G159" s="170"/>
      <c r="H159" s="170"/>
      <c r="I159" s="170"/>
      <c r="J159" s="170"/>
      <c r="K159" s="171"/>
    </row>
    <row r="162" spans="2:11" x14ac:dyDescent="0.25">
      <c r="B162" s="85" t="s">
        <v>2721</v>
      </c>
      <c r="C162" s="85"/>
      <c r="D162" s="85"/>
      <c r="E162" s="85"/>
      <c r="F162" s="85"/>
      <c r="G162" s="85"/>
      <c r="H162" s="85"/>
      <c r="I162" s="85"/>
      <c r="J162" s="85"/>
      <c r="K162" s="85"/>
    </row>
  </sheetData>
  <mergeCells count="29">
    <mergeCell ref="H153:K153"/>
    <mergeCell ref="H154:K154"/>
    <mergeCell ref="B157:K157"/>
    <mergeCell ref="B158:K158"/>
    <mergeCell ref="B159:K159"/>
    <mergeCell ref="B162:K162"/>
    <mergeCell ref="B130:K130"/>
    <mergeCell ref="B131:K131"/>
    <mergeCell ref="B142:E142"/>
    <mergeCell ref="G142:K142"/>
    <mergeCell ref="B151:K151"/>
    <mergeCell ref="B80:K80"/>
    <mergeCell ref="B81:K81"/>
    <mergeCell ref="B92:E92"/>
    <mergeCell ref="G92:K92"/>
    <mergeCell ref="B101:K101"/>
    <mergeCell ref="D107:K107"/>
    <mergeCell ref="B24:K24"/>
    <mergeCell ref="B25:K25"/>
    <mergeCell ref="B27:K27"/>
    <mergeCell ref="B28:K28"/>
    <mergeCell ref="B29:K29"/>
    <mergeCell ref="B77:K77"/>
    <mergeCell ref="B2:K2"/>
    <mergeCell ref="B3:K3"/>
    <mergeCell ref="B6:E6"/>
    <mergeCell ref="G6:K6"/>
    <mergeCell ref="B15:E15"/>
    <mergeCell ref="G15:K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CCMFUT_F_0_Diário</vt:lpstr>
      <vt:lpstr>Análise_Variação</vt:lpstr>
      <vt:lpstr>Análise_À_Vista</vt:lpstr>
      <vt:lpstr>Dashboard_À_Vista</vt:lpstr>
      <vt:lpstr>Dashboard</vt:lpstr>
      <vt:lpstr>Sheet1</vt:lpstr>
      <vt:lpstr>Dashboard_Regressao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Roberto Veloso</cp:lastModifiedBy>
  <cp:lastPrinted>2026-07-18T11:57:35Z</cp:lastPrinted>
  <dcterms:created xsi:type="dcterms:W3CDTF">2026-07-18T11:54:03Z</dcterms:created>
  <dcterms:modified xsi:type="dcterms:W3CDTF">2026-07-18T16:27:55Z</dcterms:modified>
</cp:coreProperties>
</file>